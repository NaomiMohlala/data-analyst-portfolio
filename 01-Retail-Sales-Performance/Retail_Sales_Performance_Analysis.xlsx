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naomi\Downloads\Naomi_Excel_Data_Analysis_Portfolio\Naomi_Mohlala_Excel_Data_Analysis_Portfolio_Rebuilt\"/>
    </mc:Choice>
  </mc:AlternateContent>
  <xr:revisionPtr revIDLastSave="0" documentId="13_ncr:1_{935F336E-4867-4F21-B0C5-28A446BD98B0}" xr6:coauthVersionLast="47" xr6:coauthVersionMax="47" xr10:uidLastSave="{00000000-0000-0000-0000-000000000000}"/>
  <bookViews>
    <workbookView xWindow="-120" yWindow="-120" windowWidth="20730" windowHeight="11160" activeTab="3" xr2:uid="{00000000-000D-0000-FFFF-FFFF00000000}"/>
  </bookViews>
  <sheets>
    <sheet name="Raw Data" sheetId="1" r:id="rId1"/>
    <sheet name="Analysis" sheetId="2" r:id="rId2"/>
    <sheet name="Dashboard" sheetId="3" r:id="rId3"/>
    <sheet name="PivotTables" sheetId="6" r:id="rId4"/>
  </sheets>
  <definedNames>
    <definedName name="_xlnm._FilterDatabase" localSheetId="0" hidden="1">'Raw Data'!$A$1:$O$601</definedName>
    <definedName name="_xlnm.Print_Area" localSheetId="2">Dashboard!$A$1:$L$38</definedName>
    <definedName name="Slicer_Category">#N/A</definedName>
    <definedName name="Slicer_Channel">#N/A</definedName>
    <definedName name="Slicer_Region">#N/A</definedName>
  </definedNames>
  <calcPr calcId="191029" iterateDelta="1E-4"/>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2" l="1"/>
  <c r="H4" i="3" s="1"/>
  <c r="O601" i="1"/>
  <c r="N601" i="1"/>
  <c r="J601" i="1"/>
  <c r="L601" i="1" s="1"/>
  <c r="M601" i="1" s="1"/>
  <c r="N600" i="1"/>
  <c r="O600" i="1" s="1"/>
  <c r="M600" i="1"/>
  <c r="L600" i="1"/>
  <c r="J600" i="1"/>
  <c r="O599" i="1"/>
  <c r="N599" i="1"/>
  <c r="J599" i="1"/>
  <c r="L599" i="1" s="1"/>
  <c r="M599" i="1" s="1"/>
  <c r="O598" i="1"/>
  <c r="N598" i="1"/>
  <c r="J598" i="1"/>
  <c r="L598" i="1" s="1"/>
  <c r="M598" i="1" s="1"/>
  <c r="O597" i="1"/>
  <c r="N597" i="1"/>
  <c r="L597" i="1"/>
  <c r="M597" i="1" s="1"/>
  <c r="J597" i="1"/>
  <c r="N596" i="1"/>
  <c r="O596" i="1" s="1"/>
  <c r="L596" i="1"/>
  <c r="M596" i="1" s="1"/>
  <c r="J596" i="1"/>
  <c r="O595" i="1"/>
  <c r="N595" i="1"/>
  <c r="M595" i="1"/>
  <c r="J595" i="1"/>
  <c r="L595" i="1" s="1"/>
  <c r="O594" i="1"/>
  <c r="N594" i="1"/>
  <c r="L594" i="1"/>
  <c r="M594" i="1" s="1"/>
  <c r="J594" i="1"/>
  <c r="O593" i="1"/>
  <c r="N593" i="1"/>
  <c r="M593" i="1"/>
  <c r="L593" i="1"/>
  <c r="J593" i="1"/>
  <c r="N592" i="1"/>
  <c r="O592" i="1" s="1"/>
  <c r="M592" i="1"/>
  <c r="L592" i="1"/>
  <c r="J592" i="1"/>
  <c r="N591" i="1"/>
  <c r="O591" i="1" s="1"/>
  <c r="M591" i="1"/>
  <c r="J591" i="1"/>
  <c r="L591" i="1" s="1"/>
  <c r="N590" i="1"/>
  <c r="O590" i="1" s="1"/>
  <c r="L590" i="1"/>
  <c r="M590" i="1" s="1"/>
  <c r="J590" i="1"/>
  <c r="O589" i="1"/>
  <c r="N589" i="1"/>
  <c r="M589" i="1"/>
  <c r="L589" i="1"/>
  <c r="J589" i="1"/>
  <c r="N588" i="1"/>
  <c r="O588" i="1" s="1"/>
  <c r="M588" i="1"/>
  <c r="L588" i="1"/>
  <c r="J588" i="1"/>
  <c r="N587" i="1"/>
  <c r="O587" i="1" s="1"/>
  <c r="M587" i="1"/>
  <c r="J587" i="1"/>
  <c r="L587" i="1" s="1"/>
  <c r="N586" i="1"/>
  <c r="O586" i="1" s="1"/>
  <c r="L586" i="1"/>
  <c r="M586" i="1" s="1"/>
  <c r="J586" i="1"/>
  <c r="O585" i="1"/>
  <c r="N585" i="1"/>
  <c r="J585" i="1"/>
  <c r="L585" i="1" s="1"/>
  <c r="M585" i="1" s="1"/>
  <c r="N584" i="1"/>
  <c r="O584" i="1" s="1"/>
  <c r="M584" i="1"/>
  <c r="L584" i="1"/>
  <c r="J584" i="1"/>
  <c r="O583" i="1"/>
  <c r="N583" i="1"/>
  <c r="J583" i="1"/>
  <c r="L583" i="1" s="1"/>
  <c r="M583" i="1" s="1"/>
  <c r="O582" i="1"/>
  <c r="N582" i="1"/>
  <c r="J582" i="1"/>
  <c r="L582" i="1" s="1"/>
  <c r="M582" i="1" s="1"/>
  <c r="O581" i="1"/>
  <c r="N581" i="1"/>
  <c r="J581" i="1"/>
  <c r="L581" i="1" s="1"/>
  <c r="M581" i="1" s="1"/>
  <c r="N580" i="1"/>
  <c r="O580" i="1" s="1"/>
  <c r="L580" i="1"/>
  <c r="M580" i="1" s="1"/>
  <c r="J580" i="1"/>
  <c r="O579" i="1"/>
  <c r="N579" i="1"/>
  <c r="M579" i="1"/>
  <c r="J579" i="1"/>
  <c r="L579" i="1" s="1"/>
  <c r="O578" i="1"/>
  <c r="N578" i="1"/>
  <c r="L578" i="1"/>
  <c r="M578" i="1" s="1"/>
  <c r="J578" i="1"/>
  <c r="O577" i="1"/>
  <c r="N577" i="1"/>
  <c r="M577" i="1"/>
  <c r="L577" i="1"/>
  <c r="J577" i="1"/>
  <c r="N576" i="1"/>
  <c r="O576" i="1" s="1"/>
  <c r="M576" i="1"/>
  <c r="L576" i="1"/>
  <c r="J576" i="1"/>
  <c r="N575" i="1"/>
  <c r="O575" i="1" s="1"/>
  <c r="M575" i="1"/>
  <c r="J575" i="1"/>
  <c r="L575" i="1" s="1"/>
  <c r="N574" i="1"/>
  <c r="O574" i="1" s="1"/>
  <c r="L574" i="1"/>
  <c r="M574" i="1" s="1"/>
  <c r="J574" i="1"/>
  <c r="O573" i="1"/>
  <c r="N573" i="1"/>
  <c r="M573" i="1"/>
  <c r="L573" i="1"/>
  <c r="J573" i="1"/>
  <c r="N572" i="1"/>
  <c r="O572" i="1" s="1"/>
  <c r="M572" i="1"/>
  <c r="L572" i="1"/>
  <c r="J572" i="1"/>
  <c r="N571" i="1"/>
  <c r="O571" i="1" s="1"/>
  <c r="M571" i="1"/>
  <c r="J571" i="1"/>
  <c r="L571" i="1" s="1"/>
  <c r="N570" i="1"/>
  <c r="O570" i="1" s="1"/>
  <c r="L570" i="1"/>
  <c r="M570" i="1" s="1"/>
  <c r="J570" i="1"/>
  <c r="O569" i="1"/>
  <c r="N569" i="1"/>
  <c r="J569" i="1"/>
  <c r="L569" i="1" s="1"/>
  <c r="M569" i="1" s="1"/>
  <c r="N568" i="1"/>
  <c r="O568" i="1" s="1"/>
  <c r="M568" i="1"/>
  <c r="L568" i="1"/>
  <c r="J568" i="1"/>
  <c r="O567" i="1"/>
  <c r="N567" i="1"/>
  <c r="J567" i="1"/>
  <c r="L567" i="1" s="1"/>
  <c r="M567" i="1" s="1"/>
  <c r="O566" i="1"/>
  <c r="N566" i="1"/>
  <c r="J566" i="1"/>
  <c r="L566" i="1" s="1"/>
  <c r="M566" i="1" s="1"/>
  <c r="O565" i="1"/>
  <c r="N565" i="1"/>
  <c r="J565" i="1"/>
  <c r="L565" i="1" s="1"/>
  <c r="M565" i="1" s="1"/>
  <c r="N564" i="1"/>
  <c r="O564" i="1" s="1"/>
  <c r="L564" i="1"/>
  <c r="M564" i="1" s="1"/>
  <c r="J564" i="1"/>
  <c r="O563" i="1"/>
  <c r="N563" i="1"/>
  <c r="M563" i="1"/>
  <c r="J563" i="1"/>
  <c r="L563" i="1" s="1"/>
  <c r="O562" i="1"/>
  <c r="N562" i="1"/>
  <c r="L562" i="1"/>
  <c r="M562" i="1" s="1"/>
  <c r="J562" i="1"/>
  <c r="O561" i="1"/>
  <c r="N561" i="1"/>
  <c r="M561" i="1"/>
  <c r="L561" i="1"/>
  <c r="J561" i="1"/>
  <c r="N560" i="1"/>
  <c r="O560" i="1" s="1"/>
  <c r="M560" i="1"/>
  <c r="L560" i="1"/>
  <c r="J560" i="1"/>
  <c r="N559" i="1"/>
  <c r="O559" i="1" s="1"/>
  <c r="M559" i="1"/>
  <c r="J559" i="1"/>
  <c r="L559" i="1" s="1"/>
  <c r="N558" i="1"/>
  <c r="O558" i="1" s="1"/>
  <c r="L558" i="1"/>
  <c r="M558" i="1" s="1"/>
  <c r="J558" i="1"/>
  <c r="O557" i="1"/>
  <c r="N557" i="1"/>
  <c r="M557" i="1"/>
  <c r="L557" i="1"/>
  <c r="J557" i="1"/>
  <c r="N556" i="1"/>
  <c r="O556" i="1" s="1"/>
  <c r="M556" i="1"/>
  <c r="L556" i="1"/>
  <c r="J556" i="1"/>
  <c r="N555" i="1"/>
  <c r="O555" i="1" s="1"/>
  <c r="M555" i="1"/>
  <c r="J555" i="1"/>
  <c r="L555" i="1" s="1"/>
  <c r="N554" i="1"/>
  <c r="O554" i="1" s="1"/>
  <c r="L554" i="1"/>
  <c r="M554" i="1" s="1"/>
  <c r="J554" i="1"/>
  <c r="O553" i="1"/>
  <c r="N553" i="1"/>
  <c r="J553" i="1"/>
  <c r="L553" i="1" s="1"/>
  <c r="M553" i="1" s="1"/>
  <c r="N552" i="1"/>
  <c r="O552" i="1" s="1"/>
  <c r="M552" i="1"/>
  <c r="L552" i="1"/>
  <c r="J552" i="1"/>
  <c r="O551" i="1"/>
  <c r="N551" i="1"/>
  <c r="J551" i="1"/>
  <c r="L551" i="1" s="1"/>
  <c r="M551" i="1" s="1"/>
  <c r="O550" i="1"/>
  <c r="N550" i="1"/>
  <c r="J550" i="1"/>
  <c r="L550" i="1" s="1"/>
  <c r="M550" i="1" s="1"/>
  <c r="O549" i="1"/>
  <c r="N549" i="1"/>
  <c r="J549" i="1"/>
  <c r="L549" i="1" s="1"/>
  <c r="M549" i="1" s="1"/>
  <c r="N548" i="1"/>
  <c r="O548" i="1" s="1"/>
  <c r="L548" i="1"/>
  <c r="M548" i="1" s="1"/>
  <c r="J548" i="1"/>
  <c r="O547" i="1"/>
  <c r="N547" i="1"/>
  <c r="M547" i="1"/>
  <c r="J547" i="1"/>
  <c r="L547" i="1" s="1"/>
  <c r="O546" i="1"/>
  <c r="N546" i="1"/>
  <c r="L546" i="1"/>
  <c r="M546" i="1" s="1"/>
  <c r="J546" i="1"/>
  <c r="O545" i="1"/>
  <c r="N545" i="1"/>
  <c r="M545" i="1"/>
  <c r="L545" i="1"/>
  <c r="J545" i="1"/>
  <c r="N544" i="1"/>
  <c r="O544" i="1" s="1"/>
  <c r="M544" i="1"/>
  <c r="L544" i="1"/>
  <c r="J544" i="1"/>
  <c r="N543" i="1"/>
  <c r="O543" i="1" s="1"/>
  <c r="M543" i="1"/>
  <c r="J543" i="1"/>
  <c r="L543" i="1" s="1"/>
  <c r="N542" i="1"/>
  <c r="O542" i="1" s="1"/>
  <c r="L542" i="1"/>
  <c r="M542" i="1" s="1"/>
  <c r="J542" i="1"/>
  <c r="O541" i="1"/>
  <c r="N541" i="1"/>
  <c r="M541" i="1"/>
  <c r="L541" i="1"/>
  <c r="J541" i="1"/>
  <c r="N540" i="1"/>
  <c r="O540" i="1" s="1"/>
  <c r="M540" i="1"/>
  <c r="L540" i="1"/>
  <c r="J540" i="1"/>
  <c r="N539" i="1"/>
  <c r="O539" i="1" s="1"/>
  <c r="M539" i="1"/>
  <c r="J539" i="1"/>
  <c r="L539" i="1" s="1"/>
  <c r="N538" i="1"/>
  <c r="O538" i="1" s="1"/>
  <c r="L538" i="1"/>
  <c r="M538" i="1" s="1"/>
  <c r="J538" i="1"/>
  <c r="O537" i="1"/>
  <c r="N537" i="1"/>
  <c r="J537" i="1"/>
  <c r="L537" i="1" s="1"/>
  <c r="M537" i="1" s="1"/>
  <c r="N536" i="1"/>
  <c r="O536" i="1" s="1"/>
  <c r="M536" i="1"/>
  <c r="L536" i="1"/>
  <c r="J536" i="1"/>
  <c r="O535" i="1"/>
  <c r="N535" i="1"/>
  <c r="J535" i="1"/>
  <c r="L535" i="1" s="1"/>
  <c r="M535" i="1" s="1"/>
  <c r="O534" i="1"/>
  <c r="N534" i="1"/>
  <c r="J534" i="1"/>
  <c r="L534" i="1" s="1"/>
  <c r="M534" i="1" s="1"/>
  <c r="O533" i="1"/>
  <c r="N533" i="1"/>
  <c r="J533" i="1"/>
  <c r="L533" i="1" s="1"/>
  <c r="M533" i="1" s="1"/>
  <c r="N532" i="1"/>
  <c r="O532" i="1" s="1"/>
  <c r="L532" i="1"/>
  <c r="M532" i="1" s="1"/>
  <c r="J532" i="1"/>
  <c r="O531" i="1"/>
  <c r="N531" i="1"/>
  <c r="M531" i="1"/>
  <c r="J531" i="1"/>
  <c r="L531" i="1" s="1"/>
  <c r="O530" i="1"/>
  <c r="N530" i="1"/>
  <c r="L530" i="1"/>
  <c r="M530" i="1" s="1"/>
  <c r="J530" i="1"/>
  <c r="O529" i="1"/>
  <c r="N529" i="1"/>
  <c r="M529" i="1"/>
  <c r="L529" i="1"/>
  <c r="J529" i="1"/>
  <c r="N528" i="1"/>
  <c r="O528" i="1" s="1"/>
  <c r="M528" i="1"/>
  <c r="L528" i="1"/>
  <c r="J528" i="1"/>
  <c r="N527" i="1"/>
  <c r="O527" i="1" s="1"/>
  <c r="M527" i="1"/>
  <c r="J527" i="1"/>
  <c r="L527" i="1" s="1"/>
  <c r="N526" i="1"/>
  <c r="O526" i="1" s="1"/>
  <c r="L526" i="1"/>
  <c r="M526" i="1" s="1"/>
  <c r="J526" i="1"/>
  <c r="O525" i="1"/>
  <c r="N525" i="1"/>
  <c r="M525" i="1"/>
  <c r="L525" i="1"/>
  <c r="J525" i="1"/>
  <c r="N524" i="1"/>
  <c r="O524" i="1" s="1"/>
  <c r="M524" i="1"/>
  <c r="L524" i="1"/>
  <c r="J524" i="1"/>
  <c r="N523" i="1"/>
  <c r="O523" i="1" s="1"/>
  <c r="M523" i="1"/>
  <c r="J523" i="1"/>
  <c r="L523" i="1" s="1"/>
  <c r="N522" i="1"/>
  <c r="O522" i="1" s="1"/>
  <c r="L522" i="1"/>
  <c r="M522" i="1" s="1"/>
  <c r="J522" i="1"/>
  <c r="O521" i="1"/>
  <c r="N521" i="1"/>
  <c r="J521" i="1"/>
  <c r="L521" i="1" s="1"/>
  <c r="M521" i="1" s="1"/>
  <c r="N520" i="1"/>
  <c r="O520" i="1" s="1"/>
  <c r="M520" i="1"/>
  <c r="L520" i="1"/>
  <c r="J520" i="1"/>
  <c r="O519" i="1"/>
  <c r="N519" i="1"/>
  <c r="J519" i="1"/>
  <c r="L519" i="1" s="1"/>
  <c r="M519" i="1" s="1"/>
  <c r="O518" i="1"/>
  <c r="N518" i="1"/>
  <c r="J518" i="1"/>
  <c r="L518" i="1" s="1"/>
  <c r="M518" i="1" s="1"/>
  <c r="O517" i="1"/>
  <c r="N517" i="1"/>
  <c r="J517" i="1"/>
  <c r="L517" i="1" s="1"/>
  <c r="M517" i="1" s="1"/>
  <c r="N516" i="1"/>
  <c r="O516" i="1" s="1"/>
  <c r="L516" i="1"/>
  <c r="M516" i="1" s="1"/>
  <c r="J516" i="1"/>
  <c r="O515" i="1"/>
  <c r="N515" i="1"/>
  <c r="M515" i="1"/>
  <c r="J515" i="1"/>
  <c r="L515" i="1" s="1"/>
  <c r="O514" i="1"/>
  <c r="N514" i="1"/>
  <c r="L514" i="1"/>
  <c r="M514" i="1" s="1"/>
  <c r="J514" i="1"/>
  <c r="O513" i="1"/>
  <c r="N513" i="1"/>
  <c r="M513" i="1"/>
  <c r="L513" i="1"/>
  <c r="J513" i="1"/>
  <c r="N512" i="1"/>
  <c r="O512" i="1" s="1"/>
  <c r="M512" i="1"/>
  <c r="L512" i="1"/>
  <c r="J512" i="1"/>
  <c r="N511" i="1"/>
  <c r="O511" i="1" s="1"/>
  <c r="M511" i="1"/>
  <c r="J511" i="1"/>
  <c r="L511" i="1" s="1"/>
  <c r="N510" i="1"/>
  <c r="O510" i="1" s="1"/>
  <c r="L510" i="1"/>
  <c r="M510" i="1" s="1"/>
  <c r="J510" i="1"/>
  <c r="N509" i="1"/>
  <c r="O509" i="1" s="1"/>
  <c r="M509" i="1"/>
  <c r="L509" i="1"/>
  <c r="J509" i="1"/>
  <c r="N508" i="1"/>
  <c r="O508" i="1" s="1"/>
  <c r="J508" i="1"/>
  <c r="L508" i="1" s="1"/>
  <c r="M508" i="1" s="1"/>
  <c r="O507" i="1"/>
  <c r="N507" i="1"/>
  <c r="J507" i="1"/>
  <c r="L507" i="1" s="1"/>
  <c r="M507" i="1" s="1"/>
  <c r="O506" i="1"/>
  <c r="N506" i="1"/>
  <c r="L506" i="1"/>
  <c r="M506" i="1" s="1"/>
  <c r="J506" i="1"/>
  <c r="N505" i="1"/>
  <c r="O505" i="1" s="1"/>
  <c r="M505" i="1"/>
  <c r="L505" i="1"/>
  <c r="J505" i="1"/>
  <c r="N504" i="1"/>
  <c r="O504" i="1" s="1"/>
  <c r="J504" i="1"/>
  <c r="L504" i="1" s="1"/>
  <c r="M504" i="1" s="1"/>
  <c r="O503" i="1"/>
  <c r="N503" i="1"/>
  <c r="J503" i="1"/>
  <c r="L503" i="1" s="1"/>
  <c r="M503" i="1" s="1"/>
  <c r="O502" i="1"/>
  <c r="N502" i="1"/>
  <c r="L502" i="1"/>
  <c r="M502" i="1" s="1"/>
  <c r="J502" i="1"/>
  <c r="N501" i="1"/>
  <c r="O501" i="1" s="1"/>
  <c r="M501" i="1"/>
  <c r="L501" i="1"/>
  <c r="J501" i="1"/>
  <c r="N500" i="1"/>
  <c r="O500" i="1" s="1"/>
  <c r="J500" i="1"/>
  <c r="L500" i="1" s="1"/>
  <c r="M500" i="1" s="1"/>
  <c r="O499" i="1"/>
  <c r="N499" i="1"/>
  <c r="J499" i="1"/>
  <c r="L499" i="1" s="1"/>
  <c r="M499" i="1" s="1"/>
  <c r="O498" i="1"/>
  <c r="N498" i="1"/>
  <c r="J498" i="1"/>
  <c r="L498" i="1" s="1"/>
  <c r="M498" i="1" s="1"/>
  <c r="N497" i="1"/>
  <c r="O497" i="1" s="1"/>
  <c r="L497" i="1"/>
  <c r="M497" i="1" s="1"/>
  <c r="J497" i="1"/>
  <c r="N496" i="1"/>
  <c r="O496" i="1" s="1"/>
  <c r="J496" i="1"/>
  <c r="L496" i="1" s="1"/>
  <c r="M496" i="1" s="1"/>
  <c r="N495" i="1"/>
  <c r="O495" i="1" s="1"/>
  <c r="J495" i="1"/>
  <c r="L495" i="1" s="1"/>
  <c r="M495" i="1" s="1"/>
  <c r="O494" i="1"/>
  <c r="N494" i="1"/>
  <c r="L494" i="1"/>
  <c r="M494" i="1" s="1"/>
  <c r="J494" i="1"/>
  <c r="N493" i="1"/>
  <c r="O493" i="1" s="1"/>
  <c r="L493" i="1"/>
  <c r="M493" i="1" s="1"/>
  <c r="J493" i="1"/>
  <c r="N492" i="1"/>
  <c r="O492" i="1" s="1"/>
  <c r="M492" i="1"/>
  <c r="J492" i="1"/>
  <c r="L492" i="1" s="1"/>
  <c r="N491" i="1"/>
  <c r="O491" i="1" s="1"/>
  <c r="L491" i="1"/>
  <c r="M491" i="1" s="1"/>
  <c r="J491" i="1"/>
  <c r="O490" i="1"/>
  <c r="N490" i="1"/>
  <c r="M490" i="1"/>
  <c r="J490" i="1"/>
  <c r="L490" i="1" s="1"/>
  <c r="N489" i="1"/>
  <c r="O489" i="1" s="1"/>
  <c r="M489" i="1"/>
  <c r="L489" i="1"/>
  <c r="J489" i="1"/>
  <c r="N488" i="1"/>
  <c r="O488" i="1" s="1"/>
  <c r="J488" i="1"/>
  <c r="L488" i="1" s="1"/>
  <c r="M488" i="1" s="1"/>
  <c r="N487" i="1"/>
  <c r="O487" i="1" s="1"/>
  <c r="J487" i="1"/>
  <c r="L487" i="1" s="1"/>
  <c r="M487" i="1" s="1"/>
  <c r="O486" i="1"/>
  <c r="N486" i="1"/>
  <c r="J486" i="1"/>
  <c r="L486" i="1" s="1"/>
  <c r="M486" i="1" s="1"/>
  <c r="N485" i="1"/>
  <c r="O485" i="1" s="1"/>
  <c r="L485" i="1"/>
  <c r="M485" i="1" s="1"/>
  <c r="J485" i="1"/>
  <c r="O484" i="1"/>
  <c r="N484" i="1"/>
  <c r="J484" i="1"/>
  <c r="L484" i="1" s="1"/>
  <c r="M484" i="1" s="1"/>
  <c r="O483" i="1"/>
  <c r="N483" i="1"/>
  <c r="J483" i="1"/>
  <c r="L483" i="1" s="1"/>
  <c r="M483" i="1" s="1"/>
  <c r="O482" i="1"/>
  <c r="N482" i="1"/>
  <c r="J482" i="1"/>
  <c r="L482" i="1" s="1"/>
  <c r="M482" i="1" s="1"/>
  <c r="N481" i="1"/>
  <c r="O481" i="1" s="1"/>
  <c r="L481" i="1"/>
  <c r="M481" i="1" s="1"/>
  <c r="J481" i="1"/>
  <c r="N480" i="1"/>
  <c r="O480" i="1" s="1"/>
  <c r="J480" i="1"/>
  <c r="L480" i="1" s="1"/>
  <c r="M480" i="1" s="1"/>
  <c r="N479" i="1"/>
  <c r="O479" i="1" s="1"/>
  <c r="J479" i="1"/>
  <c r="L479" i="1" s="1"/>
  <c r="M479" i="1" s="1"/>
  <c r="O478" i="1"/>
  <c r="N478" i="1"/>
  <c r="L478" i="1"/>
  <c r="M478" i="1" s="1"/>
  <c r="J478" i="1"/>
  <c r="N477" i="1"/>
  <c r="O477" i="1" s="1"/>
  <c r="L477" i="1"/>
  <c r="M477" i="1" s="1"/>
  <c r="J477" i="1"/>
  <c r="N476" i="1"/>
  <c r="O476" i="1" s="1"/>
  <c r="M476" i="1"/>
  <c r="J476" i="1"/>
  <c r="L476" i="1" s="1"/>
  <c r="N475" i="1"/>
  <c r="O475" i="1" s="1"/>
  <c r="L475" i="1"/>
  <c r="M475" i="1" s="1"/>
  <c r="J475" i="1"/>
  <c r="O474" i="1"/>
  <c r="N474" i="1"/>
  <c r="J474" i="1"/>
  <c r="L474" i="1" s="1"/>
  <c r="M474" i="1" s="1"/>
  <c r="N473" i="1"/>
  <c r="O473" i="1" s="1"/>
  <c r="M473" i="1"/>
  <c r="L473" i="1"/>
  <c r="J473" i="1"/>
  <c r="N472" i="1"/>
  <c r="O472" i="1" s="1"/>
  <c r="J472" i="1"/>
  <c r="L472" i="1" s="1"/>
  <c r="M472" i="1" s="1"/>
  <c r="N471" i="1"/>
  <c r="O471" i="1" s="1"/>
  <c r="J471" i="1"/>
  <c r="L471" i="1" s="1"/>
  <c r="M471" i="1" s="1"/>
  <c r="O470" i="1"/>
  <c r="N470" i="1"/>
  <c r="J470" i="1"/>
  <c r="L470" i="1" s="1"/>
  <c r="M470" i="1" s="1"/>
  <c r="N469" i="1"/>
  <c r="O469" i="1" s="1"/>
  <c r="L469" i="1"/>
  <c r="M469" i="1" s="1"/>
  <c r="J469" i="1"/>
  <c r="O468" i="1"/>
  <c r="N468" i="1"/>
  <c r="J468" i="1"/>
  <c r="L468" i="1" s="1"/>
  <c r="M468" i="1" s="1"/>
  <c r="O467" i="1"/>
  <c r="N467" i="1"/>
  <c r="J467" i="1"/>
  <c r="L467" i="1" s="1"/>
  <c r="M467" i="1" s="1"/>
  <c r="O466" i="1"/>
  <c r="N466" i="1"/>
  <c r="J466" i="1"/>
  <c r="L466" i="1" s="1"/>
  <c r="M466" i="1" s="1"/>
  <c r="N465" i="1"/>
  <c r="O465" i="1" s="1"/>
  <c r="L465" i="1"/>
  <c r="M465" i="1" s="1"/>
  <c r="J465" i="1"/>
  <c r="N464" i="1"/>
  <c r="O464" i="1" s="1"/>
  <c r="J464" i="1"/>
  <c r="L464" i="1" s="1"/>
  <c r="M464" i="1" s="1"/>
  <c r="N463" i="1"/>
  <c r="O463" i="1" s="1"/>
  <c r="J463" i="1"/>
  <c r="L463" i="1" s="1"/>
  <c r="M463" i="1" s="1"/>
  <c r="O462" i="1"/>
  <c r="N462" i="1"/>
  <c r="L462" i="1"/>
  <c r="M462" i="1" s="1"/>
  <c r="J462" i="1"/>
  <c r="N461" i="1"/>
  <c r="O461" i="1" s="1"/>
  <c r="L461" i="1"/>
  <c r="M461" i="1" s="1"/>
  <c r="J461" i="1"/>
  <c r="N460" i="1"/>
  <c r="O460" i="1" s="1"/>
  <c r="M460" i="1"/>
  <c r="J460" i="1"/>
  <c r="L460" i="1" s="1"/>
  <c r="N459" i="1"/>
  <c r="O459" i="1" s="1"/>
  <c r="L459" i="1"/>
  <c r="M459" i="1" s="1"/>
  <c r="J459" i="1"/>
  <c r="O458" i="1"/>
  <c r="N458" i="1"/>
  <c r="M458" i="1"/>
  <c r="J458" i="1"/>
  <c r="L458" i="1" s="1"/>
  <c r="N457" i="1"/>
  <c r="O457" i="1" s="1"/>
  <c r="M457" i="1"/>
  <c r="L457" i="1"/>
  <c r="J457" i="1"/>
  <c r="N456" i="1"/>
  <c r="O456" i="1" s="1"/>
  <c r="J456" i="1"/>
  <c r="L456" i="1" s="1"/>
  <c r="M456" i="1" s="1"/>
  <c r="N455" i="1"/>
  <c r="O455" i="1" s="1"/>
  <c r="J455" i="1"/>
  <c r="L455" i="1" s="1"/>
  <c r="M455" i="1" s="1"/>
  <c r="O454" i="1"/>
  <c r="N454" i="1"/>
  <c r="J454" i="1"/>
  <c r="L454" i="1" s="1"/>
  <c r="M454" i="1" s="1"/>
  <c r="N453" i="1"/>
  <c r="O453" i="1" s="1"/>
  <c r="J453" i="1"/>
  <c r="L453" i="1" s="1"/>
  <c r="M453" i="1" s="1"/>
  <c r="O452" i="1"/>
  <c r="N452" i="1"/>
  <c r="J452" i="1"/>
  <c r="L452" i="1" s="1"/>
  <c r="M452" i="1" s="1"/>
  <c r="N451" i="1"/>
  <c r="O451" i="1" s="1"/>
  <c r="L451" i="1"/>
  <c r="M451" i="1" s="1"/>
  <c r="J451" i="1"/>
  <c r="N450" i="1"/>
  <c r="O450" i="1" s="1"/>
  <c r="M450" i="1"/>
  <c r="J450" i="1"/>
  <c r="L450" i="1" s="1"/>
  <c r="N449" i="1"/>
  <c r="O449" i="1" s="1"/>
  <c r="J449" i="1"/>
  <c r="L449" i="1" s="1"/>
  <c r="M449" i="1" s="1"/>
  <c r="O448" i="1"/>
  <c r="N448" i="1"/>
  <c r="J448" i="1"/>
  <c r="L448" i="1" s="1"/>
  <c r="M448" i="1" s="1"/>
  <c r="N447" i="1"/>
  <c r="O447" i="1" s="1"/>
  <c r="L447" i="1"/>
  <c r="M447" i="1" s="1"/>
  <c r="J447" i="1"/>
  <c r="N446" i="1"/>
  <c r="O446" i="1" s="1"/>
  <c r="M446" i="1"/>
  <c r="J446" i="1"/>
  <c r="L446" i="1" s="1"/>
  <c r="N445" i="1"/>
  <c r="O445" i="1" s="1"/>
  <c r="J445" i="1"/>
  <c r="L445" i="1" s="1"/>
  <c r="M445" i="1" s="1"/>
  <c r="O444" i="1"/>
  <c r="N444" i="1"/>
  <c r="J444" i="1"/>
  <c r="L444" i="1" s="1"/>
  <c r="M444" i="1" s="1"/>
  <c r="N443" i="1"/>
  <c r="O443" i="1" s="1"/>
  <c r="L443" i="1"/>
  <c r="M443" i="1" s="1"/>
  <c r="J443" i="1"/>
  <c r="N442" i="1"/>
  <c r="O442" i="1" s="1"/>
  <c r="M442" i="1"/>
  <c r="J442" i="1"/>
  <c r="L442" i="1" s="1"/>
  <c r="N441" i="1"/>
  <c r="O441" i="1" s="1"/>
  <c r="J441" i="1"/>
  <c r="L441" i="1" s="1"/>
  <c r="M441" i="1" s="1"/>
  <c r="O440" i="1"/>
  <c r="N440" i="1"/>
  <c r="J440" i="1"/>
  <c r="L440" i="1" s="1"/>
  <c r="M440" i="1" s="1"/>
  <c r="N439" i="1"/>
  <c r="O439" i="1" s="1"/>
  <c r="L439" i="1"/>
  <c r="M439" i="1" s="1"/>
  <c r="J439" i="1"/>
  <c r="N438" i="1"/>
  <c r="O438" i="1" s="1"/>
  <c r="J438" i="1"/>
  <c r="L438" i="1" s="1"/>
  <c r="M438" i="1" s="1"/>
  <c r="N437" i="1"/>
  <c r="O437" i="1" s="1"/>
  <c r="J437" i="1"/>
  <c r="L437" i="1" s="1"/>
  <c r="M437" i="1" s="1"/>
  <c r="O436" i="1"/>
  <c r="N436" i="1"/>
  <c r="J436" i="1"/>
  <c r="L436" i="1" s="1"/>
  <c r="M436" i="1" s="1"/>
  <c r="N435" i="1"/>
  <c r="O435" i="1" s="1"/>
  <c r="L435" i="1"/>
  <c r="M435" i="1" s="1"/>
  <c r="J435" i="1"/>
  <c r="N434" i="1"/>
  <c r="O434" i="1" s="1"/>
  <c r="M434" i="1"/>
  <c r="J434" i="1"/>
  <c r="L434" i="1" s="1"/>
  <c r="N433" i="1"/>
  <c r="O433" i="1" s="1"/>
  <c r="J433" i="1"/>
  <c r="L433" i="1" s="1"/>
  <c r="M433" i="1" s="1"/>
  <c r="O432" i="1"/>
  <c r="N432" i="1"/>
  <c r="J432" i="1"/>
  <c r="L432" i="1" s="1"/>
  <c r="M432" i="1" s="1"/>
  <c r="N431" i="1"/>
  <c r="O431" i="1" s="1"/>
  <c r="L431" i="1"/>
  <c r="M431" i="1" s="1"/>
  <c r="J431" i="1"/>
  <c r="N430" i="1"/>
  <c r="O430" i="1" s="1"/>
  <c r="M430" i="1"/>
  <c r="J430" i="1"/>
  <c r="L430" i="1" s="1"/>
  <c r="N429" i="1"/>
  <c r="O429" i="1" s="1"/>
  <c r="J429" i="1"/>
  <c r="L429" i="1" s="1"/>
  <c r="M429" i="1" s="1"/>
  <c r="O428" i="1"/>
  <c r="N428" i="1"/>
  <c r="J428" i="1"/>
  <c r="L428" i="1" s="1"/>
  <c r="M428" i="1" s="1"/>
  <c r="N427" i="1"/>
  <c r="O427" i="1" s="1"/>
  <c r="L427" i="1"/>
  <c r="M427" i="1" s="1"/>
  <c r="J427" i="1"/>
  <c r="N426" i="1"/>
  <c r="O426" i="1" s="1"/>
  <c r="M426" i="1"/>
  <c r="J426" i="1"/>
  <c r="L426" i="1" s="1"/>
  <c r="N425" i="1"/>
  <c r="O425" i="1" s="1"/>
  <c r="J425" i="1"/>
  <c r="L425" i="1" s="1"/>
  <c r="M425" i="1" s="1"/>
  <c r="O424" i="1"/>
  <c r="N424" i="1"/>
  <c r="J424" i="1"/>
  <c r="L424" i="1" s="1"/>
  <c r="M424" i="1" s="1"/>
  <c r="N423" i="1"/>
  <c r="O423" i="1" s="1"/>
  <c r="L423" i="1"/>
  <c r="M423" i="1" s="1"/>
  <c r="J423" i="1"/>
  <c r="N422" i="1"/>
  <c r="O422" i="1" s="1"/>
  <c r="J422" i="1"/>
  <c r="L422" i="1" s="1"/>
  <c r="M422" i="1" s="1"/>
  <c r="N421" i="1"/>
  <c r="O421" i="1" s="1"/>
  <c r="J421" i="1"/>
  <c r="L421" i="1" s="1"/>
  <c r="M421" i="1" s="1"/>
  <c r="O420" i="1"/>
  <c r="N420" i="1"/>
  <c r="J420" i="1"/>
  <c r="L420" i="1" s="1"/>
  <c r="M420" i="1" s="1"/>
  <c r="N419" i="1"/>
  <c r="O419" i="1" s="1"/>
  <c r="L419" i="1"/>
  <c r="M419" i="1" s="1"/>
  <c r="J419" i="1"/>
  <c r="N418" i="1"/>
  <c r="O418" i="1" s="1"/>
  <c r="J418" i="1"/>
  <c r="L418" i="1" s="1"/>
  <c r="M418" i="1" s="1"/>
  <c r="N417" i="1"/>
  <c r="O417" i="1" s="1"/>
  <c r="J417" i="1"/>
  <c r="L417" i="1" s="1"/>
  <c r="M417" i="1" s="1"/>
  <c r="O416" i="1"/>
  <c r="N416" i="1"/>
  <c r="J416" i="1"/>
  <c r="L416" i="1" s="1"/>
  <c r="M416" i="1" s="1"/>
  <c r="N415" i="1"/>
  <c r="O415" i="1" s="1"/>
  <c r="L415" i="1"/>
  <c r="M415" i="1" s="1"/>
  <c r="J415" i="1"/>
  <c r="N414" i="1"/>
  <c r="O414" i="1" s="1"/>
  <c r="M414" i="1"/>
  <c r="J414" i="1"/>
  <c r="L414" i="1" s="1"/>
  <c r="N413" i="1"/>
  <c r="O413" i="1" s="1"/>
  <c r="J413" i="1"/>
  <c r="L413" i="1" s="1"/>
  <c r="M413" i="1" s="1"/>
  <c r="O412" i="1"/>
  <c r="N412" i="1"/>
  <c r="J412" i="1"/>
  <c r="L412" i="1" s="1"/>
  <c r="M412" i="1" s="1"/>
  <c r="N411" i="1"/>
  <c r="O411" i="1" s="1"/>
  <c r="L411" i="1"/>
  <c r="M411" i="1" s="1"/>
  <c r="J411" i="1"/>
  <c r="N410" i="1"/>
  <c r="O410" i="1" s="1"/>
  <c r="M410" i="1"/>
  <c r="J410" i="1"/>
  <c r="L410" i="1" s="1"/>
  <c r="N409" i="1"/>
  <c r="O409" i="1" s="1"/>
  <c r="J409" i="1"/>
  <c r="L409" i="1" s="1"/>
  <c r="M409" i="1" s="1"/>
  <c r="O408" i="1"/>
  <c r="N408" i="1"/>
  <c r="J408" i="1"/>
  <c r="L408" i="1" s="1"/>
  <c r="M408" i="1" s="1"/>
  <c r="N407" i="1"/>
  <c r="O407" i="1" s="1"/>
  <c r="L407" i="1"/>
  <c r="M407" i="1" s="1"/>
  <c r="J407" i="1"/>
  <c r="N406" i="1"/>
  <c r="O406" i="1" s="1"/>
  <c r="J406" i="1"/>
  <c r="L406" i="1" s="1"/>
  <c r="M406" i="1" s="1"/>
  <c r="N405" i="1"/>
  <c r="O405" i="1" s="1"/>
  <c r="J405" i="1"/>
  <c r="L405" i="1" s="1"/>
  <c r="M405" i="1" s="1"/>
  <c r="O404" i="1"/>
  <c r="N404" i="1"/>
  <c r="J404" i="1"/>
  <c r="L404" i="1" s="1"/>
  <c r="M404" i="1" s="1"/>
  <c r="N403" i="1"/>
  <c r="O403" i="1" s="1"/>
  <c r="L403" i="1"/>
  <c r="M403" i="1" s="1"/>
  <c r="J403" i="1"/>
  <c r="N402" i="1"/>
  <c r="O402" i="1" s="1"/>
  <c r="J402" i="1"/>
  <c r="L402" i="1" s="1"/>
  <c r="M402" i="1" s="1"/>
  <c r="N401" i="1"/>
  <c r="O401" i="1" s="1"/>
  <c r="J401" i="1"/>
  <c r="L401" i="1" s="1"/>
  <c r="M401" i="1" s="1"/>
  <c r="O400" i="1"/>
  <c r="N400" i="1"/>
  <c r="J400" i="1"/>
  <c r="L400" i="1" s="1"/>
  <c r="M400" i="1" s="1"/>
  <c r="N399" i="1"/>
  <c r="O399" i="1" s="1"/>
  <c r="L399" i="1"/>
  <c r="M399" i="1" s="1"/>
  <c r="J399" i="1"/>
  <c r="N398" i="1"/>
  <c r="O398" i="1" s="1"/>
  <c r="M398" i="1"/>
  <c r="J398" i="1"/>
  <c r="L398" i="1" s="1"/>
  <c r="N397" i="1"/>
  <c r="O397" i="1" s="1"/>
  <c r="J397" i="1"/>
  <c r="L397" i="1" s="1"/>
  <c r="M397" i="1" s="1"/>
  <c r="O396" i="1"/>
  <c r="N396" i="1"/>
  <c r="J396" i="1"/>
  <c r="L396" i="1" s="1"/>
  <c r="M396" i="1" s="1"/>
  <c r="N395" i="1"/>
  <c r="O395" i="1" s="1"/>
  <c r="L395" i="1"/>
  <c r="M395" i="1" s="1"/>
  <c r="J395" i="1"/>
  <c r="N394" i="1"/>
  <c r="O394" i="1" s="1"/>
  <c r="M394" i="1"/>
  <c r="J394" i="1"/>
  <c r="L394" i="1" s="1"/>
  <c r="N393" i="1"/>
  <c r="O393" i="1" s="1"/>
  <c r="J393" i="1"/>
  <c r="L393" i="1" s="1"/>
  <c r="M393" i="1" s="1"/>
  <c r="O392" i="1"/>
  <c r="N392" i="1"/>
  <c r="J392" i="1"/>
  <c r="L392" i="1" s="1"/>
  <c r="M392" i="1" s="1"/>
  <c r="N391" i="1"/>
  <c r="O391" i="1" s="1"/>
  <c r="L391" i="1"/>
  <c r="M391" i="1" s="1"/>
  <c r="J391" i="1"/>
  <c r="N390" i="1"/>
  <c r="O390" i="1" s="1"/>
  <c r="J390" i="1"/>
  <c r="L390" i="1" s="1"/>
  <c r="M390" i="1" s="1"/>
  <c r="N389" i="1"/>
  <c r="O389" i="1" s="1"/>
  <c r="J389" i="1"/>
  <c r="L389" i="1" s="1"/>
  <c r="M389" i="1" s="1"/>
  <c r="O388" i="1"/>
  <c r="N388" i="1"/>
  <c r="J388" i="1"/>
  <c r="L388" i="1" s="1"/>
  <c r="M388" i="1" s="1"/>
  <c r="N387" i="1"/>
  <c r="O387" i="1" s="1"/>
  <c r="L387" i="1"/>
  <c r="M387" i="1" s="1"/>
  <c r="J387" i="1"/>
  <c r="N386" i="1"/>
  <c r="O386" i="1" s="1"/>
  <c r="J386" i="1"/>
  <c r="L386" i="1" s="1"/>
  <c r="M386" i="1" s="1"/>
  <c r="N385" i="1"/>
  <c r="O385" i="1" s="1"/>
  <c r="J385" i="1"/>
  <c r="L385" i="1" s="1"/>
  <c r="M385" i="1" s="1"/>
  <c r="O384" i="1"/>
  <c r="N384" i="1"/>
  <c r="J384" i="1"/>
  <c r="L384" i="1" s="1"/>
  <c r="M384" i="1" s="1"/>
  <c r="N383" i="1"/>
  <c r="O383" i="1" s="1"/>
  <c r="L383" i="1"/>
  <c r="M383" i="1" s="1"/>
  <c r="J383" i="1"/>
  <c r="O382" i="1"/>
  <c r="N382" i="1"/>
  <c r="J382" i="1"/>
  <c r="L382" i="1" s="1"/>
  <c r="M382" i="1" s="1"/>
  <c r="O381" i="1"/>
  <c r="N381" i="1"/>
  <c r="J381" i="1"/>
  <c r="L381" i="1" s="1"/>
  <c r="M381" i="1" s="1"/>
  <c r="O380" i="1"/>
  <c r="N380" i="1"/>
  <c r="J380" i="1"/>
  <c r="L380" i="1" s="1"/>
  <c r="M380" i="1" s="1"/>
  <c r="N379" i="1"/>
  <c r="O379" i="1" s="1"/>
  <c r="L379" i="1"/>
  <c r="M379" i="1" s="1"/>
  <c r="J379" i="1"/>
  <c r="N378" i="1"/>
  <c r="O378" i="1" s="1"/>
  <c r="J378" i="1"/>
  <c r="L378" i="1" s="1"/>
  <c r="M378" i="1" s="1"/>
  <c r="N377" i="1"/>
  <c r="O377" i="1" s="1"/>
  <c r="J377" i="1"/>
  <c r="L377" i="1" s="1"/>
  <c r="M377" i="1" s="1"/>
  <c r="O376" i="1"/>
  <c r="N376" i="1"/>
  <c r="L376" i="1"/>
  <c r="M376" i="1" s="1"/>
  <c r="J376" i="1"/>
  <c r="N375" i="1"/>
  <c r="O375" i="1" s="1"/>
  <c r="L375" i="1"/>
  <c r="M375" i="1" s="1"/>
  <c r="J375" i="1"/>
  <c r="N374" i="1"/>
  <c r="O374" i="1" s="1"/>
  <c r="M374" i="1"/>
  <c r="J374" i="1"/>
  <c r="L374" i="1" s="1"/>
  <c r="N373" i="1"/>
  <c r="O373" i="1" s="1"/>
  <c r="L373" i="1"/>
  <c r="M373" i="1" s="1"/>
  <c r="J373" i="1"/>
  <c r="O372" i="1"/>
  <c r="N372" i="1"/>
  <c r="J372" i="1"/>
  <c r="L372" i="1" s="1"/>
  <c r="M372" i="1" s="1"/>
  <c r="N371" i="1"/>
  <c r="O371" i="1" s="1"/>
  <c r="M371" i="1"/>
  <c r="L371" i="1"/>
  <c r="J371" i="1"/>
  <c r="N370" i="1"/>
  <c r="O370" i="1" s="1"/>
  <c r="J370" i="1"/>
  <c r="L370" i="1" s="1"/>
  <c r="M370" i="1" s="1"/>
  <c r="N369" i="1"/>
  <c r="O369" i="1" s="1"/>
  <c r="J369" i="1"/>
  <c r="L369" i="1" s="1"/>
  <c r="M369" i="1" s="1"/>
  <c r="O368" i="1"/>
  <c r="N368" i="1"/>
  <c r="J368" i="1"/>
  <c r="L368" i="1" s="1"/>
  <c r="M368" i="1" s="1"/>
  <c r="N367" i="1"/>
  <c r="O367" i="1" s="1"/>
  <c r="L367" i="1"/>
  <c r="M367" i="1" s="1"/>
  <c r="J367" i="1"/>
  <c r="O366" i="1"/>
  <c r="N366" i="1"/>
  <c r="J366" i="1"/>
  <c r="L366" i="1" s="1"/>
  <c r="M366" i="1" s="1"/>
  <c r="O365" i="1"/>
  <c r="N365" i="1"/>
  <c r="J365" i="1"/>
  <c r="L365" i="1" s="1"/>
  <c r="M365" i="1" s="1"/>
  <c r="O364" i="1"/>
  <c r="N364" i="1"/>
  <c r="J364" i="1"/>
  <c r="L364" i="1" s="1"/>
  <c r="M364" i="1" s="1"/>
  <c r="N363" i="1"/>
  <c r="O363" i="1" s="1"/>
  <c r="L363" i="1"/>
  <c r="M363" i="1" s="1"/>
  <c r="J363" i="1"/>
  <c r="O362" i="1"/>
  <c r="N362" i="1"/>
  <c r="J362" i="1"/>
  <c r="L362" i="1" s="1"/>
  <c r="M362" i="1" s="1"/>
  <c r="O361" i="1"/>
  <c r="N361" i="1"/>
  <c r="J361" i="1"/>
  <c r="L361" i="1" s="1"/>
  <c r="M361" i="1" s="1"/>
  <c r="O360" i="1"/>
  <c r="N360" i="1"/>
  <c r="L360" i="1"/>
  <c r="M360" i="1" s="1"/>
  <c r="J360" i="1"/>
  <c r="N359" i="1"/>
  <c r="O359" i="1" s="1"/>
  <c r="L359" i="1"/>
  <c r="M359" i="1" s="1"/>
  <c r="J359" i="1"/>
  <c r="N358" i="1"/>
  <c r="O358" i="1" s="1"/>
  <c r="M358" i="1"/>
  <c r="J358" i="1"/>
  <c r="L358" i="1" s="1"/>
  <c r="N357" i="1"/>
  <c r="O357" i="1" s="1"/>
  <c r="L357" i="1"/>
  <c r="M357" i="1" s="1"/>
  <c r="J357" i="1"/>
  <c r="O356" i="1"/>
  <c r="N356" i="1"/>
  <c r="M356" i="1"/>
  <c r="L356" i="1"/>
  <c r="J356" i="1"/>
  <c r="N355" i="1"/>
  <c r="O355" i="1" s="1"/>
  <c r="M355" i="1"/>
  <c r="L355" i="1"/>
  <c r="J355" i="1"/>
  <c r="N354" i="1"/>
  <c r="O354" i="1" s="1"/>
  <c r="M354" i="1"/>
  <c r="J354" i="1"/>
  <c r="L354" i="1" s="1"/>
  <c r="N353" i="1"/>
  <c r="O353" i="1" s="1"/>
  <c r="L353" i="1"/>
  <c r="M353" i="1" s="1"/>
  <c r="J353" i="1"/>
  <c r="O352" i="1"/>
  <c r="N352" i="1"/>
  <c r="J352" i="1"/>
  <c r="L352" i="1" s="1"/>
  <c r="M352" i="1" s="1"/>
  <c r="N351" i="1"/>
  <c r="O351" i="1" s="1"/>
  <c r="M351" i="1"/>
  <c r="L351" i="1"/>
  <c r="J351" i="1"/>
  <c r="O350" i="1"/>
  <c r="N350" i="1"/>
  <c r="J350" i="1"/>
  <c r="L350" i="1" s="1"/>
  <c r="M350" i="1" s="1"/>
  <c r="O349" i="1"/>
  <c r="N349" i="1"/>
  <c r="J349" i="1"/>
  <c r="L349" i="1" s="1"/>
  <c r="M349" i="1" s="1"/>
  <c r="O348" i="1"/>
  <c r="N348" i="1"/>
  <c r="J348" i="1"/>
  <c r="L348" i="1" s="1"/>
  <c r="M348" i="1" s="1"/>
  <c r="N347" i="1"/>
  <c r="O347" i="1" s="1"/>
  <c r="L347" i="1"/>
  <c r="M347" i="1" s="1"/>
  <c r="J347" i="1"/>
  <c r="O346" i="1"/>
  <c r="N346" i="1"/>
  <c r="J346" i="1"/>
  <c r="L346" i="1" s="1"/>
  <c r="M346" i="1" s="1"/>
  <c r="O345" i="1"/>
  <c r="N345" i="1"/>
  <c r="J345" i="1"/>
  <c r="L345" i="1" s="1"/>
  <c r="M345" i="1" s="1"/>
  <c r="O344" i="1"/>
  <c r="N344" i="1"/>
  <c r="L344" i="1"/>
  <c r="M344" i="1" s="1"/>
  <c r="J344" i="1"/>
  <c r="N343" i="1"/>
  <c r="O343" i="1" s="1"/>
  <c r="L343" i="1"/>
  <c r="M343" i="1" s="1"/>
  <c r="J343" i="1"/>
  <c r="N342" i="1"/>
  <c r="O342" i="1" s="1"/>
  <c r="M342" i="1"/>
  <c r="J342" i="1"/>
  <c r="L342" i="1" s="1"/>
  <c r="N341" i="1"/>
  <c r="O341" i="1" s="1"/>
  <c r="L341" i="1"/>
  <c r="M341" i="1" s="1"/>
  <c r="J341" i="1"/>
  <c r="O340" i="1"/>
  <c r="N340" i="1"/>
  <c r="M340" i="1"/>
  <c r="L340" i="1"/>
  <c r="J340" i="1"/>
  <c r="N339" i="1"/>
  <c r="O339" i="1" s="1"/>
  <c r="M339" i="1"/>
  <c r="L339" i="1"/>
  <c r="J339" i="1"/>
  <c r="N338" i="1"/>
  <c r="O338" i="1" s="1"/>
  <c r="M338" i="1"/>
  <c r="J338" i="1"/>
  <c r="L338" i="1" s="1"/>
  <c r="N337" i="1"/>
  <c r="O337" i="1" s="1"/>
  <c r="L337" i="1"/>
  <c r="M337" i="1" s="1"/>
  <c r="J337" i="1"/>
  <c r="O336" i="1"/>
  <c r="N336" i="1"/>
  <c r="J336" i="1"/>
  <c r="L336" i="1" s="1"/>
  <c r="M336" i="1" s="1"/>
  <c r="N335" i="1"/>
  <c r="O335" i="1" s="1"/>
  <c r="M335" i="1"/>
  <c r="L335" i="1"/>
  <c r="J335" i="1"/>
  <c r="O334" i="1"/>
  <c r="N334" i="1"/>
  <c r="J334" i="1"/>
  <c r="L334" i="1" s="1"/>
  <c r="M334" i="1" s="1"/>
  <c r="O333" i="1"/>
  <c r="N333" i="1"/>
  <c r="J333" i="1"/>
  <c r="L333" i="1" s="1"/>
  <c r="M333" i="1" s="1"/>
  <c r="O332" i="1"/>
  <c r="N332" i="1"/>
  <c r="J332" i="1"/>
  <c r="L332" i="1" s="1"/>
  <c r="M332" i="1" s="1"/>
  <c r="N331" i="1"/>
  <c r="O331" i="1" s="1"/>
  <c r="L331" i="1"/>
  <c r="M331" i="1" s="1"/>
  <c r="J331" i="1"/>
  <c r="O330" i="1"/>
  <c r="N330" i="1"/>
  <c r="J330" i="1"/>
  <c r="L330" i="1" s="1"/>
  <c r="M330" i="1" s="1"/>
  <c r="O329" i="1"/>
  <c r="N329" i="1"/>
  <c r="J329" i="1"/>
  <c r="L329" i="1" s="1"/>
  <c r="M329" i="1" s="1"/>
  <c r="O328" i="1"/>
  <c r="N328" i="1"/>
  <c r="L328" i="1"/>
  <c r="M328" i="1" s="1"/>
  <c r="J328" i="1"/>
  <c r="N327" i="1"/>
  <c r="O327" i="1" s="1"/>
  <c r="L327" i="1"/>
  <c r="M327" i="1" s="1"/>
  <c r="J327" i="1"/>
  <c r="N326" i="1"/>
  <c r="O326" i="1" s="1"/>
  <c r="M326" i="1"/>
  <c r="J326" i="1"/>
  <c r="L326" i="1" s="1"/>
  <c r="N325" i="1"/>
  <c r="O325" i="1" s="1"/>
  <c r="L325" i="1"/>
  <c r="M325" i="1" s="1"/>
  <c r="J325" i="1"/>
  <c r="O324" i="1"/>
  <c r="N324" i="1"/>
  <c r="M324" i="1"/>
  <c r="L324" i="1"/>
  <c r="J324" i="1"/>
  <c r="N323" i="1"/>
  <c r="O323" i="1" s="1"/>
  <c r="J323" i="1"/>
  <c r="L323" i="1" s="1"/>
  <c r="M323" i="1" s="1"/>
  <c r="O322" i="1"/>
  <c r="N322" i="1"/>
  <c r="J322" i="1"/>
  <c r="L322" i="1" s="1"/>
  <c r="M322" i="1" s="1"/>
  <c r="O321" i="1"/>
  <c r="N321" i="1"/>
  <c r="L321" i="1"/>
  <c r="M321" i="1" s="1"/>
  <c r="J321" i="1"/>
  <c r="N320" i="1"/>
  <c r="O320" i="1" s="1"/>
  <c r="M320" i="1"/>
  <c r="L320" i="1"/>
  <c r="J320" i="1"/>
  <c r="N319" i="1"/>
  <c r="O319" i="1" s="1"/>
  <c r="J319" i="1"/>
  <c r="L319" i="1" s="1"/>
  <c r="M319" i="1" s="1"/>
  <c r="O318" i="1"/>
  <c r="N318" i="1"/>
  <c r="J318" i="1"/>
  <c r="L318" i="1" s="1"/>
  <c r="M318" i="1" s="1"/>
  <c r="O317" i="1"/>
  <c r="N317" i="1"/>
  <c r="L317" i="1"/>
  <c r="M317" i="1" s="1"/>
  <c r="J317" i="1"/>
  <c r="N316" i="1"/>
  <c r="O316" i="1" s="1"/>
  <c r="M316" i="1"/>
  <c r="L316" i="1"/>
  <c r="J316" i="1"/>
  <c r="N315" i="1"/>
  <c r="O315" i="1" s="1"/>
  <c r="J315" i="1"/>
  <c r="L315" i="1" s="1"/>
  <c r="M315" i="1" s="1"/>
  <c r="O314" i="1"/>
  <c r="N314" i="1"/>
  <c r="J314" i="1"/>
  <c r="L314" i="1" s="1"/>
  <c r="M314" i="1" s="1"/>
  <c r="O313" i="1"/>
  <c r="N313" i="1"/>
  <c r="L313" i="1"/>
  <c r="M313" i="1" s="1"/>
  <c r="J313" i="1"/>
  <c r="N312" i="1"/>
  <c r="O312" i="1" s="1"/>
  <c r="M312" i="1"/>
  <c r="L312" i="1"/>
  <c r="J312" i="1"/>
  <c r="N311" i="1"/>
  <c r="O311" i="1" s="1"/>
  <c r="J311" i="1"/>
  <c r="L311" i="1" s="1"/>
  <c r="M311" i="1" s="1"/>
  <c r="O310" i="1"/>
  <c r="N310" i="1"/>
  <c r="J310" i="1"/>
  <c r="L310" i="1" s="1"/>
  <c r="M310" i="1" s="1"/>
  <c r="O309" i="1"/>
  <c r="N309" i="1"/>
  <c r="L309" i="1"/>
  <c r="M309" i="1" s="1"/>
  <c r="J309" i="1"/>
  <c r="N308" i="1"/>
  <c r="O308" i="1" s="1"/>
  <c r="M308" i="1"/>
  <c r="L308" i="1"/>
  <c r="J308" i="1"/>
  <c r="N307" i="1"/>
  <c r="O307" i="1" s="1"/>
  <c r="J307" i="1"/>
  <c r="L307" i="1" s="1"/>
  <c r="M307" i="1" s="1"/>
  <c r="O306" i="1"/>
  <c r="N306" i="1"/>
  <c r="J306" i="1"/>
  <c r="L306" i="1" s="1"/>
  <c r="M306" i="1" s="1"/>
  <c r="O305" i="1"/>
  <c r="N305" i="1"/>
  <c r="L305" i="1"/>
  <c r="M305" i="1" s="1"/>
  <c r="J305" i="1"/>
  <c r="N304" i="1"/>
  <c r="O304" i="1" s="1"/>
  <c r="M304" i="1"/>
  <c r="L304" i="1"/>
  <c r="J304" i="1"/>
  <c r="N303" i="1"/>
  <c r="O303" i="1" s="1"/>
  <c r="J303" i="1"/>
  <c r="L303" i="1" s="1"/>
  <c r="M303" i="1" s="1"/>
  <c r="O302" i="1"/>
  <c r="N302" i="1"/>
  <c r="J302" i="1"/>
  <c r="L302" i="1" s="1"/>
  <c r="M302" i="1" s="1"/>
  <c r="O301" i="1"/>
  <c r="N301" i="1"/>
  <c r="L301" i="1"/>
  <c r="M301" i="1" s="1"/>
  <c r="J301" i="1"/>
  <c r="N300" i="1"/>
  <c r="O300" i="1" s="1"/>
  <c r="M300" i="1"/>
  <c r="L300" i="1"/>
  <c r="J300" i="1"/>
  <c r="N299" i="1"/>
  <c r="O299" i="1" s="1"/>
  <c r="J299" i="1"/>
  <c r="L299" i="1" s="1"/>
  <c r="M299" i="1" s="1"/>
  <c r="O298" i="1"/>
  <c r="N298" i="1"/>
  <c r="J298" i="1"/>
  <c r="L298" i="1" s="1"/>
  <c r="M298" i="1" s="1"/>
  <c r="O297" i="1"/>
  <c r="N297" i="1"/>
  <c r="L297" i="1"/>
  <c r="M297" i="1" s="1"/>
  <c r="J297" i="1"/>
  <c r="N296" i="1"/>
  <c r="O296" i="1" s="1"/>
  <c r="M296" i="1"/>
  <c r="L296" i="1"/>
  <c r="J296" i="1"/>
  <c r="N295" i="1"/>
  <c r="O295" i="1" s="1"/>
  <c r="J295" i="1"/>
  <c r="L295" i="1" s="1"/>
  <c r="M295" i="1" s="1"/>
  <c r="O294" i="1"/>
  <c r="N294" i="1"/>
  <c r="J294" i="1"/>
  <c r="L294" i="1" s="1"/>
  <c r="M294" i="1" s="1"/>
  <c r="O293" i="1"/>
  <c r="N293" i="1"/>
  <c r="L293" i="1"/>
  <c r="M293" i="1" s="1"/>
  <c r="J293" i="1"/>
  <c r="N292" i="1"/>
  <c r="O292" i="1" s="1"/>
  <c r="M292" i="1"/>
  <c r="L292" i="1"/>
  <c r="J292" i="1"/>
  <c r="N291" i="1"/>
  <c r="O291" i="1" s="1"/>
  <c r="J291" i="1"/>
  <c r="L291" i="1" s="1"/>
  <c r="M291" i="1" s="1"/>
  <c r="O290" i="1"/>
  <c r="N290" i="1"/>
  <c r="J290" i="1"/>
  <c r="L290" i="1" s="1"/>
  <c r="M290" i="1" s="1"/>
  <c r="O289" i="1"/>
  <c r="N289" i="1"/>
  <c r="L289" i="1"/>
  <c r="M289" i="1" s="1"/>
  <c r="J289" i="1"/>
  <c r="N288" i="1"/>
  <c r="O288" i="1" s="1"/>
  <c r="M288" i="1"/>
  <c r="L288" i="1"/>
  <c r="J288" i="1"/>
  <c r="N287" i="1"/>
  <c r="O287" i="1" s="1"/>
  <c r="J287" i="1"/>
  <c r="L287" i="1" s="1"/>
  <c r="M287" i="1" s="1"/>
  <c r="O286" i="1"/>
  <c r="N286" i="1"/>
  <c r="J286" i="1"/>
  <c r="L286" i="1" s="1"/>
  <c r="M286" i="1" s="1"/>
  <c r="O285" i="1"/>
  <c r="N285" i="1"/>
  <c r="L285" i="1"/>
  <c r="M285" i="1" s="1"/>
  <c r="J285" i="1"/>
  <c r="N284" i="1"/>
  <c r="O284" i="1" s="1"/>
  <c r="M284" i="1"/>
  <c r="L284" i="1"/>
  <c r="J284" i="1"/>
  <c r="N283" i="1"/>
  <c r="O283" i="1" s="1"/>
  <c r="J283" i="1"/>
  <c r="L283" i="1" s="1"/>
  <c r="M283" i="1" s="1"/>
  <c r="O282" i="1"/>
  <c r="N282" i="1"/>
  <c r="J282" i="1"/>
  <c r="L282" i="1" s="1"/>
  <c r="M282" i="1" s="1"/>
  <c r="O281" i="1"/>
  <c r="N281" i="1"/>
  <c r="L281" i="1"/>
  <c r="M281" i="1" s="1"/>
  <c r="J281" i="1"/>
  <c r="N280" i="1"/>
  <c r="O280" i="1" s="1"/>
  <c r="M280" i="1"/>
  <c r="L280" i="1"/>
  <c r="J280" i="1"/>
  <c r="N279" i="1"/>
  <c r="O279" i="1" s="1"/>
  <c r="J279" i="1"/>
  <c r="L279" i="1" s="1"/>
  <c r="M279" i="1" s="1"/>
  <c r="O278" i="1"/>
  <c r="N278" i="1"/>
  <c r="J278" i="1"/>
  <c r="L278" i="1" s="1"/>
  <c r="M278" i="1" s="1"/>
  <c r="O277" i="1"/>
  <c r="N277" i="1"/>
  <c r="L277" i="1"/>
  <c r="M277" i="1" s="1"/>
  <c r="J277" i="1"/>
  <c r="N276" i="1"/>
  <c r="O276" i="1" s="1"/>
  <c r="M276" i="1"/>
  <c r="L276" i="1"/>
  <c r="J276" i="1"/>
  <c r="N275" i="1"/>
  <c r="O275" i="1" s="1"/>
  <c r="J275" i="1"/>
  <c r="L275" i="1" s="1"/>
  <c r="M275" i="1" s="1"/>
  <c r="O274" i="1"/>
  <c r="N274" i="1"/>
  <c r="J274" i="1"/>
  <c r="L274" i="1" s="1"/>
  <c r="M274" i="1" s="1"/>
  <c r="O273" i="1"/>
  <c r="N273" i="1"/>
  <c r="L273" i="1"/>
  <c r="M273" i="1" s="1"/>
  <c r="J273" i="1"/>
  <c r="N272" i="1"/>
  <c r="O272" i="1" s="1"/>
  <c r="M272" i="1"/>
  <c r="L272" i="1"/>
  <c r="J272" i="1"/>
  <c r="N271" i="1"/>
  <c r="O271" i="1" s="1"/>
  <c r="J271" i="1"/>
  <c r="L271" i="1" s="1"/>
  <c r="M271" i="1" s="1"/>
  <c r="O270" i="1"/>
  <c r="N270" i="1"/>
  <c r="J270" i="1"/>
  <c r="L270" i="1" s="1"/>
  <c r="M270" i="1" s="1"/>
  <c r="O269" i="1"/>
  <c r="N269" i="1"/>
  <c r="L269" i="1"/>
  <c r="M269" i="1" s="1"/>
  <c r="J269" i="1"/>
  <c r="N268" i="1"/>
  <c r="O268" i="1" s="1"/>
  <c r="M268" i="1"/>
  <c r="L268" i="1"/>
  <c r="J268" i="1"/>
  <c r="N267" i="1"/>
  <c r="O267" i="1" s="1"/>
  <c r="J267" i="1"/>
  <c r="L267" i="1" s="1"/>
  <c r="M267" i="1" s="1"/>
  <c r="O266" i="1"/>
  <c r="N266" i="1"/>
  <c r="J266" i="1"/>
  <c r="L266" i="1" s="1"/>
  <c r="M266" i="1" s="1"/>
  <c r="O265" i="1"/>
  <c r="N265" i="1"/>
  <c r="L265" i="1"/>
  <c r="M265" i="1" s="1"/>
  <c r="J265" i="1"/>
  <c r="N264" i="1"/>
  <c r="O264" i="1" s="1"/>
  <c r="M264" i="1"/>
  <c r="L264" i="1"/>
  <c r="J264" i="1"/>
  <c r="N263" i="1"/>
  <c r="O263" i="1" s="1"/>
  <c r="J263" i="1"/>
  <c r="L263" i="1" s="1"/>
  <c r="M263" i="1" s="1"/>
  <c r="O262" i="1"/>
  <c r="N262" i="1"/>
  <c r="J262" i="1"/>
  <c r="L262" i="1" s="1"/>
  <c r="M262" i="1" s="1"/>
  <c r="O261" i="1"/>
  <c r="N261" i="1"/>
  <c r="L261" i="1"/>
  <c r="M261" i="1" s="1"/>
  <c r="J261" i="1"/>
  <c r="N260" i="1"/>
  <c r="O260" i="1" s="1"/>
  <c r="M260" i="1"/>
  <c r="L260" i="1"/>
  <c r="J260" i="1"/>
  <c r="N259" i="1"/>
  <c r="O259" i="1" s="1"/>
  <c r="J259" i="1"/>
  <c r="L259" i="1" s="1"/>
  <c r="M259" i="1" s="1"/>
  <c r="O258" i="1"/>
  <c r="N258" i="1"/>
  <c r="J258" i="1"/>
  <c r="L258" i="1" s="1"/>
  <c r="M258" i="1" s="1"/>
  <c r="O257" i="1"/>
  <c r="N257" i="1"/>
  <c r="L257" i="1"/>
  <c r="M257" i="1" s="1"/>
  <c r="J257" i="1"/>
  <c r="N256" i="1"/>
  <c r="O256" i="1" s="1"/>
  <c r="M256" i="1"/>
  <c r="L256" i="1"/>
  <c r="J256" i="1"/>
  <c r="N255" i="1"/>
  <c r="O255" i="1" s="1"/>
  <c r="J255" i="1"/>
  <c r="L255" i="1" s="1"/>
  <c r="M255" i="1" s="1"/>
  <c r="O254" i="1"/>
  <c r="N254" i="1"/>
  <c r="J254" i="1"/>
  <c r="L254" i="1" s="1"/>
  <c r="M254" i="1" s="1"/>
  <c r="O253" i="1"/>
  <c r="N253" i="1"/>
  <c r="L253" i="1"/>
  <c r="M253" i="1" s="1"/>
  <c r="J253" i="1"/>
  <c r="N252" i="1"/>
  <c r="O252" i="1" s="1"/>
  <c r="M252" i="1"/>
  <c r="L252" i="1"/>
  <c r="J252" i="1"/>
  <c r="N251" i="1"/>
  <c r="O251" i="1" s="1"/>
  <c r="J251" i="1"/>
  <c r="L251" i="1" s="1"/>
  <c r="M251" i="1" s="1"/>
  <c r="O250" i="1"/>
  <c r="N250" i="1"/>
  <c r="J250" i="1"/>
  <c r="L250" i="1" s="1"/>
  <c r="M250" i="1" s="1"/>
  <c r="O249" i="1"/>
  <c r="N249" i="1"/>
  <c r="L249" i="1"/>
  <c r="M249" i="1" s="1"/>
  <c r="J249" i="1"/>
  <c r="N248" i="1"/>
  <c r="O248" i="1" s="1"/>
  <c r="M248" i="1"/>
  <c r="L248" i="1"/>
  <c r="J248" i="1"/>
  <c r="N247" i="1"/>
  <c r="O247" i="1" s="1"/>
  <c r="J247" i="1"/>
  <c r="L247" i="1" s="1"/>
  <c r="M247" i="1" s="1"/>
  <c r="O246" i="1"/>
  <c r="N246" i="1"/>
  <c r="J246" i="1"/>
  <c r="L246" i="1" s="1"/>
  <c r="M246" i="1" s="1"/>
  <c r="O245" i="1"/>
  <c r="N245" i="1"/>
  <c r="L245" i="1"/>
  <c r="M245" i="1" s="1"/>
  <c r="J245" i="1"/>
  <c r="N244" i="1"/>
  <c r="O244" i="1" s="1"/>
  <c r="M244" i="1"/>
  <c r="L244" i="1"/>
  <c r="J244" i="1"/>
  <c r="N243" i="1"/>
  <c r="O243" i="1" s="1"/>
  <c r="J243" i="1"/>
  <c r="L243" i="1" s="1"/>
  <c r="M243" i="1" s="1"/>
  <c r="O242" i="1"/>
  <c r="N242" i="1"/>
  <c r="J242" i="1"/>
  <c r="L242" i="1" s="1"/>
  <c r="M242" i="1" s="1"/>
  <c r="O241" i="1"/>
  <c r="N241" i="1"/>
  <c r="L241" i="1"/>
  <c r="M241" i="1" s="1"/>
  <c r="J241" i="1"/>
  <c r="N240" i="1"/>
  <c r="O240" i="1" s="1"/>
  <c r="M240" i="1"/>
  <c r="L240" i="1"/>
  <c r="J240" i="1"/>
  <c r="N239" i="1"/>
  <c r="O239" i="1" s="1"/>
  <c r="J239" i="1"/>
  <c r="L239" i="1" s="1"/>
  <c r="M239" i="1" s="1"/>
  <c r="O238" i="1"/>
  <c r="N238" i="1"/>
  <c r="J238" i="1"/>
  <c r="L238" i="1" s="1"/>
  <c r="M238" i="1" s="1"/>
  <c r="O237" i="1"/>
  <c r="N237" i="1"/>
  <c r="L237" i="1"/>
  <c r="M237" i="1" s="1"/>
  <c r="J237" i="1"/>
  <c r="N236" i="1"/>
  <c r="O236" i="1" s="1"/>
  <c r="M236" i="1"/>
  <c r="L236" i="1"/>
  <c r="J236" i="1"/>
  <c r="N235" i="1"/>
  <c r="O235" i="1" s="1"/>
  <c r="M235" i="1"/>
  <c r="J235" i="1"/>
  <c r="L235" i="1" s="1"/>
  <c r="O234" i="1"/>
  <c r="N234" i="1"/>
  <c r="J234" i="1"/>
  <c r="L234" i="1" s="1"/>
  <c r="M234" i="1" s="1"/>
  <c r="O233" i="1"/>
  <c r="N233" i="1"/>
  <c r="J233" i="1"/>
  <c r="L233" i="1" s="1"/>
  <c r="M233" i="1" s="1"/>
  <c r="N232" i="1"/>
  <c r="O232" i="1" s="1"/>
  <c r="M232" i="1"/>
  <c r="L232" i="1"/>
  <c r="J232" i="1"/>
  <c r="N231" i="1"/>
  <c r="O231" i="1" s="1"/>
  <c r="M231" i="1"/>
  <c r="J231" i="1"/>
  <c r="L231" i="1" s="1"/>
  <c r="O230" i="1"/>
  <c r="N230" i="1"/>
  <c r="J230" i="1"/>
  <c r="L230" i="1" s="1"/>
  <c r="M230" i="1" s="1"/>
  <c r="O229" i="1"/>
  <c r="N229" i="1"/>
  <c r="J229" i="1"/>
  <c r="L229" i="1" s="1"/>
  <c r="M229" i="1" s="1"/>
  <c r="N228" i="1"/>
  <c r="O228" i="1" s="1"/>
  <c r="M228" i="1"/>
  <c r="L228" i="1"/>
  <c r="J228" i="1"/>
  <c r="N227" i="1"/>
  <c r="O227" i="1" s="1"/>
  <c r="M227" i="1"/>
  <c r="J227" i="1"/>
  <c r="L227" i="1" s="1"/>
  <c r="O226" i="1"/>
  <c r="N226" i="1"/>
  <c r="J226" i="1"/>
  <c r="L226" i="1" s="1"/>
  <c r="M226" i="1" s="1"/>
  <c r="O225" i="1"/>
  <c r="N225" i="1"/>
  <c r="J225" i="1"/>
  <c r="L225" i="1" s="1"/>
  <c r="M225" i="1" s="1"/>
  <c r="N224" i="1"/>
  <c r="O224" i="1" s="1"/>
  <c r="M224" i="1"/>
  <c r="L224" i="1"/>
  <c r="J224" i="1"/>
  <c r="N223" i="1"/>
  <c r="O223" i="1" s="1"/>
  <c r="M223" i="1"/>
  <c r="J223" i="1"/>
  <c r="L223" i="1" s="1"/>
  <c r="O222" i="1"/>
  <c r="N222" i="1"/>
  <c r="J222" i="1"/>
  <c r="L222" i="1" s="1"/>
  <c r="M222" i="1" s="1"/>
  <c r="O221" i="1"/>
  <c r="N221" i="1"/>
  <c r="J221" i="1"/>
  <c r="L221" i="1" s="1"/>
  <c r="M221" i="1" s="1"/>
  <c r="N220" i="1"/>
  <c r="O220" i="1" s="1"/>
  <c r="M220" i="1"/>
  <c r="L220" i="1"/>
  <c r="J220" i="1"/>
  <c r="N219" i="1"/>
  <c r="O219" i="1" s="1"/>
  <c r="M219" i="1"/>
  <c r="J219" i="1"/>
  <c r="L219" i="1" s="1"/>
  <c r="O218" i="1"/>
  <c r="N218" i="1"/>
  <c r="J218" i="1"/>
  <c r="L218" i="1" s="1"/>
  <c r="M218" i="1" s="1"/>
  <c r="O217" i="1"/>
  <c r="N217" i="1"/>
  <c r="J217" i="1"/>
  <c r="L217" i="1" s="1"/>
  <c r="M217" i="1" s="1"/>
  <c r="N216" i="1"/>
  <c r="O216" i="1" s="1"/>
  <c r="M216" i="1"/>
  <c r="L216" i="1"/>
  <c r="J216" i="1"/>
  <c r="N215" i="1"/>
  <c r="O215" i="1" s="1"/>
  <c r="M215" i="1"/>
  <c r="J215" i="1"/>
  <c r="L215" i="1" s="1"/>
  <c r="O214" i="1"/>
  <c r="N214" i="1"/>
  <c r="J214" i="1"/>
  <c r="L214" i="1" s="1"/>
  <c r="M214" i="1" s="1"/>
  <c r="O213" i="1"/>
  <c r="N213" i="1"/>
  <c r="J213" i="1"/>
  <c r="L213" i="1" s="1"/>
  <c r="M213" i="1" s="1"/>
  <c r="N212" i="1"/>
  <c r="O212" i="1" s="1"/>
  <c r="M212" i="1"/>
  <c r="L212" i="1"/>
  <c r="J212" i="1"/>
  <c r="N211" i="1"/>
  <c r="O211" i="1" s="1"/>
  <c r="M211" i="1"/>
  <c r="J211" i="1"/>
  <c r="L211" i="1" s="1"/>
  <c r="O210" i="1"/>
  <c r="N210" i="1"/>
  <c r="J210" i="1"/>
  <c r="L210" i="1" s="1"/>
  <c r="M210" i="1" s="1"/>
  <c r="O209" i="1"/>
  <c r="N209" i="1"/>
  <c r="J209" i="1"/>
  <c r="L209" i="1" s="1"/>
  <c r="M209" i="1" s="1"/>
  <c r="N208" i="1"/>
  <c r="O208" i="1" s="1"/>
  <c r="M208" i="1"/>
  <c r="L208" i="1"/>
  <c r="J208" i="1"/>
  <c r="N207" i="1"/>
  <c r="O207" i="1" s="1"/>
  <c r="M207" i="1"/>
  <c r="J207" i="1"/>
  <c r="L207" i="1" s="1"/>
  <c r="O206" i="1"/>
  <c r="N206" i="1"/>
  <c r="J206" i="1"/>
  <c r="L206" i="1" s="1"/>
  <c r="M206" i="1" s="1"/>
  <c r="O205" i="1"/>
  <c r="N205" i="1"/>
  <c r="J205" i="1"/>
  <c r="L205" i="1" s="1"/>
  <c r="M205" i="1" s="1"/>
  <c r="N204" i="1"/>
  <c r="O204" i="1" s="1"/>
  <c r="M204" i="1"/>
  <c r="L204" i="1"/>
  <c r="J204" i="1"/>
  <c r="N203" i="1"/>
  <c r="O203" i="1" s="1"/>
  <c r="M203" i="1"/>
  <c r="J203" i="1"/>
  <c r="L203" i="1" s="1"/>
  <c r="O202" i="1"/>
  <c r="N202" i="1"/>
  <c r="J202" i="1"/>
  <c r="L202" i="1" s="1"/>
  <c r="M202" i="1" s="1"/>
  <c r="O201" i="1"/>
  <c r="N201" i="1"/>
  <c r="J201" i="1"/>
  <c r="L201" i="1" s="1"/>
  <c r="M201" i="1" s="1"/>
  <c r="N200" i="1"/>
  <c r="O200" i="1" s="1"/>
  <c r="M200" i="1"/>
  <c r="L200" i="1"/>
  <c r="J200" i="1"/>
  <c r="N199" i="1"/>
  <c r="O199" i="1" s="1"/>
  <c r="M199" i="1"/>
  <c r="J199" i="1"/>
  <c r="L199" i="1" s="1"/>
  <c r="O198" i="1"/>
  <c r="N198" i="1"/>
  <c r="J198" i="1"/>
  <c r="L198" i="1" s="1"/>
  <c r="M198" i="1" s="1"/>
  <c r="O197" i="1"/>
  <c r="N197" i="1"/>
  <c r="J197" i="1"/>
  <c r="L197" i="1" s="1"/>
  <c r="M197" i="1" s="1"/>
  <c r="N196" i="1"/>
  <c r="O196" i="1" s="1"/>
  <c r="M196" i="1"/>
  <c r="L196" i="1"/>
  <c r="J196" i="1"/>
  <c r="N195" i="1"/>
  <c r="O195" i="1" s="1"/>
  <c r="J195" i="1"/>
  <c r="L195" i="1" s="1"/>
  <c r="M195" i="1" s="1"/>
  <c r="N194" i="1"/>
  <c r="O194" i="1" s="1"/>
  <c r="J194" i="1"/>
  <c r="L194" i="1" s="1"/>
  <c r="M194" i="1" s="1"/>
  <c r="O193" i="1"/>
  <c r="N193" i="1"/>
  <c r="L193" i="1"/>
  <c r="M193" i="1" s="1"/>
  <c r="J193" i="1"/>
  <c r="N192" i="1"/>
  <c r="O192" i="1" s="1"/>
  <c r="L192" i="1"/>
  <c r="M192" i="1" s="1"/>
  <c r="J192" i="1"/>
  <c r="O191" i="1"/>
  <c r="N191" i="1"/>
  <c r="M191" i="1"/>
  <c r="J191" i="1"/>
  <c r="L191" i="1" s="1"/>
  <c r="O190" i="1"/>
  <c r="N190" i="1"/>
  <c r="L190" i="1"/>
  <c r="M190" i="1" s="1"/>
  <c r="J190" i="1"/>
  <c r="O189" i="1"/>
  <c r="N189" i="1"/>
  <c r="J189" i="1"/>
  <c r="L189" i="1" s="1"/>
  <c r="M189" i="1" s="1"/>
  <c r="N188" i="1"/>
  <c r="O188" i="1" s="1"/>
  <c r="M188" i="1"/>
  <c r="L188" i="1"/>
  <c r="J188" i="1"/>
  <c r="N187" i="1"/>
  <c r="O187" i="1" s="1"/>
  <c r="J187" i="1"/>
  <c r="L187" i="1" s="1"/>
  <c r="M187" i="1" s="1"/>
  <c r="N186" i="1"/>
  <c r="O186" i="1" s="1"/>
  <c r="J186" i="1"/>
  <c r="L186" i="1" s="1"/>
  <c r="M186" i="1" s="1"/>
  <c r="O185" i="1"/>
  <c r="N185" i="1"/>
  <c r="L185" i="1"/>
  <c r="M185" i="1" s="1"/>
  <c r="J185" i="1"/>
  <c r="N184" i="1"/>
  <c r="O184" i="1" s="1"/>
  <c r="L184" i="1"/>
  <c r="M184" i="1" s="1"/>
  <c r="J184" i="1"/>
  <c r="O183" i="1"/>
  <c r="N183" i="1"/>
  <c r="M183" i="1"/>
  <c r="J183" i="1"/>
  <c r="L183" i="1" s="1"/>
  <c r="O182" i="1"/>
  <c r="N182" i="1"/>
  <c r="L182" i="1"/>
  <c r="M182" i="1" s="1"/>
  <c r="J182" i="1"/>
  <c r="O181" i="1"/>
  <c r="N181" i="1"/>
  <c r="J181" i="1"/>
  <c r="L181" i="1" s="1"/>
  <c r="M181" i="1" s="1"/>
  <c r="N180" i="1"/>
  <c r="O180" i="1" s="1"/>
  <c r="M180" i="1"/>
  <c r="L180" i="1"/>
  <c r="J180" i="1"/>
  <c r="N179" i="1"/>
  <c r="O179" i="1" s="1"/>
  <c r="J179" i="1"/>
  <c r="L179" i="1" s="1"/>
  <c r="M179" i="1" s="1"/>
  <c r="N178" i="1"/>
  <c r="O178" i="1" s="1"/>
  <c r="J178" i="1"/>
  <c r="L178" i="1" s="1"/>
  <c r="M178" i="1" s="1"/>
  <c r="O177" i="1"/>
  <c r="N177" i="1"/>
  <c r="L177" i="1"/>
  <c r="M177" i="1" s="1"/>
  <c r="J177" i="1"/>
  <c r="N176" i="1"/>
  <c r="O176" i="1" s="1"/>
  <c r="L176" i="1"/>
  <c r="M176" i="1" s="1"/>
  <c r="J176" i="1"/>
  <c r="O175" i="1"/>
  <c r="N175" i="1"/>
  <c r="M175" i="1"/>
  <c r="J175" i="1"/>
  <c r="L175" i="1" s="1"/>
  <c r="O174" i="1"/>
  <c r="N174" i="1"/>
  <c r="L174" i="1"/>
  <c r="M174" i="1" s="1"/>
  <c r="J174" i="1"/>
  <c r="O173" i="1"/>
  <c r="N173" i="1"/>
  <c r="J173" i="1"/>
  <c r="L173" i="1" s="1"/>
  <c r="M173" i="1" s="1"/>
  <c r="N172" i="1"/>
  <c r="O172" i="1" s="1"/>
  <c r="M172" i="1"/>
  <c r="L172" i="1"/>
  <c r="J172" i="1"/>
  <c r="N171" i="1"/>
  <c r="O171" i="1" s="1"/>
  <c r="J171" i="1"/>
  <c r="L171" i="1" s="1"/>
  <c r="M171" i="1" s="1"/>
  <c r="N170" i="1"/>
  <c r="O170" i="1" s="1"/>
  <c r="J170" i="1"/>
  <c r="L170" i="1" s="1"/>
  <c r="M170" i="1" s="1"/>
  <c r="O169" i="1"/>
  <c r="N169" i="1"/>
  <c r="L169" i="1"/>
  <c r="M169" i="1" s="1"/>
  <c r="J169" i="1"/>
  <c r="N168" i="1"/>
  <c r="O168" i="1" s="1"/>
  <c r="L168" i="1"/>
  <c r="M168" i="1" s="1"/>
  <c r="J168" i="1"/>
  <c r="O167" i="1"/>
  <c r="N167" i="1"/>
  <c r="M167" i="1"/>
  <c r="J167" i="1"/>
  <c r="L167" i="1" s="1"/>
  <c r="O166" i="1"/>
  <c r="N166" i="1"/>
  <c r="L166" i="1"/>
  <c r="M166" i="1" s="1"/>
  <c r="J166" i="1"/>
  <c r="O165" i="1"/>
  <c r="N165" i="1"/>
  <c r="J165" i="1"/>
  <c r="L165" i="1" s="1"/>
  <c r="M165" i="1" s="1"/>
  <c r="N164" i="1"/>
  <c r="O164" i="1" s="1"/>
  <c r="M164" i="1"/>
  <c r="L164" i="1"/>
  <c r="J164" i="1"/>
  <c r="N163" i="1"/>
  <c r="O163" i="1" s="1"/>
  <c r="J163" i="1"/>
  <c r="L163" i="1" s="1"/>
  <c r="M163" i="1" s="1"/>
  <c r="N162" i="1"/>
  <c r="O162" i="1" s="1"/>
  <c r="J162" i="1"/>
  <c r="L162" i="1" s="1"/>
  <c r="M162" i="1" s="1"/>
  <c r="O161" i="1"/>
  <c r="N161" i="1"/>
  <c r="L161" i="1"/>
  <c r="M161" i="1" s="1"/>
  <c r="J161" i="1"/>
  <c r="N160" i="1"/>
  <c r="O160" i="1" s="1"/>
  <c r="L160" i="1"/>
  <c r="M160" i="1" s="1"/>
  <c r="J160" i="1"/>
  <c r="O159" i="1"/>
  <c r="N159" i="1"/>
  <c r="M159" i="1"/>
  <c r="J159" i="1"/>
  <c r="L159" i="1" s="1"/>
  <c r="O158" i="1"/>
  <c r="N158" i="1"/>
  <c r="L158" i="1"/>
  <c r="M158" i="1" s="1"/>
  <c r="J158" i="1"/>
  <c r="O157" i="1"/>
  <c r="N157" i="1"/>
  <c r="J157" i="1"/>
  <c r="L157" i="1" s="1"/>
  <c r="M157" i="1" s="1"/>
  <c r="N156" i="1"/>
  <c r="O156" i="1" s="1"/>
  <c r="M156" i="1"/>
  <c r="L156" i="1"/>
  <c r="J156" i="1"/>
  <c r="N155" i="1"/>
  <c r="O155" i="1" s="1"/>
  <c r="J155" i="1"/>
  <c r="L155" i="1" s="1"/>
  <c r="M155" i="1" s="1"/>
  <c r="N154" i="1"/>
  <c r="O154" i="1" s="1"/>
  <c r="J154" i="1"/>
  <c r="L154" i="1" s="1"/>
  <c r="M154" i="1" s="1"/>
  <c r="O153" i="1"/>
  <c r="N153" i="1"/>
  <c r="L153" i="1"/>
  <c r="M153" i="1" s="1"/>
  <c r="J153" i="1"/>
  <c r="N152" i="1"/>
  <c r="O152" i="1" s="1"/>
  <c r="L152" i="1"/>
  <c r="M152" i="1" s="1"/>
  <c r="J152" i="1"/>
  <c r="O151" i="1"/>
  <c r="N151" i="1"/>
  <c r="M151" i="1"/>
  <c r="J151" i="1"/>
  <c r="L151" i="1" s="1"/>
  <c r="O150" i="1"/>
  <c r="N150" i="1"/>
  <c r="L150" i="1"/>
  <c r="M150" i="1" s="1"/>
  <c r="J150" i="1"/>
  <c r="O149" i="1"/>
  <c r="N149" i="1"/>
  <c r="J149" i="1"/>
  <c r="L149" i="1" s="1"/>
  <c r="M149" i="1" s="1"/>
  <c r="N148" i="1"/>
  <c r="O148" i="1" s="1"/>
  <c r="M148" i="1"/>
  <c r="L148" i="1"/>
  <c r="J148" i="1"/>
  <c r="N147" i="1"/>
  <c r="O147" i="1" s="1"/>
  <c r="J147" i="1"/>
  <c r="L147" i="1" s="1"/>
  <c r="M147" i="1" s="1"/>
  <c r="N146" i="1"/>
  <c r="O146" i="1" s="1"/>
  <c r="J146" i="1"/>
  <c r="L146" i="1" s="1"/>
  <c r="M146" i="1" s="1"/>
  <c r="O145" i="1"/>
  <c r="N145" i="1"/>
  <c r="L145" i="1"/>
  <c r="M145" i="1" s="1"/>
  <c r="J145" i="1"/>
  <c r="N144" i="1"/>
  <c r="O144" i="1" s="1"/>
  <c r="L144" i="1"/>
  <c r="M144" i="1" s="1"/>
  <c r="J144" i="1"/>
  <c r="O143" i="1"/>
  <c r="N143" i="1"/>
  <c r="M143" i="1"/>
  <c r="J143" i="1"/>
  <c r="L143" i="1" s="1"/>
  <c r="O142" i="1"/>
  <c r="N142" i="1"/>
  <c r="L142" i="1"/>
  <c r="M142" i="1" s="1"/>
  <c r="J142" i="1"/>
  <c r="O141" i="1"/>
  <c r="N141" i="1"/>
  <c r="J141" i="1"/>
  <c r="L141" i="1" s="1"/>
  <c r="M141" i="1" s="1"/>
  <c r="N140" i="1"/>
  <c r="O140" i="1" s="1"/>
  <c r="M140" i="1"/>
  <c r="L140" i="1"/>
  <c r="J140" i="1"/>
  <c r="N139" i="1"/>
  <c r="O139" i="1" s="1"/>
  <c r="J139" i="1"/>
  <c r="L139" i="1" s="1"/>
  <c r="M139" i="1" s="1"/>
  <c r="N138" i="1"/>
  <c r="O138" i="1" s="1"/>
  <c r="L138" i="1"/>
  <c r="M138" i="1" s="1"/>
  <c r="J138" i="1"/>
  <c r="O137" i="1"/>
  <c r="N137" i="1"/>
  <c r="J137" i="1"/>
  <c r="L137" i="1" s="1"/>
  <c r="M137" i="1" s="1"/>
  <c r="N136" i="1"/>
  <c r="O136" i="1" s="1"/>
  <c r="L136" i="1"/>
  <c r="M136" i="1" s="1"/>
  <c r="J136" i="1"/>
  <c r="O135" i="1"/>
  <c r="N135" i="1"/>
  <c r="J135" i="1"/>
  <c r="L135" i="1" s="1"/>
  <c r="M135" i="1" s="1"/>
  <c r="N134" i="1"/>
  <c r="O134" i="1" s="1"/>
  <c r="L134" i="1"/>
  <c r="M134" i="1" s="1"/>
  <c r="J134" i="1"/>
  <c r="O133" i="1"/>
  <c r="N133" i="1"/>
  <c r="J133" i="1"/>
  <c r="L133" i="1" s="1"/>
  <c r="M133" i="1" s="1"/>
  <c r="N132" i="1"/>
  <c r="O132" i="1" s="1"/>
  <c r="L132" i="1"/>
  <c r="M132" i="1" s="1"/>
  <c r="J132" i="1"/>
  <c r="O131" i="1"/>
  <c r="N131" i="1"/>
  <c r="J131" i="1"/>
  <c r="L131" i="1" s="1"/>
  <c r="M131" i="1" s="1"/>
  <c r="N130" i="1"/>
  <c r="O130" i="1" s="1"/>
  <c r="L130" i="1"/>
  <c r="M130" i="1" s="1"/>
  <c r="J130" i="1"/>
  <c r="O129" i="1"/>
  <c r="N129" i="1"/>
  <c r="J129" i="1"/>
  <c r="L129" i="1" s="1"/>
  <c r="M129" i="1" s="1"/>
  <c r="N128" i="1"/>
  <c r="O128" i="1" s="1"/>
  <c r="L128" i="1"/>
  <c r="M128" i="1" s="1"/>
  <c r="J128" i="1"/>
  <c r="O127" i="1"/>
  <c r="N127" i="1"/>
  <c r="J127" i="1"/>
  <c r="L127" i="1" s="1"/>
  <c r="M127" i="1" s="1"/>
  <c r="N126" i="1"/>
  <c r="O126" i="1" s="1"/>
  <c r="L126" i="1"/>
  <c r="M126" i="1" s="1"/>
  <c r="J126" i="1"/>
  <c r="O125" i="1"/>
  <c r="N125" i="1"/>
  <c r="J125" i="1"/>
  <c r="L125" i="1" s="1"/>
  <c r="M125" i="1" s="1"/>
  <c r="N124" i="1"/>
  <c r="O124" i="1" s="1"/>
  <c r="L124" i="1"/>
  <c r="M124" i="1" s="1"/>
  <c r="J124" i="1"/>
  <c r="O123" i="1"/>
  <c r="N123" i="1"/>
  <c r="J123" i="1"/>
  <c r="L123" i="1" s="1"/>
  <c r="M123" i="1" s="1"/>
  <c r="N122" i="1"/>
  <c r="O122" i="1" s="1"/>
  <c r="L122" i="1"/>
  <c r="M122" i="1" s="1"/>
  <c r="J122" i="1"/>
  <c r="O121" i="1"/>
  <c r="N121" i="1"/>
  <c r="J121" i="1"/>
  <c r="L121" i="1" s="1"/>
  <c r="M121" i="1" s="1"/>
  <c r="N120" i="1"/>
  <c r="O120" i="1" s="1"/>
  <c r="L120" i="1"/>
  <c r="M120" i="1" s="1"/>
  <c r="J120" i="1"/>
  <c r="O119" i="1"/>
  <c r="N119" i="1"/>
  <c r="J119" i="1"/>
  <c r="L119" i="1" s="1"/>
  <c r="M119" i="1" s="1"/>
  <c r="N118" i="1"/>
  <c r="O118" i="1" s="1"/>
  <c r="L118" i="1"/>
  <c r="M118" i="1" s="1"/>
  <c r="J118" i="1"/>
  <c r="O117" i="1"/>
  <c r="N117" i="1"/>
  <c r="J117" i="1"/>
  <c r="L117" i="1" s="1"/>
  <c r="M117" i="1" s="1"/>
  <c r="N116" i="1"/>
  <c r="O116" i="1" s="1"/>
  <c r="L116" i="1"/>
  <c r="M116" i="1" s="1"/>
  <c r="J116" i="1"/>
  <c r="O115" i="1"/>
  <c r="N115" i="1"/>
  <c r="J115" i="1"/>
  <c r="L115" i="1" s="1"/>
  <c r="M115" i="1" s="1"/>
  <c r="N114" i="1"/>
  <c r="O114" i="1" s="1"/>
  <c r="L114" i="1"/>
  <c r="M114" i="1" s="1"/>
  <c r="J114" i="1"/>
  <c r="O113" i="1"/>
  <c r="N113" i="1"/>
  <c r="J113" i="1"/>
  <c r="L113" i="1" s="1"/>
  <c r="M113" i="1" s="1"/>
  <c r="N112" i="1"/>
  <c r="O112" i="1" s="1"/>
  <c r="L112" i="1"/>
  <c r="M112" i="1" s="1"/>
  <c r="J112" i="1"/>
  <c r="O111" i="1"/>
  <c r="N111" i="1"/>
  <c r="J111" i="1"/>
  <c r="L111" i="1" s="1"/>
  <c r="M111" i="1" s="1"/>
  <c r="N110" i="1"/>
  <c r="O110" i="1" s="1"/>
  <c r="L110" i="1"/>
  <c r="M110" i="1" s="1"/>
  <c r="J110" i="1"/>
  <c r="O109" i="1"/>
  <c r="N109" i="1"/>
  <c r="J109" i="1"/>
  <c r="L109" i="1" s="1"/>
  <c r="M109" i="1" s="1"/>
  <c r="N108" i="1"/>
  <c r="O108" i="1" s="1"/>
  <c r="L108" i="1"/>
  <c r="M108" i="1" s="1"/>
  <c r="J108" i="1"/>
  <c r="O107" i="1"/>
  <c r="N107" i="1"/>
  <c r="J107" i="1"/>
  <c r="L107" i="1" s="1"/>
  <c r="M107" i="1" s="1"/>
  <c r="N106" i="1"/>
  <c r="O106" i="1" s="1"/>
  <c r="L106" i="1"/>
  <c r="M106" i="1" s="1"/>
  <c r="J106" i="1"/>
  <c r="O105" i="1"/>
  <c r="N105" i="1"/>
  <c r="J105" i="1"/>
  <c r="L105" i="1" s="1"/>
  <c r="M105" i="1" s="1"/>
  <c r="N104" i="1"/>
  <c r="O104" i="1" s="1"/>
  <c r="L104" i="1"/>
  <c r="M104" i="1" s="1"/>
  <c r="J104" i="1"/>
  <c r="O103" i="1"/>
  <c r="N103" i="1"/>
  <c r="J103" i="1"/>
  <c r="L103" i="1" s="1"/>
  <c r="M103" i="1" s="1"/>
  <c r="N102" i="1"/>
  <c r="O102" i="1" s="1"/>
  <c r="L102" i="1"/>
  <c r="M102" i="1" s="1"/>
  <c r="J102" i="1"/>
  <c r="O101" i="1"/>
  <c r="N101" i="1"/>
  <c r="J101" i="1"/>
  <c r="L101" i="1" s="1"/>
  <c r="M101" i="1" s="1"/>
  <c r="N100" i="1"/>
  <c r="O100" i="1" s="1"/>
  <c r="L100" i="1"/>
  <c r="M100" i="1" s="1"/>
  <c r="J100" i="1"/>
  <c r="O99" i="1"/>
  <c r="N99" i="1"/>
  <c r="J99" i="1"/>
  <c r="L99" i="1" s="1"/>
  <c r="M99" i="1" s="1"/>
  <c r="N98" i="1"/>
  <c r="O98" i="1" s="1"/>
  <c r="L98" i="1"/>
  <c r="M98" i="1" s="1"/>
  <c r="J98" i="1"/>
  <c r="O97" i="1"/>
  <c r="N97" i="1"/>
  <c r="J97" i="1"/>
  <c r="L97" i="1" s="1"/>
  <c r="M97" i="1" s="1"/>
  <c r="N96" i="1"/>
  <c r="O96" i="1" s="1"/>
  <c r="L96" i="1"/>
  <c r="M96" i="1" s="1"/>
  <c r="J96" i="1"/>
  <c r="O95" i="1"/>
  <c r="N95" i="1"/>
  <c r="J95" i="1"/>
  <c r="L95" i="1" s="1"/>
  <c r="M95" i="1" s="1"/>
  <c r="N94" i="1"/>
  <c r="O94" i="1" s="1"/>
  <c r="L94" i="1"/>
  <c r="M94" i="1" s="1"/>
  <c r="J94" i="1"/>
  <c r="O93" i="1"/>
  <c r="N93" i="1"/>
  <c r="J93" i="1"/>
  <c r="L93" i="1" s="1"/>
  <c r="M93" i="1" s="1"/>
  <c r="N92" i="1"/>
  <c r="O92" i="1" s="1"/>
  <c r="L92" i="1"/>
  <c r="M92" i="1" s="1"/>
  <c r="J92" i="1"/>
  <c r="O91" i="1"/>
  <c r="N91" i="1"/>
  <c r="J91" i="1"/>
  <c r="L91" i="1" s="1"/>
  <c r="M91" i="1" s="1"/>
  <c r="N90" i="1"/>
  <c r="O90" i="1" s="1"/>
  <c r="L90" i="1"/>
  <c r="M90" i="1" s="1"/>
  <c r="J90" i="1"/>
  <c r="O89" i="1"/>
  <c r="N89" i="1"/>
  <c r="J89" i="1"/>
  <c r="L89" i="1" s="1"/>
  <c r="M89" i="1" s="1"/>
  <c r="N88" i="1"/>
  <c r="O88" i="1" s="1"/>
  <c r="L88" i="1"/>
  <c r="M88" i="1" s="1"/>
  <c r="J88" i="1"/>
  <c r="O87" i="1"/>
  <c r="N87" i="1"/>
  <c r="J87" i="1"/>
  <c r="L87" i="1" s="1"/>
  <c r="M87" i="1" s="1"/>
  <c r="N86" i="1"/>
  <c r="O86" i="1" s="1"/>
  <c r="L86" i="1"/>
  <c r="M86" i="1" s="1"/>
  <c r="J86" i="1"/>
  <c r="O85" i="1"/>
  <c r="N85" i="1"/>
  <c r="J85" i="1"/>
  <c r="L85" i="1" s="1"/>
  <c r="M85" i="1" s="1"/>
  <c r="N84" i="1"/>
  <c r="O84" i="1" s="1"/>
  <c r="L84" i="1"/>
  <c r="M84" i="1" s="1"/>
  <c r="J84" i="1"/>
  <c r="O83" i="1"/>
  <c r="N83" i="1"/>
  <c r="J83" i="1"/>
  <c r="L83" i="1" s="1"/>
  <c r="M83" i="1" s="1"/>
  <c r="N82" i="1"/>
  <c r="O82" i="1" s="1"/>
  <c r="L82" i="1"/>
  <c r="M82" i="1" s="1"/>
  <c r="J82" i="1"/>
  <c r="O81" i="1"/>
  <c r="N81" i="1"/>
  <c r="J81" i="1"/>
  <c r="L81" i="1" s="1"/>
  <c r="M81" i="1" s="1"/>
  <c r="N80" i="1"/>
  <c r="O80" i="1" s="1"/>
  <c r="L80" i="1"/>
  <c r="M80" i="1" s="1"/>
  <c r="J80" i="1"/>
  <c r="O79" i="1"/>
  <c r="N79" i="1"/>
  <c r="J79" i="1"/>
  <c r="L79" i="1" s="1"/>
  <c r="M79" i="1" s="1"/>
  <c r="N78" i="1"/>
  <c r="O78" i="1" s="1"/>
  <c r="L78" i="1"/>
  <c r="M78" i="1" s="1"/>
  <c r="J78" i="1"/>
  <c r="O77" i="1"/>
  <c r="N77" i="1"/>
  <c r="J77" i="1"/>
  <c r="L77" i="1" s="1"/>
  <c r="M77" i="1" s="1"/>
  <c r="N76" i="1"/>
  <c r="O76" i="1" s="1"/>
  <c r="L76" i="1"/>
  <c r="M76" i="1" s="1"/>
  <c r="J76" i="1"/>
  <c r="O75" i="1"/>
  <c r="N75" i="1"/>
  <c r="J75" i="1"/>
  <c r="L75" i="1" s="1"/>
  <c r="M75" i="1" s="1"/>
  <c r="N74" i="1"/>
  <c r="O74" i="1" s="1"/>
  <c r="L74" i="1"/>
  <c r="M74" i="1" s="1"/>
  <c r="J74" i="1"/>
  <c r="O73" i="1"/>
  <c r="N73" i="1"/>
  <c r="J73" i="1"/>
  <c r="L73" i="1" s="1"/>
  <c r="M73" i="1" s="1"/>
  <c r="N72" i="1"/>
  <c r="O72" i="1" s="1"/>
  <c r="L72" i="1"/>
  <c r="M72" i="1" s="1"/>
  <c r="J72" i="1"/>
  <c r="O71" i="1"/>
  <c r="N71" i="1"/>
  <c r="J71" i="1"/>
  <c r="L71" i="1" s="1"/>
  <c r="M71" i="1" s="1"/>
  <c r="N70" i="1"/>
  <c r="O70" i="1" s="1"/>
  <c r="L70" i="1"/>
  <c r="M70" i="1" s="1"/>
  <c r="J70" i="1"/>
  <c r="O69" i="1"/>
  <c r="N69" i="1"/>
  <c r="J69" i="1"/>
  <c r="L69" i="1" s="1"/>
  <c r="M69" i="1" s="1"/>
  <c r="N68" i="1"/>
  <c r="O68" i="1" s="1"/>
  <c r="L68" i="1"/>
  <c r="M68" i="1" s="1"/>
  <c r="J68" i="1"/>
  <c r="O67" i="1"/>
  <c r="N67" i="1"/>
  <c r="J67" i="1"/>
  <c r="L67" i="1" s="1"/>
  <c r="M67" i="1" s="1"/>
  <c r="N66" i="1"/>
  <c r="O66" i="1" s="1"/>
  <c r="L66" i="1"/>
  <c r="M66" i="1" s="1"/>
  <c r="J66" i="1"/>
  <c r="O65" i="1"/>
  <c r="N65" i="1"/>
  <c r="J65" i="1"/>
  <c r="L65" i="1" s="1"/>
  <c r="M65" i="1" s="1"/>
  <c r="N64" i="1"/>
  <c r="O64" i="1" s="1"/>
  <c r="L64" i="1"/>
  <c r="M64" i="1" s="1"/>
  <c r="J64" i="1"/>
  <c r="O63" i="1"/>
  <c r="N63" i="1"/>
  <c r="J63" i="1"/>
  <c r="L63" i="1" s="1"/>
  <c r="M63" i="1" s="1"/>
  <c r="N62" i="1"/>
  <c r="O62" i="1" s="1"/>
  <c r="L62" i="1"/>
  <c r="M62" i="1" s="1"/>
  <c r="J62" i="1"/>
  <c r="O61" i="1"/>
  <c r="N61" i="1"/>
  <c r="J61" i="1"/>
  <c r="L61" i="1" s="1"/>
  <c r="M61" i="1" s="1"/>
  <c r="N60" i="1"/>
  <c r="O60" i="1" s="1"/>
  <c r="L60" i="1"/>
  <c r="M60" i="1" s="1"/>
  <c r="J60" i="1"/>
  <c r="O59" i="1"/>
  <c r="N59" i="1"/>
  <c r="J59" i="1"/>
  <c r="L59" i="1" s="1"/>
  <c r="M59" i="1" s="1"/>
  <c r="N58" i="1"/>
  <c r="O58" i="1" s="1"/>
  <c r="L58" i="1"/>
  <c r="M58" i="1" s="1"/>
  <c r="J58" i="1"/>
  <c r="O57" i="1"/>
  <c r="N57" i="1"/>
  <c r="J57" i="1"/>
  <c r="L57" i="1" s="1"/>
  <c r="M57" i="1" s="1"/>
  <c r="N56" i="1"/>
  <c r="O56" i="1" s="1"/>
  <c r="L56" i="1"/>
  <c r="M56" i="1" s="1"/>
  <c r="J56" i="1"/>
  <c r="O55" i="1"/>
  <c r="N55" i="1"/>
  <c r="J55" i="1"/>
  <c r="L55" i="1" s="1"/>
  <c r="M55" i="1" s="1"/>
  <c r="N54" i="1"/>
  <c r="O54" i="1" s="1"/>
  <c r="L54" i="1"/>
  <c r="M54" i="1" s="1"/>
  <c r="J54" i="1"/>
  <c r="O53" i="1"/>
  <c r="N53" i="1"/>
  <c r="J53" i="1"/>
  <c r="L53" i="1" s="1"/>
  <c r="M53" i="1" s="1"/>
  <c r="N52" i="1"/>
  <c r="O52" i="1" s="1"/>
  <c r="L52" i="1"/>
  <c r="M52" i="1" s="1"/>
  <c r="J52" i="1"/>
  <c r="O51" i="1"/>
  <c r="N51" i="1"/>
  <c r="J51" i="1"/>
  <c r="L51" i="1" s="1"/>
  <c r="M51" i="1" s="1"/>
  <c r="N50" i="1"/>
  <c r="O50" i="1" s="1"/>
  <c r="L50" i="1"/>
  <c r="M50" i="1" s="1"/>
  <c r="J50" i="1"/>
  <c r="O49" i="1"/>
  <c r="N49" i="1"/>
  <c r="J49" i="1"/>
  <c r="L49" i="1" s="1"/>
  <c r="M49" i="1" s="1"/>
  <c r="N48" i="1"/>
  <c r="O48" i="1" s="1"/>
  <c r="L48" i="1"/>
  <c r="M48" i="1" s="1"/>
  <c r="J48" i="1"/>
  <c r="O47" i="1"/>
  <c r="N47" i="1"/>
  <c r="J47" i="1"/>
  <c r="L47" i="1" s="1"/>
  <c r="M47" i="1" s="1"/>
  <c r="N46" i="1"/>
  <c r="O46" i="1" s="1"/>
  <c r="L46" i="1"/>
  <c r="M46" i="1" s="1"/>
  <c r="J46" i="1"/>
  <c r="O45" i="1"/>
  <c r="N45" i="1"/>
  <c r="J45" i="1"/>
  <c r="L45" i="1" s="1"/>
  <c r="M45" i="1" s="1"/>
  <c r="N44" i="1"/>
  <c r="O44" i="1" s="1"/>
  <c r="L44" i="1"/>
  <c r="M44" i="1" s="1"/>
  <c r="J44" i="1"/>
  <c r="O43" i="1"/>
  <c r="N43" i="1"/>
  <c r="J43" i="1"/>
  <c r="L43" i="1" s="1"/>
  <c r="M43" i="1" s="1"/>
  <c r="N42" i="1"/>
  <c r="O42" i="1" s="1"/>
  <c r="L42" i="1"/>
  <c r="M42" i="1" s="1"/>
  <c r="J42" i="1"/>
  <c r="O41" i="1"/>
  <c r="N41" i="1"/>
  <c r="J41" i="1"/>
  <c r="L41" i="1" s="1"/>
  <c r="M41" i="1" s="1"/>
  <c r="N40" i="1"/>
  <c r="O40" i="1" s="1"/>
  <c r="L40" i="1"/>
  <c r="M40" i="1" s="1"/>
  <c r="J40" i="1"/>
  <c r="O39" i="1"/>
  <c r="N39" i="1"/>
  <c r="J39" i="1"/>
  <c r="L39" i="1" s="1"/>
  <c r="M39" i="1" s="1"/>
  <c r="N38" i="1"/>
  <c r="O38" i="1" s="1"/>
  <c r="L38" i="1"/>
  <c r="M38" i="1" s="1"/>
  <c r="J38" i="1"/>
  <c r="O37" i="1"/>
  <c r="N37" i="1"/>
  <c r="J37" i="1"/>
  <c r="L37" i="1" s="1"/>
  <c r="M37" i="1" s="1"/>
  <c r="N36" i="1"/>
  <c r="O36" i="1" s="1"/>
  <c r="L36" i="1"/>
  <c r="M36" i="1" s="1"/>
  <c r="J36" i="1"/>
  <c r="O35" i="1"/>
  <c r="N35" i="1"/>
  <c r="J35" i="1"/>
  <c r="L35" i="1" s="1"/>
  <c r="M35" i="1" s="1"/>
  <c r="N34" i="1"/>
  <c r="O34" i="1" s="1"/>
  <c r="L34" i="1"/>
  <c r="M34" i="1" s="1"/>
  <c r="J34" i="1"/>
  <c r="O33" i="1"/>
  <c r="N33" i="1"/>
  <c r="J33" i="1"/>
  <c r="L33" i="1" s="1"/>
  <c r="M33" i="1" s="1"/>
  <c r="N32" i="1"/>
  <c r="O32" i="1" s="1"/>
  <c r="L32" i="1"/>
  <c r="M32" i="1" s="1"/>
  <c r="J32" i="1"/>
  <c r="O31" i="1"/>
  <c r="N31" i="1"/>
  <c r="J31" i="1"/>
  <c r="L31" i="1" s="1"/>
  <c r="M31" i="1" s="1"/>
  <c r="N30" i="1"/>
  <c r="O30" i="1" s="1"/>
  <c r="L30" i="1"/>
  <c r="M30" i="1" s="1"/>
  <c r="J30" i="1"/>
  <c r="O29" i="1"/>
  <c r="N29" i="1"/>
  <c r="J29" i="1"/>
  <c r="L29" i="1" s="1"/>
  <c r="M29" i="1" s="1"/>
  <c r="N28" i="1"/>
  <c r="O28" i="1" s="1"/>
  <c r="L28" i="1"/>
  <c r="M28" i="1" s="1"/>
  <c r="J28" i="1"/>
  <c r="O27" i="1"/>
  <c r="N27" i="1"/>
  <c r="J27" i="1"/>
  <c r="L27" i="1" s="1"/>
  <c r="M27" i="1" s="1"/>
  <c r="N26" i="1"/>
  <c r="O26" i="1" s="1"/>
  <c r="L26" i="1"/>
  <c r="M26" i="1" s="1"/>
  <c r="J26" i="1"/>
  <c r="O25" i="1"/>
  <c r="N25" i="1"/>
  <c r="J25" i="1"/>
  <c r="L25" i="1" s="1"/>
  <c r="M25" i="1" s="1"/>
  <c r="N24" i="1"/>
  <c r="O24" i="1" s="1"/>
  <c r="L24" i="1"/>
  <c r="M24" i="1" s="1"/>
  <c r="J24" i="1"/>
  <c r="O23" i="1"/>
  <c r="N23" i="1"/>
  <c r="J23" i="1"/>
  <c r="L23" i="1" s="1"/>
  <c r="M23" i="1" s="1"/>
  <c r="N22" i="1"/>
  <c r="O22" i="1" s="1"/>
  <c r="L22" i="1"/>
  <c r="M22" i="1" s="1"/>
  <c r="J22" i="1"/>
  <c r="O21" i="1"/>
  <c r="N21" i="1"/>
  <c r="J21" i="1"/>
  <c r="L21" i="1" s="1"/>
  <c r="M21" i="1" s="1"/>
  <c r="N20" i="1"/>
  <c r="O20" i="1" s="1"/>
  <c r="L20" i="1"/>
  <c r="M20" i="1" s="1"/>
  <c r="J20" i="1"/>
  <c r="O19" i="1"/>
  <c r="N19" i="1"/>
  <c r="J19" i="1"/>
  <c r="L19" i="1" s="1"/>
  <c r="M19" i="1" s="1"/>
  <c r="N18" i="1"/>
  <c r="O18" i="1" s="1"/>
  <c r="L18" i="1"/>
  <c r="M18" i="1" s="1"/>
  <c r="J18" i="1"/>
  <c r="O17" i="1"/>
  <c r="N17" i="1"/>
  <c r="J17" i="1"/>
  <c r="L17" i="1" s="1"/>
  <c r="M17" i="1" s="1"/>
  <c r="N16" i="1"/>
  <c r="O16" i="1" s="1"/>
  <c r="L16" i="1"/>
  <c r="M16" i="1" s="1"/>
  <c r="J16" i="1"/>
  <c r="O15" i="1"/>
  <c r="N15" i="1"/>
  <c r="J15" i="1"/>
  <c r="L15" i="1" s="1"/>
  <c r="M15" i="1" s="1"/>
  <c r="N14" i="1"/>
  <c r="O14" i="1" s="1"/>
  <c r="L14" i="1"/>
  <c r="M14" i="1" s="1"/>
  <c r="J14" i="1"/>
  <c r="O13" i="1"/>
  <c r="N13" i="1"/>
  <c r="J13" i="1"/>
  <c r="L13" i="1" s="1"/>
  <c r="M13" i="1" s="1"/>
  <c r="N12" i="1"/>
  <c r="O12" i="1" s="1"/>
  <c r="L12" i="1"/>
  <c r="J12" i="1"/>
  <c r="O11" i="1"/>
  <c r="N11" i="1"/>
  <c r="J11" i="1"/>
  <c r="L11" i="1" s="1"/>
  <c r="M11" i="1" s="1"/>
  <c r="N10" i="1"/>
  <c r="O10" i="1" s="1"/>
  <c r="L10" i="1"/>
  <c r="M10" i="1" s="1"/>
  <c r="J10" i="1"/>
  <c r="O9" i="1"/>
  <c r="N9" i="1"/>
  <c r="J9" i="1"/>
  <c r="L9" i="1" s="1"/>
  <c r="M9" i="1" s="1"/>
  <c r="N8" i="1"/>
  <c r="O8" i="1" s="1"/>
  <c r="L8" i="1"/>
  <c r="M8" i="1" s="1"/>
  <c r="J8" i="1"/>
  <c r="O7" i="1"/>
  <c r="N7" i="1"/>
  <c r="J7" i="1"/>
  <c r="L7" i="1" s="1"/>
  <c r="M7" i="1" s="1"/>
  <c r="N6" i="1"/>
  <c r="O6" i="1" s="1"/>
  <c r="L6" i="1"/>
  <c r="J6" i="1"/>
  <c r="O5" i="1"/>
  <c r="N5" i="1"/>
  <c r="J5" i="1"/>
  <c r="L5" i="1" s="1"/>
  <c r="M5" i="1" s="1"/>
  <c r="N4" i="1"/>
  <c r="O4" i="1" s="1"/>
  <c r="L4" i="1"/>
  <c r="J4" i="1"/>
  <c r="O3" i="1"/>
  <c r="N3" i="1"/>
  <c r="J3" i="1"/>
  <c r="G30" i="2" s="1"/>
  <c r="N2" i="1"/>
  <c r="O2" i="1" s="1"/>
  <c r="L2" i="1"/>
  <c r="M2" i="1" s="1"/>
  <c r="J2" i="1"/>
  <c r="D21" i="2" l="1"/>
  <c r="C20" i="2"/>
  <c r="B19" i="2"/>
  <c r="D17" i="2"/>
  <c r="C16" i="2"/>
  <c r="B15" i="2"/>
  <c r="D13" i="2"/>
  <c r="C12" i="2"/>
  <c r="B11" i="2"/>
  <c r="D22" i="2"/>
  <c r="C21" i="2"/>
  <c r="B20" i="2"/>
  <c r="D18" i="2"/>
  <c r="C17" i="2"/>
  <c r="B16" i="2"/>
  <c r="D14" i="2"/>
  <c r="C13" i="2"/>
  <c r="B12" i="2"/>
  <c r="C22" i="2"/>
  <c r="B21" i="2"/>
  <c r="D19" i="2"/>
  <c r="C18" i="2"/>
  <c r="B17" i="2"/>
  <c r="D15" i="2"/>
  <c r="C14" i="2"/>
  <c r="B13" i="2"/>
  <c r="D11" i="2"/>
  <c r="B22" i="2"/>
  <c r="D20" i="2"/>
  <c r="C19" i="2"/>
  <c r="B18" i="2"/>
  <c r="D16" i="2"/>
  <c r="C15" i="2"/>
  <c r="B14" i="2"/>
  <c r="D12" i="2"/>
  <c r="H28" i="2"/>
  <c r="L3" i="1"/>
  <c r="C11" i="2" s="1"/>
  <c r="B29" i="2"/>
  <c r="G29" i="2"/>
  <c r="M6" i="1"/>
  <c r="B28" i="2"/>
  <c r="C28" i="2"/>
  <c r="H27" i="2"/>
  <c r="C27" i="2"/>
  <c r="D27" i="2" s="1"/>
  <c r="C5" i="2"/>
  <c r="H29" i="2"/>
  <c r="I29" i="2" s="1"/>
  <c r="C29" i="2"/>
  <c r="B27" i="2"/>
  <c r="A5" i="2"/>
  <c r="B4" i="3" s="1"/>
  <c r="G27" i="2"/>
  <c r="M4" i="1"/>
  <c r="G28" i="2"/>
  <c r="M12" i="1"/>
  <c r="D29" i="2" l="1"/>
  <c r="I27" i="2"/>
  <c r="D28" i="2"/>
  <c r="D4" i="3"/>
  <c r="E5" i="2"/>
  <c r="F4" i="3" s="1"/>
  <c r="H30" i="2"/>
  <c r="I30" i="2" s="1"/>
  <c r="M3" i="1"/>
  <c r="I28" i="2"/>
</calcChain>
</file>

<file path=xl/sharedStrings.xml><?xml version="1.0" encoding="utf-8"?>
<sst xmlns="http://schemas.openxmlformats.org/spreadsheetml/2006/main" count="3689" uniqueCount="673">
  <si>
    <t>Order ID</t>
  </si>
  <si>
    <t>Order Date</t>
  </si>
  <si>
    <t>Region</t>
  </si>
  <si>
    <t>Channel</t>
  </si>
  <si>
    <t>Salesperson</t>
  </si>
  <si>
    <t>Product</t>
  </si>
  <si>
    <t>Category</t>
  </si>
  <si>
    <t>Units</t>
  </si>
  <si>
    <t>Unit Price</t>
  </si>
  <si>
    <t>Revenue</t>
  </si>
  <si>
    <t>Cost</t>
  </si>
  <si>
    <t>Profit</t>
  </si>
  <si>
    <t>Profit Margin</t>
  </si>
  <si>
    <t>Month Start</t>
  </si>
  <si>
    <t>Month</t>
  </si>
  <si>
    <t>ORD0001</t>
  </si>
  <si>
    <t>Gauteng</t>
  </si>
  <si>
    <t>Store</t>
  </si>
  <si>
    <t>A. Mokoena</t>
  </si>
  <si>
    <t>Wireless Headphones</t>
  </si>
  <si>
    <t>Electronics</t>
  </si>
  <si>
    <t>ORD0002</t>
  </si>
  <si>
    <t>Eastern Cape</t>
  </si>
  <si>
    <t>Online</t>
  </si>
  <si>
    <t>S. Jacobs</t>
  </si>
  <si>
    <t>ORD0003</t>
  </si>
  <si>
    <t>KwaZulu-Natal</t>
  </si>
  <si>
    <t>Ergonomic Chair</t>
  </si>
  <si>
    <t>Furniture</t>
  </si>
  <si>
    <t>ORD0004</t>
  </si>
  <si>
    <t>ORD0005</t>
  </si>
  <si>
    <t>Western Cape</t>
  </si>
  <si>
    <t>ORD0006</t>
  </si>
  <si>
    <t>N. Mthembu</t>
  </si>
  <si>
    <t>ORD0007</t>
  </si>
  <si>
    <t>Office Monitor 24</t>
  </si>
  <si>
    <t>ORD0008</t>
  </si>
  <si>
    <t>Laptop Pro 14</t>
  </si>
  <si>
    <t>ORD0009</t>
  </si>
  <si>
    <t>T. Dlamini</t>
  </si>
  <si>
    <t>Webcam HD</t>
  </si>
  <si>
    <t>ORD0010</t>
  </si>
  <si>
    <t>ORD0011</t>
  </si>
  <si>
    <t>USB-C Hub</t>
  </si>
  <si>
    <t>Accessories</t>
  </si>
  <si>
    <t>ORD0012</t>
  </si>
  <si>
    <t>Standing Desk</t>
  </si>
  <si>
    <t>ORD0013</t>
  </si>
  <si>
    <t>ORD0014</t>
  </si>
  <si>
    <t>ORD0015</t>
  </si>
  <si>
    <t>Desk Lamp</t>
  </si>
  <si>
    <t>ORD0016</t>
  </si>
  <si>
    <t>L. Naidoo</t>
  </si>
  <si>
    <t>Mechanical Keyboard</t>
  </si>
  <si>
    <t>ORD0017</t>
  </si>
  <si>
    <t>ORD0018</t>
  </si>
  <si>
    <t>ORD0019</t>
  </si>
  <si>
    <t>ORD0020</t>
  </si>
  <si>
    <t>ORD0021</t>
  </si>
  <si>
    <t>ORD0022</t>
  </si>
  <si>
    <t>ORD0023</t>
  </si>
  <si>
    <t>ORD0024</t>
  </si>
  <si>
    <t>External SSD 1TB</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</si>
  <si>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</si>
  <si>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</si>
  <si>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</si>
  <si>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</si>
  <si>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</si>
  <si>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</si>
  <si>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</si>
  <si>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</si>
  <si>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</si>
  <si>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</si>
  <si>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</si>
  <si>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</si>
  <si>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</si>
  <si>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</si>
  <si>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</si>
  <si>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</si>
  <si>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</si>
  <si>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</si>
  <si>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</si>
  <si>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</si>
  <si>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</si>
  <si>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</si>
  <si>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</si>
  <si>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</si>
  <si>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</si>
  <si>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</si>
  <si>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</si>
  <si>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</si>
  <si>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</si>
  <si>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</si>
  <si>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</si>
  <si>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</si>
  <si>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</si>
  <si>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</si>
  <si>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</si>
  <si>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</si>
  <si>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</si>
  <si>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</si>
  <si>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</si>
  <si>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</si>
  <si>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</si>
  <si>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</si>
  <si>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</si>
  <si>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</si>
  <si>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</si>
  <si>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</si>
  <si>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</si>
  <si>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</si>
  <si>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</si>
  <si>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</si>
  <si>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</si>
  <si>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</si>
  <si>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</si>
  <si>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</si>
  <si>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</si>
  <si>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</si>
  <si>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</si>
  <si>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</si>
  <si>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</si>
  <si>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</si>
  <si>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</si>
  <si>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</si>
  <si>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</si>
  <si>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</si>
  <si>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</si>
  <si>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</si>
  <si>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</si>
  <si>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</si>
  <si>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</si>
  <si>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</si>
  <si>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</si>
  <si>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</si>
  <si>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</si>
  <si>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</si>
  <si>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</si>
  <si>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</si>
  <si>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</si>
  <si>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</si>
  <si>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</si>
  <si>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</si>
  <si>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</si>
  <si>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</si>
  <si>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</si>
  <si>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</si>
  <si>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</si>
  <si>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</si>
  <si>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</si>
  <si>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</si>
  <si>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</si>
  <si>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</si>
  <si>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</si>
  <si>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</si>
  <si>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</si>
  <si>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</si>
  <si>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</si>
  <si>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</si>
  <si>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</si>
  <si>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</si>
  <si>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</si>
  <si>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</si>
  <si>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</si>
  <si>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</si>
  <si>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</si>
  <si>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</si>
  <si>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</si>
  <si>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</si>
  <si>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</si>
  <si>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</si>
  <si>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</si>
  <si>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</si>
  <si>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</si>
  <si>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</si>
  <si>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</si>
  <si>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</si>
  <si>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</si>
  <si>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</si>
  <si>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</si>
  <si>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</si>
  <si>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</si>
  <si>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</si>
  <si>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</si>
  <si>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</si>
  <si>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</si>
  <si>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</si>
  <si>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</si>
  <si>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</si>
  <si>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</si>
  <si>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</si>
  <si>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</si>
  <si>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</si>
  <si>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</si>
  <si>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</si>
  <si>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</si>
  <si>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</si>
  <si>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</si>
  <si>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</si>
  <si>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</si>
  <si>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</si>
  <si>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</si>
  <si>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</si>
  <si>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</si>
  <si>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</si>
  <si>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</si>
  <si>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</si>
  <si>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</si>
  <si>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</si>
  <si>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</si>
  <si>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</si>
  <si>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</si>
  <si>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</si>
  <si>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</si>
  <si>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</si>
  <si>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</si>
  <si>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</si>
  <si>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</si>
  <si>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</si>
  <si>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</si>
  <si>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</si>
  <si>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</si>
  <si>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</si>
  <si>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</si>
  <si>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</si>
  <si>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</si>
  <si>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</si>
  <si>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</si>
  <si>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</si>
  <si>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</si>
  <si>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</si>
  <si>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</si>
  <si>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</si>
  <si>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</si>
  <si>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</si>
  <si>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</si>
  <si>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</si>
  <si>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</si>
  <si>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</si>
  <si>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</si>
  <si>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</si>
  <si>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</si>
  <si>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</si>
  <si>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</si>
  <si>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</si>
  <si>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</si>
  <si>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</si>
  <si>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</si>
  <si>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</si>
  <si>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</si>
  <si>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</si>
  <si>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</si>
  <si>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</si>
  <si>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</si>
  <si>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</si>
  <si>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</si>
  <si>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</si>
  <si>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</si>
  <si>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</si>
  <si>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</si>
  <si>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</si>
  <si>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</si>
  <si>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</si>
  <si>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</si>
  <si>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</si>
  <si>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</si>
  <si>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</si>
  <si>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</si>
  <si>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</si>
  <si>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</si>
  <si>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</si>
  <si>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</si>
  <si>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</si>
  <si>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</si>
  <si>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</si>
  <si>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</si>
  <si>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</si>
  <si>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</si>
  <si>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</si>
  <si>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</si>
  <si>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</si>
  <si>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</si>
  <si>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</si>
  <si>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</si>
  <si>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</si>
  <si>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</si>
  <si>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</si>
  <si>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</si>
  <si>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</si>
  <si>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</si>
  <si>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</si>
  <si>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</si>
  <si>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</si>
  <si>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</si>
  <si>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</si>
  <si>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</si>
  <si>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</si>
  <si>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</si>
  <si>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</si>
  <si>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</si>
  <si>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</si>
  <si>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</si>
  <si>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</si>
  <si>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</si>
  <si>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</si>
  <si>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</si>
  <si>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</si>
  <si>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</si>
  <si>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</si>
  <si>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</si>
  <si>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</si>
  <si>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</si>
  <si>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</si>
  <si>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</si>
  <si>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</si>
  <si>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</si>
  <si>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</si>
  <si>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</si>
  <si>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</si>
  <si>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</si>
  <si>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</si>
  <si>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</si>
  <si>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</si>
  <si>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</si>
  <si>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</si>
  <si>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</si>
  <si>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</si>
  <si>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</si>
  <si>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</si>
  <si>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</si>
  <si>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</si>
  <si>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</si>
  <si>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</si>
  <si>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</si>
  <si>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</si>
  <si>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</si>
  <si>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</si>
  <si>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</si>
  <si>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</si>
  <si>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</si>
  <si>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</si>
  <si>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</si>
  <si>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</si>
  <si>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</si>
  <si>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</si>
  <si>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</si>
  <si>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</si>
  <si>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</si>
  <si>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</si>
  <si>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</si>
  <si>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</si>
  <si>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</si>
  <si>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</si>
  <si>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</si>
  <si>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</si>
  <si>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</si>
  <si>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</si>
  <si>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</si>
  <si>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</si>
  <si>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</si>
  <si>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</si>
  <si>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</si>
  <si>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</si>
  <si>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</si>
  <si>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</si>
  <si>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</si>
  <si>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</si>
  <si>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</si>
  <si>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</si>
  <si>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</si>
  <si>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</si>
  <si>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</si>
  <si>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</si>
  <si>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</si>
  <si>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</si>
  <si>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</si>
  <si>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</si>
  <si>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</si>
  <si>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</si>
  <si>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</si>
  <si>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</si>
  <si>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</si>
  <si>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</si>
  <si>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</si>
  <si>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</si>
  <si>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</si>
  <si>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</si>
  <si>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</si>
  <si>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</si>
  <si>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</si>
  <si>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</si>
  <si>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</si>
  <si>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</si>
  <si>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</si>
  <si>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</si>
  <si>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</si>
  <si>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</si>
  <si>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</si>
  <si>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</si>
  <si>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</si>
  <si>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</si>
  <si>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</si>
  <si>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</si>
  <si>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</si>
  <si>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</si>
  <si>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</si>
  <si>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</si>
  <si>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</si>
  <si>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</si>
  <si>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</si>
  <si>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</si>
  <si>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</si>
  <si>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</si>
  <si>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</si>
  <si>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</si>
  <si>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</si>
  <si>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</si>
  <si>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</si>
  <si>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</si>
  <si>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</si>
  <si>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</si>
  <si>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</si>
  <si>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</si>
  <si>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</si>
  <si>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</si>
  <si>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</si>
  <si>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</si>
  <si>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</si>
  <si>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</si>
  <si>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</si>
  <si>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</si>
  <si>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</si>
  <si>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</si>
  <si>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</si>
  <si>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</si>
  <si>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</si>
  <si>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</si>
  <si>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</si>
  <si>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</si>
  <si>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</si>
  <si>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</si>
  <si>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</si>
  <si>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</si>
  <si>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</si>
  <si>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</si>
  <si>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</si>
  <si>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</si>
  <si>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</si>
  <si>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</si>
  <si>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</si>
  <si>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</si>
  <si>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</si>
  <si>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</si>
  <si>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</si>
  <si>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</si>
  <si>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</si>
  <si>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</si>
  <si>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</si>
  <si>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</si>
  <si>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</si>
  <si>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</si>
  <si>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</si>
  <si>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</si>
  <si>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</si>
  <si>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</si>
  <si>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</si>
  <si>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</si>
  <si>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</si>
  <si>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</si>
  <si>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</si>
  <si>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</si>
  <si>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</si>
  <si>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</si>
  <si>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</si>
  <si>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</si>
  <si>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</si>
  <si>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</si>
  <si>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</si>
  <si>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</si>
  <si>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</si>
  <si>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</si>
  <si>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</si>
  <si>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</si>
  <si>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</si>
  <si>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</si>
  <si>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</si>
  <si>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</si>
  <si>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</si>
  <si>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</si>
  <si>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</si>
  <si>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</si>
  <si>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</si>
  <si>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</si>
  <si>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</si>
  <si>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</si>
  <si>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</si>
  <si>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</si>
  <si>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</si>
  <si>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</si>
  <si>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</si>
  <si>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</si>
  <si>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</si>
  <si>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</si>
  <si>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</si>
  <si>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</si>
  <si>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</si>
  <si>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</si>
  <si>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</si>
  <si>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</si>
  <si>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</si>
  <si>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</si>
  <si>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</si>
  <si>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</si>
  <si>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</si>
  <si>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</si>
  <si>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</si>
  <si>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</si>
  <si>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</si>
  <si>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</si>
  <si>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</si>
  <si>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</si>
  <si>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</si>
  <si>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</si>
  <si>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</si>
  <si>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</si>
  <si>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</si>
  <si>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</si>
  <si>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</si>
  <si>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</si>
  <si>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</si>
  <si>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</si>
  <si>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</si>
  <si>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</si>
  <si>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</si>
  <si>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</si>
  <si>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</si>
  <si>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</si>
  <si>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</si>
  <si>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</si>
  <si>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ORD0501</t>
  </si>
  <si>
    <t>ORD0502</t>
  </si>
  <si>
    <t>ORD0503</t>
  </si>
  <si>
    <t>ORD0504</t>
  </si>
  <si>
    <t>ORD0505</t>
  </si>
  <si>
    <t>ORD0506</t>
  </si>
  <si>
    <t>ORD0507</t>
  </si>
  <si>
    <t>ORD0508</t>
  </si>
  <si>
    <t>ORD0509</t>
  </si>
  <si>
    <t>ORD0510</t>
  </si>
  <si>
    <t>ORD0511</t>
  </si>
  <si>
    <t>ORD0512</t>
  </si>
  <si>
    <t>ORD0513</t>
  </si>
  <si>
    <t>ORD0514</t>
  </si>
  <si>
    <t>ORD0515</t>
  </si>
  <si>
    <t>ORD0516</t>
  </si>
  <si>
    <t>ORD0517</t>
  </si>
  <si>
    <t>ORD0518</t>
  </si>
  <si>
    <t>ORD0519</t>
  </si>
  <si>
    <t>ORD0520</t>
  </si>
  <si>
    <t>ORD0521</t>
  </si>
  <si>
    <t>ORD0522</t>
  </si>
  <si>
    <t>ORD0523</t>
  </si>
  <si>
    <t>ORD0524</t>
  </si>
  <si>
    <t>ORD0525</t>
  </si>
  <si>
    <t>ORD0526</t>
  </si>
  <si>
    <t>ORD0527</t>
  </si>
  <si>
    <t>ORD0528</t>
  </si>
  <si>
    <t>ORD0529</t>
  </si>
  <si>
    <t>ORD0530</t>
  </si>
  <si>
    <t>ORD0531</t>
  </si>
  <si>
    <t>ORD0532</t>
  </si>
  <si>
    <t>ORD0533</t>
  </si>
  <si>
    <t>ORD0534</t>
  </si>
  <si>
    <t>ORD0535</t>
  </si>
  <si>
    <t>ORD0536</t>
  </si>
  <si>
    <t>ORD0537</t>
  </si>
  <si>
    <t>ORD0538</t>
  </si>
  <si>
    <t>ORD0539</t>
  </si>
  <si>
    <t>ORD0540</t>
  </si>
  <si>
    <t>ORD0541</t>
  </si>
  <si>
    <t>ORD0542</t>
  </si>
  <si>
    <t>ORD0543</t>
  </si>
  <si>
    <t>ORD0544</t>
  </si>
  <si>
    <t>ORD0545</t>
  </si>
  <si>
    <t>ORD0546</t>
  </si>
  <si>
    <t>ORD0547</t>
  </si>
  <si>
    <t>ORD0548</t>
  </si>
  <si>
    <t>ORD0549</t>
  </si>
  <si>
    <t>ORD0550</t>
  </si>
  <si>
    <t>ORD0551</t>
  </si>
  <si>
    <t>ORD0552</t>
  </si>
  <si>
    <t>ORD0553</t>
  </si>
  <si>
    <t>ORD0554</t>
  </si>
  <si>
    <t>ORD0555</t>
  </si>
  <si>
    <t>ORD0556</t>
  </si>
  <si>
    <t>ORD0557</t>
  </si>
  <si>
    <t>ORD0558</t>
  </si>
  <si>
    <t>ORD0559</t>
  </si>
  <si>
    <t>ORD0560</t>
  </si>
  <si>
    <t>ORD0561</t>
  </si>
  <si>
    <t>ORD0562</t>
  </si>
  <si>
    <t>ORD0563</t>
  </si>
  <si>
    <t>ORD0564</t>
  </si>
  <si>
    <t>ORD0565</t>
  </si>
  <si>
    <t>ORD0566</t>
  </si>
  <si>
    <t>ORD0567</t>
  </si>
  <si>
    <t>ORD0568</t>
  </si>
  <si>
    <t>ORD0569</t>
  </si>
  <si>
    <t>ORD0570</t>
  </si>
  <si>
    <t>ORD0571</t>
  </si>
  <si>
    <t>ORD0572</t>
  </si>
  <si>
    <t>ORD0573</t>
  </si>
  <si>
    <t>ORD0574</t>
  </si>
  <si>
    <t>ORD0575</t>
  </si>
  <si>
    <t>ORD0576</t>
  </si>
  <si>
    <t>ORD0577</t>
  </si>
  <si>
    <t>ORD0578</t>
  </si>
  <si>
    <t>ORD0579</t>
  </si>
  <si>
    <t>ORD0580</t>
  </si>
  <si>
    <t>ORD0581</t>
  </si>
  <si>
    <t>ORD0582</t>
  </si>
  <si>
    <t>ORD0583</t>
  </si>
  <si>
    <t>ORD0584</t>
  </si>
  <si>
    <t>ORD0585</t>
  </si>
  <si>
    <t>ORD0586</t>
  </si>
  <si>
    <t>ORD0587</t>
  </si>
  <si>
    <t>ORD0588</t>
  </si>
  <si>
    <t>ORD0589</t>
  </si>
  <si>
    <t>ORD0590</t>
  </si>
  <si>
    <t>ORD0591</t>
  </si>
  <si>
    <t>ORD0592</t>
  </si>
  <si>
    <t>ORD0593</t>
  </si>
  <si>
    <t>ORD0594</t>
  </si>
  <si>
    <t>ORD0595</t>
  </si>
  <si>
    <t>ORD0596</t>
  </si>
  <si>
    <t>ORD0597</t>
  </si>
  <si>
    <t>ORD0598</t>
  </si>
  <si>
    <t>ORD0599</t>
  </si>
  <si>
    <t>ORD0600</t>
  </si>
  <si>
    <t>Retail Sales Analysis</t>
  </si>
  <si>
    <t>Formula-driven analysis linked directly to Raw Data. Refresh/recalculate in Excel to update.</t>
  </si>
  <si>
    <t>Core KPIs</t>
  </si>
  <si>
    <t>Total Revenue</t>
  </si>
  <si>
    <t>Total Profit</t>
  </si>
  <si>
    <t>Units Sold</t>
  </si>
  <si>
    <t>Monthly Performance</t>
  </si>
  <si>
    <t>Jan</t>
  </si>
  <si>
    <t>Feb</t>
  </si>
  <si>
    <t>Mar</t>
  </si>
  <si>
    <t>Apr</t>
  </si>
  <si>
    <t>May</t>
  </si>
  <si>
    <t>Jun</t>
  </si>
  <si>
    <t>Jul</t>
  </si>
  <si>
    <t>Aug</t>
  </si>
  <si>
    <t>Sep</t>
  </si>
  <si>
    <t>Oct</t>
  </si>
  <si>
    <t>Nov</t>
  </si>
  <si>
    <t>Dec</t>
  </si>
  <si>
    <t>Category Performance</t>
  </si>
  <si>
    <t>Regional Performance</t>
  </si>
  <si>
    <t>Margin</t>
  </si>
  <si>
    <t>Retail Sales Performance Dashboard</t>
  </si>
  <si>
    <t>2025 sales performance | Excel analysis | recruiter-ready portfolio project</t>
  </si>
  <si>
    <t>KEY BUSINESS INSIGHTS</t>
  </si>
  <si>
    <t>• Revenue and profit are tracked monthly to identify seasonality and performance changes.</t>
  </si>
  <si>
    <t>• Category performance highlights where sales volume and profitability are strongest.</t>
  </si>
  <si>
    <t>• Regional profit is compared across all four regions with a complete category range.</t>
  </si>
  <si>
    <t>• Management should investigate high-revenue/low-margin products before scaling promotional spend.</t>
  </si>
  <si>
    <t>Row Labels</t>
  </si>
  <si>
    <t>Grand Total</t>
  </si>
  <si>
    <t>Sum of Units</t>
  </si>
  <si>
    <t>Sum of Revenue</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</si>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</sst>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0.0%"/>
    <numFmt numFmtId="166" formatCode="mm/dd/yy"/>
    <numFmt numFmtId="167" formatCode="_-[$R-1C09]* #,##0.00_-;\-[$R-1C09]* #,##0.00_-;_-[$R-1C09]* &quot;-&quot;??_-;_-@_-"/>
  </numFmts>
  <fonts count="13" x14ac:knownFonts="1">
    <font>
      <sz val="11"/>
      <color theme="1"/>
      <name val="Calibri"/>
      <family val="2"/>
      <charset val="1"/>
    </font>
    <font>
      <b/>
      <sz val="11"/>
      <color theme="1"/>
      <name val="Calibri"/>
      <family val="2"/>
      <charset val="1"/>
    </font>
    <font>
      <b/>
      <sz val="11"/>
      <color rgb="FFFFFFFF"/>
      <name val="Cambria"/>
      <family val="1"/>
    </font>
    <font>
      <b/>
      <sz val="13"/>
      <color rgb="FF1F4E78"/>
      <name val="Cambria"/>
      <family val="1"/>
    </font>
    <font>
      <b/>
      <sz val="16"/>
      <name val="Cambria"/>
      <family val="1"/>
    </font>
    <font>
      <b/>
      <sz val="11"/>
      <color rgb="FF666666"/>
      <name val="Cambria"/>
      <family val="1"/>
    </font>
    <font>
      <sz val="11"/>
      <color theme="1"/>
      <name val="Calibri"/>
      <family val="2"/>
      <charset val="1"/>
    </font>
    <font>
      <i/>
      <sz val="11"/>
      <color theme="1" tint="0.14999847407452621"/>
      <name val="Cambria"/>
      <family val="1"/>
    </font>
    <font>
      <sz val="11"/>
      <color theme="1" tint="0.14999847407452621"/>
      <name val="Calibri"/>
      <family val="2"/>
      <charset val="1"/>
    </font>
    <font>
      <b/>
      <u/>
      <sz val="13"/>
      <color rgb="FF1F4E78"/>
      <name val="Cambria"/>
      <family val="1"/>
    </font>
    <font>
      <u/>
      <sz val="11"/>
      <color theme="1"/>
      <name val="Calibri"/>
      <family val="2"/>
      <charset val="1"/>
    </font>
    <font>
      <b/>
      <sz val="11"/>
      <color theme="3" tint="-0.249977111117893"/>
      <name val="Cambria"/>
      <family val="1"/>
    </font>
    <font>
      <b/>
      <u/>
      <sz val="20"/>
      <color rgb="FF17365D"/>
      <name val="Cambria"/>
      <family val="1"/>
    </font>
  </fonts>
  <fills count="8">
    <fill>
      <patternFill patternType="none"/>
    </fill>
    <fill>
      <patternFill patternType="gray125"/>
    </fill>
    <fill>
      <patternFill patternType="solid">
        <fgColor rgb="FF1F4E78"/>
        <bgColor rgb="FF17365D"/>
      </patternFill>
    </fill>
    <fill>
      <patternFill patternType="solid">
        <fgColor theme="0" tint="-0.34998626667073579"/>
        <bgColor indexed="64"/>
      </patternFill>
    </fill>
    <fill>
      <patternFill patternType="solid">
        <fgColor theme="0" tint="-0.14999847407452621"/>
        <bgColor rgb="FFD9E1F2"/>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249977111117893"/>
        <bgColor rgb="FF17365D"/>
      </patternFill>
    </fill>
  </fills>
  <borders count="4">
    <border>
      <left/>
      <right/>
      <top/>
      <bottom/>
      <diagonal/>
    </border>
    <border>
      <left/>
      <right/>
      <top/>
      <bottom style="thin">
        <color rgb="FFD9E1F2"/>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7">
    <xf numFmtId="0" fontId="0" fillId="0" borderId="0"/>
    <xf numFmtId="0" fontId="6" fillId="0" borderId="0"/>
    <xf numFmtId="0" fontId="6" fillId="0" borderId="0"/>
    <xf numFmtId="0" fontId="6" fillId="0" borderId="0"/>
    <xf numFmtId="0" fontId="6" fillId="0" borderId="0">
      <alignment horizontal="left"/>
    </xf>
    <xf numFmtId="0" fontId="1" fillId="0" borderId="0">
      <alignment horizontal="left"/>
    </xf>
    <xf numFmtId="0" fontId="1" fillId="0" borderId="0"/>
  </cellStyleXfs>
  <cellXfs count="34">
    <xf numFmtId="0" fontId="0" fillId="0" borderId="0" xfId="0"/>
    <xf numFmtId="0" fontId="2" fillId="2" borderId="1" xfId="0" applyFont="1" applyFill="1" applyBorder="1" applyAlignment="1">
      <alignment horizontal="center"/>
    </xf>
    <xf numFmtId="164" fontId="0" fillId="0" borderId="0" xfId="0" applyNumberFormat="1"/>
    <xf numFmtId="165" fontId="0" fillId="0" borderId="0" xfId="0" applyNumberFormat="1"/>
    <xf numFmtId="166" fontId="0" fillId="0" borderId="0" xfId="0" applyNumberFormat="1"/>
    <xf numFmtId="0" fontId="0" fillId="3" borderId="0" xfId="0" applyFill="1"/>
    <xf numFmtId="0" fontId="5" fillId="5" borderId="3" xfId="0" applyFont="1" applyFill="1" applyBorder="1" applyAlignment="1">
      <alignment horizontal="center"/>
    </xf>
    <xf numFmtId="165" fontId="4" fillId="4" borderId="2" xfId="0" applyNumberFormat="1" applyFont="1" applyFill="1" applyBorder="1" applyAlignment="1">
      <alignment horizontal="center"/>
    </xf>
    <xf numFmtId="3" fontId="4" fillId="4" borderId="2" xfId="0" applyNumberFormat="1" applyFont="1" applyFill="1" applyBorder="1" applyAlignment="1">
      <alignment horizontal="center"/>
    </xf>
    <xf numFmtId="0" fontId="9" fillId="3" borderId="0" xfId="0" applyFont="1" applyFill="1"/>
    <xf numFmtId="0" fontId="10" fillId="3" borderId="0" xfId="0" applyFont="1" applyFill="1"/>
    <xf numFmtId="0" fontId="0" fillId="6" borderId="0" xfId="0" applyFill="1"/>
    <xf numFmtId="0" fontId="3" fillId="6" borderId="0" xfId="0" applyFont="1" applyFill="1"/>
    <xf numFmtId="165" fontId="0" fillId="6" borderId="0" xfId="0" applyNumberFormat="1" applyFill="1"/>
    <xf numFmtId="0" fontId="11" fillId="7" borderId="1" xfId="0" applyFont="1" applyFill="1" applyBorder="1" applyAlignment="1">
      <alignment horizontal="center"/>
    </xf>
    <xf numFmtId="0" fontId="9" fillId="6" borderId="0" xfId="0" applyFont="1" applyFill="1"/>
    <xf numFmtId="0" fontId="0" fillId="3" borderId="0" xfId="0" applyFill="1" applyAlignment="1">
      <alignment horizontal="left"/>
    </xf>
    <xf numFmtId="167" fontId="2" fillId="2" borderId="1" xfId="0" applyNumberFormat="1" applyFont="1" applyFill="1" applyBorder="1" applyAlignment="1">
      <alignment horizontal="center"/>
    </xf>
    <xf numFmtId="167" fontId="0" fillId="0" borderId="0" xfId="0" applyNumberFormat="1"/>
    <xf numFmtId="167" fontId="4" fillId="4" borderId="2" xfId="0" applyNumberFormat="1" applyFont="1" applyFill="1" applyBorder="1" applyAlignment="1">
      <alignment horizontal="center"/>
    </xf>
    <xf numFmtId="167" fontId="0" fillId="6" borderId="0" xfId="0" applyNumberFormat="1" applyFill="1"/>
    <xf numFmtId="167" fontId="11" fillId="7" borderId="1" xfId="0" applyNumberFormat="1" applyFont="1" applyFill="1" applyBorder="1" applyAlignment="1">
      <alignment horizontal="center"/>
    </xf>
    <xf numFmtId="167" fontId="5" fillId="5" borderId="3" xfId="0" applyNumberFormat="1" applyFont="1" applyFill="1" applyBorder="1" applyAlignment="1">
      <alignment horizontal="center"/>
    </xf>
    <xf numFmtId="167" fontId="0" fillId="3" borderId="0" xfId="0" applyNumberFormat="1" applyFill="1"/>
    <xf numFmtId="0" fontId="7" fillId="6" borderId="0" xfId="0" applyFont="1" applyFill="1" applyAlignment="1">
      <alignment horizontal="center"/>
    </xf>
    <xf numFmtId="0" fontId="8" fillId="6" borderId="0" xfId="0" applyFont="1" applyFill="1" applyAlignment="1">
      <alignment horizontal="center"/>
    </xf>
    <xf numFmtId="0" fontId="12" fillId="6" borderId="0" xfId="0" applyFont="1" applyFill="1" applyAlignment="1">
      <alignment horizontal="center" vertical="center"/>
    </xf>
    <xf numFmtId="0" fontId="10" fillId="6" borderId="0" xfId="0" applyFont="1" applyFill="1" applyAlignment="1">
      <alignment horizontal="center" vertical="center"/>
    </xf>
    <xf numFmtId="0" fontId="7" fillId="3" borderId="0" xfId="0" applyFont="1" applyFill="1" applyAlignment="1">
      <alignment horizontal="center"/>
    </xf>
    <xf numFmtId="0" fontId="8" fillId="3" borderId="0" xfId="0" applyFont="1" applyFill="1" applyAlignment="1">
      <alignment horizontal="center"/>
    </xf>
    <xf numFmtId="0" fontId="0" fillId="3" borderId="0" xfId="0" applyFill="1" applyAlignment="1">
      <alignment vertical="top" wrapText="1"/>
    </xf>
    <xf numFmtId="0" fontId="0" fillId="3" borderId="0" xfId="0" applyFill="1"/>
    <xf numFmtId="0" fontId="12" fillId="3" borderId="0" xfId="0" applyFont="1" applyFill="1" applyAlignment="1">
      <alignment horizontal="center"/>
    </xf>
    <xf numFmtId="0" fontId="10" fillId="3" borderId="0" xfId="0" applyFont="1" applyFill="1" applyAlignment="1">
      <alignment horizontal="center"/>
    </xf>
  </cellXfs>
  <cellStyles count="7">
    <cellStyle name="Normal" xfId="0" builtinId="0"/>
    <cellStyle name="Pivot Table Category" xfId="4" xr:uid="{00000000-0005-0000-0000-000009000000}"/>
    <cellStyle name="Pivot Table Corner" xfId="1" xr:uid="{00000000-0005-0000-0000-000006000000}"/>
    <cellStyle name="Pivot Table Field" xfId="3" xr:uid="{00000000-0005-0000-0000-000008000000}"/>
    <cellStyle name="Pivot Table Result" xfId="6" xr:uid="{00000000-0005-0000-0000-00000B000000}"/>
    <cellStyle name="Pivot Table Title" xfId="5" xr:uid="{00000000-0005-0000-0000-00000A000000}"/>
    <cellStyle name="Pivot Table Value" xfId="2" xr:uid="{00000000-0005-0000-0000-000007000000}"/>
  </cellStyles>
  <dxfs count="48">
    <dxf>
      <numFmt numFmtId="168" formatCode="&quot;$&quot;#,##0.00"/>
    </dxf>
    <dxf>
      <numFmt numFmtId="167" formatCode="_-[$R-1C09]* #,##0.00_-;\-[$R-1C09]* #,##0.00_-;_-[$R-1C09]* &quot;-&quot;??_-;_-@_-"/>
    </dxf>
    <dxf>
      <numFmt numFmtId="167" formatCode="_-[$R-1C09]* #,##0.00_-;\-[$R-1C09]* #,##0.00_-;_-[$R-1C09]* &quot;-&quot;??_-;_-@_-"/>
    </dxf>
    <dxf>
      <numFmt numFmtId="168" formatCode="&quot;$&quot;#,##0.00"/>
    </dxf>
    <dxf>
      <numFmt numFmtId="167" formatCode="_-[$R-1C09]* #,##0.00_-;\-[$R-1C09]* #,##0.00_-;_-[$R-1C09]* &quot;-&quot;??_-;_-@_-"/>
    </dxf>
    <dxf>
      <numFmt numFmtId="167" formatCode="_-[$R-1C09]* #,##0.00_-;\-[$R-1C09]* #,##0.00_-;_-[$R-1C09]* &quot;-&quot;??_-;_-@_-"/>
    </dxf>
    <dxf>
      <numFmt numFmtId="168" formatCode="&quot;$&quot;#,##0.00"/>
    </dxf>
    <dxf>
      <numFmt numFmtId="167" formatCode="_-[$R-1C09]* #,##0.00_-;\-[$R-1C09]* #,##0.00_-;_-[$R-1C09]* &quot;-&quot;??_-;_-@_-"/>
    </dxf>
    <dxf>
      <numFmt numFmtId="167" formatCode="_-[$R-1C09]* #,##0.00_-;\-[$R-1C09]* #,##0.00_-;_-[$R-1C09]* &quot;-&quot;??_-;_-@_-"/>
    </dxf>
    <dxf>
      <numFmt numFmtId="168" formatCode="&quot;$&quot;#,##0.00"/>
    </dxf>
    <dxf>
      <numFmt numFmtId="167" formatCode="_-[$R-1C09]* #,##0.00_-;\-[$R-1C09]* #,##0.00_-;_-[$R-1C09]* &quot;-&quot;??_-;_-@_-"/>
    </dxf>
    <dxf>
      <numFmt numFmtId="167" formatCode="_-[$R-1C09]* #,##0.00_-;\-[$R-1C09]* #,##0.00_-;_-[$R-1C09]* &quot;-&quot;??_-;_-@_-"/>
    </dxf>
    <dxf>
      <numFmt numFmtId="168" formatCode="&quot;$&quot;#,##0.00"/>
    </dxf>
    <dxf>
      <numFmt numFmtId="167" formatCode="_-[$R-1C09]* #,##0.00_-;\-[$R-1C09]* #,##0.00_-;_-[$R-1C09]* &quot;-&quot;??_-;_-@_-"/>
    </dxf>
    <dxf>
      <numFmt numFmtId="167" formatCode="_-[$R-1C09]* #,##0.00_-;\-[$R-1C09]* #,##0.00_-;_-[$R-1C09]* &quot;-&quot;??_-;_-@_-"/>
    </dxf>
    <dxf>
      <numFmt numFmtId="168" formatCode="&quot;$&quot;#,##0.00"/>
    </dxf>
    <dxf>
      <numFmt numFmtId="167" formatCode="_-[$R-1C09]* #,##0.00_-;\-[$R-1C09]* #,##0.00_-;_-[$R-1C09]* &quot;-&quot;??_-;_-@_-"/>
    </dxf>
    <dxf>
      <numFmt numFmtId="167" formatCode="_-[$R-1C09]* #,##0.00_-;\-[$R-1C09]* #,##0.00_-;_-[$R-1C09]* &quot;-&quot;??_-;_-@_-"/>
    </dxf>
    <dxf>
      <numFmt numFmtId="168" formatCode="&quot;$&quot;#,##0.00"/>
    </dxf>
    <dxf>
      <numFmt numFmtId="167" formatCode="_-[$R-1C09]* #,##0.00_-;\-[$R-1C09]* #,##0.00_-;_-[$R-1C09]* &quot;-&quot;??_-;_-@_-"/>
    </dxf>
    <dxf>
      <numFmt numFmtId="168" formatCode="&quot;$&quot;#,##0.00"/>
    </dxf>
    <dxf>
      <numFmt numFmtId="167" formatCode="_-[$R-1C09]* #,##0.00_-;\-[$R-1C09]* #,##0.00_-;_-[$R-1C09]* &quot;-&quot;??_-;_-@_-"/>
    </dxf>
    <dxf>
      <numFmt numFmtId="168" formatCode="&quot;$&quot;#,##0.00"/>
    </dxf>
    <dxf>
      <numFmt numFmtId="167" formatCode="_-[$R-1C09]* #,##0.00_-;\-[$R-1C09]* #,##0.00_-;_-[$R-1C09]* &quot;-&quot;??_-;_-@_-"/>
    </dxf>
    <dxf>
      <numFmt numFmtId="168" formatCode="&quot;$&quot;#,##0.00"/>
    </dxf>
    <dxf>
      <numFmt numFmtId="167" formatCode="_-[$R-1C09]* #,##0.00_-;\-[$R-1C09]* #,##0.00_-;_-[$R-1C09]* &quot;-&quot;??_-;_-@_-"/>
    </dxf>
    <dxf>
      <numFmt numFmtId="168" formatCode="&quot;$&quot;#,##0.00"/>
    </dxf>
    <dxf>
      <numFmt numFmtId="167" formatCode="_-[$R-1C09]* #,##0.00_-;\-[$R-1C09]* #,##0.00_-;_-[$R-1C09]* &quot;-&quot;??_-;_-@_-"/>
    </dxf>
    <dxf>
      <numFmt numFmtId="168" formatCode="&quot;$&quot;#,##0.00"/>
    </dxf>
    <dxf>
      <numFmt numFmtId="167" formatCode="_-[$R-1C09]* #,##0.00_-;\-[$R-1C09]* #,##0.00_-;_-[$R-1C09]* &quot;-&quot;??_-;_-@_-"/>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993366"/>
      <rgbColor rgb="FFF9F9F9"/>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4F81BD"/>
      <rgbColor rgb="FF33CCCC"/>
      <rgbColor rgb="FF98B855"/>
      <rgbColor rgb="FFFFCC00"/>
      <rgbColor rgb="FFFF9900"/>
      <rgbColor rgb="FFFF6600"/>
      <rgbColor rgb="FF666666"/>
      <rgbColor rgb="FF969696"/>
      <rgbColor rgb="FF17365D"/>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300" b="0" strike="noStrike">
                <a:uFillTx/>
                <a:latin typeface="Arial"/>
              </a:defRPr>
            </a:pPr>
            <a:r>
              <a:rPr lang="en-ZA" sz="1800" b="1" strike="noStrike">
                <a:solidFill>
                  <a:srgbClr val="000000"/>
                </a:solidFill>
                <a:uFillTx/>
                <a:latin typeface="Calibri"/>
              </a:rPr>
              <a:t>Monthly Revenue Trend</a:t>
            </a:r>
          </a:p>
        </c:rich>
      </c:tx>
      <c:overlay val="0"/>
      <c:spPr>
        <a:noFill/>
        <a:ln w="0">
          <a:noFill/>
          <a:prstDash val="solid"/>
        </a:ln>
      </c:spPr>
    </c:title>
    <c:autoTitleDeleted val="0"/>
    <c:plotArea>
      <c:layout/>
      <c:lineChart>
        <c:grouping val="standard"/>
        <c:varyColors val="0"/>
        <c:ser>
          <c:idx val="0"/>
          <c:order val="0"/>
          <c:tx>
            <c:strRef>
              <c:f>Analysis!$B$10</c:f>
              <c:strCache>
                <c:ptCount val="1"/>
                <c:pt idx="0">
                  <c:v> Revenue </c:v>
                </c:pt>
              </c:strCache>
            </c:strRef>
          </c:tx>
          <c:spPr>
            <a:ln w="47520">
              <a:solidFill>
                <a:srgbClr val="98B855"/>
              </a:solidFill>
              <a:prstDash val="solid"/>
              <a:round/>
            </a:ln>
          </c:spPr>
          <c:marker>
            <c:symbol val="none"/>
          </c:marker>
          <c:dLbls>
            <c:spPr>
              <a:noFill/>
              <a:ln>
                <a:noFill/>
              </a:ln>
              <a:effectLst/>
            </c:spPr>
            <c:txPr>
              <a:bodyPr/>
              <a:lstStyle/>
              <a:p>
                <a:pPr>
                  <a:defRPr sz="1000" b="0" strike="noStrike">
                    <a:uFillTx/>
                    <a:latin typeface="Arial"/>
                  </a:defRPr>
                </a:pPr>
                <a:endParaRPr lang="en-US"/>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Analysis!$A$11:$A$22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Analysis!$B$11:$B$22</c:f>
              <c:numCache>
                <c:formatCode>_-[$R-1C09]* #,##0.00_-;\-[$R-1C09]* #,##0.00_-;_-[$R-1C09]* "-"??_-;_-@_-</c:formatCode>
                <c:ptCount val="12"/>
                <c:pt idx="0">
                  <c:v>1313622.9199999997</c:v>
                </c:pt>
                <c:pt idx="1">
                  <c:v>1036002.57</c:v>
                </c:pt>
                <c:pt idx="2">
                  <c:v>1189416.7399999998</c:v>
                </c:pt>
                <c:pt idx="3">
                  <c:v>1359350.8599999999</c:v>
                </c:pt>
                <c:pt idx="4">
                  <c:v>1640967.93</c:v>
                </c:pt>
                <c:pt idx="5">
                  <c:v>1303152.6700000002</c:v>
                </c:pt>
                <c:pt idx="6">
                  <c:v>1716260.8400000003</c:v>
                </c:pt>
                <c:pt idx="7">
                  <c:v>1260612.8999999999</c:v>
                </c:pt>
                <c:pt idx="8">
                  <c:v>957721.95</c:v>
                </c:pt>
                <c:pt idx="9">
                  <c:v>1571618.33</c:v>
                </c:pt>
                <c:pt idx="10">
                  <c:v>1333713.8300000003</c:v>
                </c:pt>
                <c:pt idx="11">
                  <c:v>1325346.3500000006</c:v>
                </c:pt>
              </c:numCache>
            </c:numRef>
          </c:val>
          <c:smooth val="1"/>
          <c:extLst>
            <c:ext xmlns:c16="http://schemas.microsoft.com/office/drawing/2014/chart" uri="{C3380CC4-5D6E-409C-BE32-E72D297353CC}">
              <c16:uniqueId val="{00000000-F7DE-460F-B3FB-05570925A6F9}"/>
            </c:ext>
          </c:extLst>
        </c:ser>
        <c:dLbls>
          <c:showLegendKey val="0"/>
          <c:showVal val="0"/>
          <c:showCatName val="0"/>
          <c:showSerName val="0"/>
          <c:showPercent val="0"/>
          <c:showBubbleSize val="0"/>
        </c:dLbls>
        <c:hiLowLines>
          <c:spPr>
            <a:ln w="0">
              <a:noFill/>
              <a:prstDash val="solid"/>
            </a:ln>
          </c:spPr>
        </c:hiLowLines>
        <c:smooth val="0"/>
        <c:axId val="71754497"/>
        <c:axId val="69468761"/>
      </c:lineChart>
      <c:catAx>
        <c:axId val="71754497"/>
        <c:scaling>
          <c:orientation val="minMax"/>
        </c:scaling>
        <c:delete val="0"/>
        <c:axPos val="b"/>
        <c:title>
          <c:tx>
            <c:rich>
              <a:bodyPr rot="0"/>
              <a:lstStyle/>
              <a:p>
                <a:pPr>
                  <a:defRPr sz="1300" b="0" strike="noStrike">
                    <a:uFillTx/>
                    <a:latin typeface="Arial"/>
                  </a:defRPr>
                </a:pPr>
                <a:r>
                  <a:rPr lang="en-ZA" sz="1000" b="1" strike="noStrike">
                    <a:solidFill>
                      <a:srgbClr val="000000"/>
                    </a:solidFill>
                    <a:uFillTx/>
                    <a:latin typeface="Calibri"/>
                  </a:rPr>
                  <a:t>Month</a:t>
                </a:r>
              </a:p>
            </c:rich>
          </c:tx>
          <c:overlay val="0"/>
          <c:spPr>
            <a:noFill/>
            <a:ln w="0">
              <a:noFill/>
              <a:prstDash val="solid"/>
            </a:ln>
          </c:spPr>
        </c:title>
        <c:numFmt formatCode="General" sourceLinked="1"/>
        <c:majorTickMark val="none"/>
        <c:minorTickMark val="none"/>
        <c:tickLblPos val="nextTo"/>
        <c:spPr>
          <a:ln w="9360">
            <a:solidFill>
              <a:srgbClr val="878787"/>
            </a:solidFill>
            <a:prstDash val="solid"/>
            <a:round/>
          </a:ln>
        </c:spPr>
        <c:txPr>
          <a:bodyPr/>
          <a:lstStyle/>
          <a:p>
            <a:pPr>
              <a:defRPr sz="1000" b="0" strike="noStrike">
                <a:solidFill>
                  <a:srgbClr val="000000"/>
                </a:solidFill>
                <a:uFillTx/>
                <a:latin typeface="Calibri"/>
              </a:defRPr>
            </a:pPr>
            <a:endParaRPr lang="en-US"/>
          </a:p>
        </c:txPr>
        <c:crossAx val="69468761"/>
        <c:crosses val="autoZero"/>
        <c:auto val="1"/>
        <c:lblAlgn val="ctr"/>
        <c:lblOffset val="100"/>
        <c:noMultiLvlLbl val="0"/>
      </c:catAx>
      <c:valAx>
        <c:axId val="69468761"/>
        <c:scaling>
          <c:orientation val="minMax"/>
        </c:scaling>
        <c:delete val="0"/>
        <c:axPos val="l"/>
        <c:majorGridlines>
          <c:spPr>
            <a:ln w="9360">
              <a:solidFill>
                <a:srgbClr val="878787"/>
              </a:solidFill>
              <a:prstDash val="solid"/>
              <a:round/>
            </a:ln>
          </c:spPr>
        </c:majorGridlines>
        <c:title>
          <c:tx>
            <c:rich>
              <a:bodyPr rot="-5400000"/>
              <a:lstStyle/>
              <a:p>
                <a:pPr>
                  <a:defRPr sz="1300" b="0" strike="noStrike">
                    <a:uFillTx/>
                    <a:latin typeface="Arial"/>
                  </a:defRPr>
                </a:pPr>
                <a:r>
                  <a:rPr lang="en-ZA" sz="1000" b="1" strike="noStrike">
                    <a:solidFill>
                      <a:srgbClr val="000000"/>
                    </a:solidFill>
                    <a:uFillTx/>
                    <a:latin typeface="Calibri"/>
                  </a:rPr>
                  <a:t>Revenue (R)</a:t>
                </a:r>
              </a:p>
            </c:rich>
          </c:tx>
          <c:overlay val="0"/>
          <c:spPr>
            <a:noFill/>
            <a:ln w="0">
              <a:noFill/>
              <a:prstDash val="solid"/>
            </a:ln>
          </c:spPr>
        </c:title>
        <c:numFmt formatCode="[$R-1C09]#,##0.00" sourceLinked="0"/>
        <c:majorTickMark val="none"/>
        <c:minorTickMark val="none"/>
        <c:tickLblPos val="nextTo"/>
        <c:spPr>
          <a:ln w="9360">
            <a:solidFill>
              <a:srgbClr val="878787"/>
            </a:solidFill>
            <a:prstDash val="solid"/>
            <a:round/>
          </a:ln>
        </c:spPr>
        <c:txPr>
          <a:bodyPr/>
          <a:lstStyle/>
          <a:p>
            <a:pPr>
              <a:defRPr sz="1000" b="0" strike="noStrike">
                <a:solidFill>
                  <a:srgbClr val="000000"/>
                </a:solidFill>
                <a:uFillTx/>
                <a:latin typeface="Calibri"/>
              </a:defRPr>
            </a:pPr>
            <a:endParaRPr lang="en-US"/>
          </a:p>
        </c:txPr>
        <c:crossAx val="71754497"/>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300" b="0" strike="noStrike">
                <a:uFillTx/>
                <a:latin typeface="Arial"/>
              </a:defRPr>
            </a:pPr>
            <a:r>
              <a:rPr lang="en-ZA" sz="1800" b="1" strike="noStrike">
                <a:solidFill>
                  <a:srgbClr val="000000"/>
                </a:solidFill>
                <a:uFillTx/>
                <a:latin typeface="Calibri"/>
              </a:rPr>
              <a:t>Revenue by Category</a:t>
            </a:r>
          </a:p>
        </c:rich>
      </c:tx>
      <c:overlay val="0"/>
      <c:spPr>
        <a:noFill/>
        <a:ln w="0">
          <a:noFill/>
          <a:prstDash val="solid"/>
        </a:ln>
      </c:spPr>
    </c:title>
    <c:autoTitleDeleted val="0"/>
    <c:plotArea>
      <c:layout/>
      <c:barChart>
        <c:barDir val="col"/>
        <c:grouping val="clustered"/>
        <c:varyColors val="0"/>
        <c:ser>
          <c:idx val="0"/>
          <c:order val="0"/>
          <c:tx>
            <c:strRef>
              <c:f>Analysis!$B$26</c:f>
              <c:strCache>
                <c:ptCount val="1"/>
                <c:pt idx="0">
                  <c:v> Revenue </c:v>
                </c:pt>
              </c:strCache>
            </c:strRef>
          </c:tx>
          <c:spPr>
            <a:solidFill>
              <a:srgbClr val="4F81BD"/>
            </a:solidFill>
            <a:ln w="9360">
              <a:solidFill>
                <a:srgbClr val="F9F9F9"/>
              </a:solidFill>
              <a:prstDash val="solid"/>
              <a:round/>
            </a:ln>
          </c:spPr>
          <c:invertIfNegative val="0"/>
          <c:dLbls>
            <c:spPr>
              <a:noFill/>
              <a:ln>
                <a:noFill/>
              </a:ln>
              <a:effectLst/>
            </c:spPr>
            <c:txPr>
              <a:bodyPr/>
              <a:lstStyle/>
              <a:p>
                <a:pPr>
                  <a:defRPr sz="1000" b="0" strike="noStrike">
                    <a:uFillTx/>
                    <a:latin typeface="Arial"/>
                  </a:defRPr>
                </a:pPr>
                <a:endParaRPr lang="en-US"/>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Analysis!$A$27:$A$29</c:f>
              <c:strCache>
                <c:ptCount val="3"/>
                <c:pt idx="0">
                  <c:v>Electronics</c:v>
                </c:pt>
                <c:pt idx="1">
                  <c:v>Accessories</c:v>
                </c:pt>
                <c:pt idx="2">
                  <c:v>Furniture</c:v>
                </c:pt>
              </c:strCache>
            </c:strRef>
          </c:cat>
          <c:val>
            <c:numRef>
              <c:f>Analysis!$B$27:$B$29</c:f>
              <c:numCache>
                <c:formatCode>_-[$R-1C09]* #,##0.00_-;\-[$R-1C09]* #,##0.00_-;_-[$R-1C09]* "-"??_-;_-@_-</c:formatCode>
                <c:ptCount val="3"/>
                <c:pt idx="0">
                  <c:v>6650110.7199999979</c:v>
                </c:pt>
                <c:pt idx="1">
                  <c:v>880033.47000000032</c:v>
                </c:pt>
                <c:pt idx="2">
                  <c:v>8477643.7000000011</c:v>
                </c:pt>
              </c:numCache>
            </c:numRef>
          </c:val>
          <c:extLst>
            <c:ext xmlns:c16="http://schemas.microsoft.com/office/drawing/2014/chart" uri="{C3380CC4-5D6E-409C-BE32-E72D297353CC}">
              <c16:uniqueId val="{00000000-1CC5-4380-B26D-672F3E0B95C6}"/>
            </c:ext>
          </c:extLst>
        </c:ser>
        <c:dLbls>
          <c:showLegendKey val="0"/>
          <c:showVal val="0"/>
          <c:showCatName val="0"/>
          <c:showSerName val="0"/>
          <c:showPercent val="0"/>
          <c:showBubbleSize val="0"/>
        </c:dLbls>
        <c:gapWidth val="150"/>
        <c:axId val="47366429"/>
        <c:axId val="17213203"/>
      </c:barChart>
      <c:catAx>
        <c:axId val="47366429"/>
        <c:scaling>
          <c:orientation val="minMax"/>
        </c:scaling>
        <c:delete val="0"/>
        <c:axPos val="b"/>
        <c:numFmt formatCode="General" sourceLinked="1"/>
        <c:majorTickMark val="none"/>
        <c:minorTickMark val="none"/>
        <c:tickLblPos val="nextTo"/>
        <c:spPr>
          <a:ln w="9360">
            <a:solidFill>
              <a:srgbClr val="878787"/>
            </a:solidFill>
            <a:prstDash val="solid"/>
            <a:round/>
          </a:ln>
        </c:spPr>
        <c:txPr>
          <a:bodyPr/>
          <a:lstStyle/>
          <a:p>
            <a:pPr>
              <a:defRPr sz="1000" b="0" strike="noStrike">
                <a:solidFill>
                  <a:srgbClr val="000000"/>
                </a:solidFill>
                <a:uFillTx/>
                <a:latin typeface="Calibri"/>
              </a:defRPr>
            </a:pPr>
            <a:endParaRPr lang="en-US"/>
          </a:p>
        </c:txPr>
        <c:crossAx val="17213203"/>
        <c:crosses val="autoZero"/>
        <c:auto val="1"/>
        <c:lblAlgn val="ctr"/>
        <c:lblOffset val="100"/>
        <c:noMultiLvlLbl val="0"/>
      </c:catAx>
      <c:valAx>
        <c:axId val="17213203"/>
        <c:scaling>
          <c:orientation val="minMax"/>
        </c:scaling>
        <c:delete val="0"/>
        <c:axPos val="l"/>
        <c:majorGridlines>
          <c:spPr>
            <a:ln w="9360">
              <a:solidFill>
                <a:srgbClr val="878787"/>
              </a:solidFill>
              <a:prstDash val="solid"/>
              <a:round/>
            </a:ln>
          </c:spPr>
        </c:majorGridlines>
        <c:title>
          <c:tx>
            <c:rich>
              <a:bodyPr rot="-5400000"/>
              <a:lstStyle/>
              <a:p>
                <a:pPr>
                  <a:defRPr sz="1300" b="0" strike="noStrike">
                    <a:uFillTx/>
                    <a:latin typeface="Arial"/>
                  </a:defRPr>
                </a:pPr>
                <a:r>
                  <a:rPr lang="en-ZA" sz="1000" b="1" strike="noStrike">
                    <a:solidFill>
                      <a:srgbClr val="000000"/>
                    </a:solidFill>
                    <a:uFillTx/>
                    <a:latin typeface="Calibri"/>
                  </a:rPr>
                  <a:t>Revenue (R)</a:t>
                </a:r>
              </a:p>
            </c:rich>
          </c:tx>
          <c:overlay val="0"/>
          <c:spPr>
            <a:noFill/>
            <a:ln w="0">
              <a:noFill/>
              <a:prstDash val="solid"/>
            </a:ln>
          </c:spPr>
        </c:title>
        <c:numFmt formatCode="[$R-1C09]#,##0.00" sourceLinked="0"/>
        <c:majorTickMark val="none"/>
        <c:minorTickMark val="none"/>
        <c:tickLblPos val="nextTo"/>
        <c:spPr>
          <a:ln w="9360">
            <a:solidFill>
              <a:srgbClr val="878787"/>
            </a:solidFill>
            <a:prstDash val="solid"/>
            <a:round/>
          </a:ln>
        </c:spPr>
        <c:txPr>
          <a:bodyPr/>
          <a:lstStyle/>
          <a:p>
            <a:pPr>
              <a:defRPr sz="1000" b="0" strike="noStrike">
                <a:solidFill>
                  <a:srgbClr val="000000"/>
                </a:solidFill>
                <a:uFillTx/>
                <a:latin typeface="Calibri"/>
              </a:defRPr>
            </a:pPr>
            <a:endParaRPr lang="en-US"/>
          </a:p>
        </c:txPr>
        <c:crossAx val="47366429"/>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300" b="0" strike="noStrike">
                <a:uFillTx/>
                <a:latin typeface="Arial"/>
              </a:defRPr>
            </a:pPr>
            <a:r>
              <a:rPr lang="en-ZA" sz="1800" b="1" strike="noStrike">
                <a:solidFill>
                  <a:srgbClr val="000000"/>
                </a:solidFill>
                <a:uFillTx/>
                <a:latin typeface="Calibri"/>
              </a:rPr>
              <a:t>Regional Profit</a:t>
            </a:r>
          </a:p>
        </c:rich>
      </c:tx>
      <c:overlay val="0"/>
      <c:spPr>
        <a:noFill/>
        <a:ln w="0">
          <a:noFill/>
          <a:prstDash val="solid"/>
        </a:ln>
      </c:spPr>
    </c:title>
    <c:autoTitleDeleted val="0"/>
    <c:plotArea>
      <c:layout/>
      <c:barChart>
        <c:barDir val="col"/>
        <c:grouping val="clustered"/>
        <c:varyColors val="0"/>
        <c:ser>
          <c:idx val="0"/>
          <c:order val="0"/>
          <c:tx>
            <c:strRef>
              <c:f>Analysis!$H$26</c:f>
              <c:strCache>
                <c:ptCount val="1"/>
                <c:pt idx="0">
                  <c:v>Profit</c:v>
                </c:pt>
              </c:strCache>
            </c:strRef>
          </c:tx>
          <c:spPr>
            <a:solidFill>
              <a:srgbClr val="4F81BD"/>
            </a:solidFill>
            <a:ln w="9360">
              <a:solidFill>
                <a:srgbClr val="F9F9F9"/>
              </a:solidFill>
              <a:prstDash val="solid"/>
              <a:round/>
            </a:ln>
          </c:spPr>
          <c:invertIfNegative val="0"/>
          <c:dLbls>
            <c:spPr>
              <a:noFill/>
              <a:ln>
                <a:noFill/>
              </a:ln>
              <a:effectLst/>
            </c:spPr>
            <c:txPr>
              <a:bodyPr/>
              <a:lstStyle/>
              <a:p>
                <a:pPr>
                  <a:defRPr sz="1000" b="0" strike="noStrike">
                    <a:uFillTx/>
                    <a:latin typeface="Arial"/>
                  </a:defRPr>
                </a:pPr>
                <a:endParaRPr lang="en-US"/>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Analysis!$F$27:$F$30</c:f>
              <c:strCache>
                <c:ptCount val="4"/>
                <c:pt idx="0">
                  <c:v>Gauteng</c:v>
                </c:pt>
                <c:pt idx="1">
                  <c:v>Western Cape</c:v>
                </c:pt>
                <c:pt idx="2">
                  <c:v>KwaZulu-Natal</c:v>
                </c:pt>
                <c:pt idx="3">
                  <c:v>Eastern Cape</c:v>
                </c:pt>
              </c:strCache>
            </c:strRef>
          </c:cat>
          <c:val>
            <c:numRef>
              <c:f>Analysis!$H$27:$H$30</c:f>
              <c:numCache>
                <c:formatCode>_-[$R-1C09]* #,##0.00_-;\-[$R-1C09]* #,##0.00_-;_-[$R-1C09]* "-"??_-;_-@_-</c:formatCode>
                <c:ptCount val="4"/>
                <c:pt idx="0">
                  <c:v>1027623.45</c:v>
                </c:pt>
                <c:pt idx="1">
                  <c:v>1253665.9699999997</c:v>
                </c:pt>
                <c:pt idx="2">
                  <c:v>1256200.5400000003</c:v>
                </c:pt>
                <c:pt idx="3">
                  <c:v>1259151.7999999993</c:v>
                </c:pt>
              </c:numCache>
            </c:numRef>
          </c:val>
          <c:extLst>
            <c:ext xmlns:c16="http://schemas.microsoft.com/office/drawing/2014/chart" uri="{C3380CC4-5D6E-409C-BE32-E72D297353CC}">
              <c16:uniqueId val="{00000000-49C8-4E6D-B471-2C8A65FF61DA}"/>
            </c:ext>
          </c:extLst>
        </c:ser>
        <c:dLbls>
          <c:showLegendKey val="0"/>
          <c:showVal val="0"/>
          <c:showCatName val="0"/>
          <c:showSerName val="0"/>
          <c:showPercent val="0"/>
          <c:showBubbleSize val="0"/>
        </c:dLbls>
        <c:gapWidth val="150"/>
        <c:axId val="63869139"/>
        <c:axId val="97199383"/>
      </c:barChart>
      <c:catAx>
        <c:axId val="63869139"/>
        <c:scaling>
          <c:orientation val="minMax"/>
        </c:scaling>
        <c:delete val="0"/>
        <c:axPos val="b"/>
        <c:numFmt formatCode="General" sourceLinked="1"/>
        <c:majorTickMark val="none"/>
        <c:minorTickMark val="none"/>
        <c:tickLblPos val="nextTo"/>
        <c:spPr>
          <a:ln w="9360">
            <a:solidFill>
              <a:srgbClr val="878787"/>
            </a:solidFill>
            <a:prstDash val="solid"/>
            <a:round/>
          </a:ln>
        </c:spPr>
        <c:txPr>
          <a:bodyPr/>
          <a:lstStyle/>
          <a:p>
            <a:pPr>
              <a:defRPr sz="1000" b="0" strike="noStrike">
                <a:solidFill>
                  <a:srgbClr val="000000"/>
                </a:solidFill>
                <a:uFillTx/>
                <a:latin typeface="Calibri"/>
              </a:defRPr>
            </a:pPr>
            <a:endParaRPr lang="en-US"/>
          </a:p>
        </c:txPr>
        <c:crossAx val="97199383"/>
        <c:crosses val="autoZero"/>
        <c:auto val="1"/>
        <c:lblAlgn val="ctr"/>
        <c:lblOffset val="100"/>
        <c:noMultiLvlLbl val="0"/>
      </c:catAx>
      <c:valAx>
        <c:axId val="97199383"/>
        <c:scaling>
          <c:orientation val="minMax"/>
        </c:scaling>
        <c:delete val="0"/>
        <c:axPos val="l"/>
        <c:majorGridlines>
          <c:spPr>
            <a:ln w="9360">
              <a:solidFill>
                <a:srgbClr val="878787"/>
              </a:solidFill>
              <a:prstDash val="solid"/>
              <a:round/>
            </a:ln>
          </c:spPr>
        </c:majorGridlines>
        <c:title>
          <c:tx>
            <c:rich>
              <a:bodyPr rot="-5400000"/>
              <a:lstStyle/>
              <a:p>
                <a:pPr>
                  <a:defRPr sz="1300" b="0" strike="noStrike">
                    <a:uFillTx/>
                    <a:latin typeface="Arial"/>
                  </a:defRPr>
                </a:pPr>
                <a:r>
                  <a:rPr lang="en-ZA" sz="1000" b="1" strike="noStrike">
                    <a:solidFill>
                      <a:srgbClr val="000000"/>
                    </a:solidFill>
                    <a:uFillTx/>
                    <a:latin typeface="Calibri"/>
                  </a:rPr>
                  <a:t>Profit (R)</a:t>
                </a:r>
              </a:p>
            </c:rich>
          </c:tx>
          <c:overlay val="0"/>
          <c:spPr>
            <a:noFill/>
            <a:ln w="0">
              <a:noFill/>
              <a:prstDash val="solid"/>
            </a:ln>
          </c:spPr>
        </c:title>
        <c:numFmt formatCode="[$R-1C09]#,##0.00" sourceLinked="0"/>
        <c:majorTickMark val="none"/>
        <c:minorTickMark val="none"/>
        <c:tickLblPos val="nextTo"/>
        <c:spPr>
          <a:ln w="9360">
            <a:solidFill>
              <a:srgbClr val="878787"/>
            </a:solidFill>
            <a:prstDash val="solid"/>
            <a:round/>
          </a:ln>
        </c:spPr>
        <c:txPr>
          <a:bodyPr/>
          <a:lstStyle/>
          <a:p>
            <a:pPr>
              <a:defRPr sz="1000" b="0" strike="noStrike">
                <a:solidFill>
                  <a:srgbClr val="000000"/>
                </a:solidFill>
                <a:uFillTx/>
                <a:latin typeface="Calibri"/>
              </a:defRPr>
            </a:pPr>
            <a:endParaRPr lang="en-US"/>
          </a:p>
        </c:txPr>
        <c:crossAx val="63869139"/>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xdr:row>
      <xdr:rowOff>10800</xdr:rowOff>
    </xdr:from>
    <xdr:to>
      <xdr:col>3</xdr:col>
      <xdr:colOff>681030</xdr:colOff>
      <xdr:row>19</xdr:row>
      <xdr:rowOff>54000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6</xdr:row>
      <xdr:rowOff>10800</xdr:rowOff>
    </xdr:from>
    <xdr:to>
      <xdr:col>11</xdr:col>
      <xdr:colOff>229320</xdr:colOff>
      <xdr:row>19</xdr:row>
      <xdr:rowOff>54000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21</xdr:row>
      <xdr:rowOff>10800</xdr:rowOff>
    </xdr:from>
    <xdr:to>
      <xdr:col>3</xdr:col>
      <xdr:colOff>681030</xdr:colOff>
      <xdr:row>30</xdr:row>
      <xdr:rowOff>123120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381000</xdr:colOff>
      <xdr:row>9</xdr:row>
      <xdr:rowOff>19051</xdr:rowOff>
    </xdr:from>
    <xdr:to>
      <xdr:col>2</xdr:col>
      <xdr:colOff>304800</xdr:colOff>
      <xdr:row>18</xdr:row>
      <xdr:rowOff>133351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96E6EB81-679A-6AC0-7E70-7F719D3A0E3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81000" y="1733551"/>
              <a:ext cx="1828800" cy="18288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38100</xdr:colOff>
      <xdr:row>8</xdr:row>
      <xdr:rowOff>28576</xdr:rowOff>
    </xdr:from>
    <xdr:to>
      <xdr:col>6</xdr:col>
      <xdr:colOff>990600</xdr:colOff>
      <xdr:row>18</xdr:row>
      <xdr:rowOff>180976</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BF9266EA-2EED-1B97-57F4-41B56BAD5BF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286250" y="1552576"/>
              <a:ext cx="1828800" cy="20574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114300</xdr:colOff>
      <xdr:row>6</xdr:row>
      <xdr:rowOff>161925</xdr:rowOff>
    </xdr:from>
    <xdr:to>
      <xdr:col>11</xdr:col>
      <xdr:colOff>28575</xdr:colOff>
      <xdr:row>18</xdr:row>
      <xdr:rowOff>19050</xdr:rowOff>
    </xdr:to>
    <mc:AlternateContent xmlns:mc="http://schemas.openxmlformats.org/markup-compatibility/2006" xmlns:a14="http://schemas.microsoft.com/office/drawing/2010/main">
      <mc:Choice Requires="a14">
        <xdr:graphicFrame macro="">
          <xdr:nvGraphicFramePr>
            <xdr:cNvPr id="4" name="Channel">
              <a:extLst>
                <a:ext uri="{FF2B5EF4-FFF2-40B4-BE49-F238E27FC236}">
                  <a16:creationId xmlns:a16="http://schemas.microsoft.com/office/drawing/2014/main" id="{A59CA804-E60D-5B27-8C23-1B667601E257}"/>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7724775" y="1304925"/>
              <a:ext cx="1828800" cy="2143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mohlala" refreshedDate="46260.425678935186" createdVersion="8" refreshedVersion="8" minRefreshableVersion="3" recordCount="600" xr:uid="{1D03E7C6-D227-4DED-8034-49FCC07D460B}">
  <cacheSource type="worksheet">
    <worksheetSource ref="A1:O601" sheet="Raw Data"/>
  </cacheSource>
  <cacheFields count="15">
    <cacheField name="Order ID" numFmtId="0">
      <sharedItems/>
    </cacheField>
    <cacheField name="Order Date" numFmtId="164">
      <sharedItems containsSemiMixedTypes="0" containsNonDate="0" containsDate="1" containsString="0" minDate="2025-01-01T00:00:00" maxDate="2026-01-01T00:00:00"/>
    </cacheField>
    <cacheField name="Region" numFmtId="0">
      <sharedItems count="4">
        <s v="Gauteng"/>
        <s v="Eastern Cape"/>
        <s v="KwaZulu-Natal"/>
        <s v="Western Cape"/>
      </sharedItems>
    </cacheField>
    <cacheField name="Channel" numFmtId="0">
      <sharedItems count="2">
        <s v="Store"/>
        <s v="Online"/>
      </sharedItems>
    </cacheField>
    <cacheField name="Salesperson" numFmtId="0">
      <sharedItems/>
    </cacheField>
    <cacheField name="Product" numFmtId="0">
      <sharedItems/>
    </cacheField>
    <cacheField name="Category" numFmtId="0">
      <sharedItems count="3">
        <s v="Electronics"/>
        <s v="Furniture"/>
        <s v="Accessories"/>
      </sharedItems>
    </cacheField>
    <cacheField name="Units" numFmtId="0">
      <sharedItems containsSemiMixedTypes="0" containsString="0" containsNumber="1" containsInteger="1" minValue="1" maxValue="8"/>
    </cacheField>
    <cacheField name="Unit Price" numFmtId="0">
      <sharedItems containsSemiMixedTypes="0" containsString="0" containsNumber="1" minValue="246.79" maxValue="23257.35"/>
    </cacheField>
    <cacheField name="Revenue" numFmtId="0">
      <sharedItems containsSemiMixedTypes="0" containsString="0" containsNumber="1" minValue="284.42" maxValue="180306.32"/>
    </cacheField>
    <cacheField name="Cost" numFmtId="0">
      <sharedItems containsSemiMixedTypes="0" containsString="0" containsNumber="1" minValue="198.59" maxValue="143609.72"/>
    </cacheField>
    <cacheField name="Profit" numFmtId="0">
      <sharedItems containsSemiMixedTypes="0" containsString="0" containsNumber="1" minValue="74.639999999999986" maxValue="69035.829999999987"/>
    </cacheField>
    <cacheField name="Profit Margin" numFmtId="165">
      <sharedItems containsSemiMixedTypes="0" containsString="0" containsNumber="1" minValue="0.18013604552292503" maxValue="0.41973933569737887"/>
    </cacheField>
    <cacheField name="Month Start" numFmtId="166">
      <sharedItems containsSemiMixedTypes="0" containsNonDate="0" containsDate="1" containsString="0" minDate="2025-01-01T00:00:00" maxDate="2025-12-02T00:00:00"/>
    </cacheField>
    <cacheField name="Month" numFmtId="0">
      <sharedItems/>
    </cacheField>
  </cacheFields>
  <extLst>
    <ext xmlns:x14="http://schemas.microsoft.com/office/spreadsheetml/2009/9/main" uri="{725AE2AE-9491-48be-B2B4-4EB974FC3084}">
      <x14:pivotCacheDefinition pivotCacheId="14158805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s v="ORD0001"/>
    <d v="2025-11-24T00:00:00"/>
    <x v="0"/>
    <x v="0"/>
    <s v="A. Mokoena"/>
    <s v="Wireless Headphones"/>
    <x v="0"/>
    <n v="4"/>
    <n v="2925.69"/>
    <n v="11702.76"/>
    <n v="7075.48"/>
    <n v="4627.2800000000007"/>
    <n v="0.39540074307257439"/>
    <d v="2025-11-01T00:00:00"/>
    <s v="Nov"/>
  </r>
  <r>
    <s v="ORD0002"/>
    <d v="2025-01-16T00:00:00"/>
    <x v="1"/>
    <x v="1"/>
    <s v="S. Jacobs"/>
    <s v="Wireless Headphones"/>
    <x v="0"/>
    <n v="1"/>
    <n v="2839.36"/>
    <n v="2839.36"/>
    <n v="2134.7600000000002"/>
    <n v="704.59999999999991"/>
    <n v="0.24815451369322661"/>
    <d v="2025-01-01T00:00:00"/>
    <s v="Jan"/>
  </r>
  <r>
    <s v="ORD0003"/>
    <d v="2025-10-29T00:00:00"/>
    <x v="2"/>
    <x v="1"/>
    <s v="A. Mokoena"/>
    <s v="Ergonomic Chair"/>
    <x v="1"/>
    <n v="7"/>
    <n v="8815.06"/>
    <n v="61705.42"/>
    <n v="38091.69"/>
    <n v="23613.729999999996"/>
    <n v="0.38268485977406841"/>
    <d v="2025-10-01T00:00:00"/>
    <s v="Oct"/>
  </r>
  <r>
    <s v="ORD0004"/>
    <d v="2025-07-14T00:00:00"/>
    <x v="0"/>
    <x v="0"/>
    <s v="A. Mokoena"/>
    <s v="Wireless Headphones"/>
    <x v="0"/>
    <n v="5"/>
    <n v="3945.32"/>
    <n v="19726.600000000002"/>
    <n v="14896.26"/>
    <n v="4830.340000000002"/>
    <n v="0.24486429491143946"/>
    <d v="2025-07-01T00:00:00"/>
    <s v="Jul"/>
  </r>
  <r>
    <s v="ORD0005"/>
    <d v="2025-10-10T00:00:00"/>
    <x v="3"/>
    <x v="0"/>
    <s v="A. Mokoena"/>
    <s v="Ergonomic Chair"/>
    <x v="1"/>
    <n v="4"/>
    <n v="20088.61"/>
    <n v="80354.44"/>
    <n v="47489.3"/>
    <n v="32865.14"/>
    <n v="0.40900216590396249"/>
    <d v="2025-10-01T00:00:00"/>
    <s v="Oct"/>
  </r>
  <r>
    <s v="ORD0006"/>
    <d v="2025-04-30T00:00:00"/>
    <x v="2"/>
    <x v="1"/>
    <s v="N. Mthembu"/>
    <s v="Wireless Headphones"/>
    <x v="0"/>
    <n v="6"/>
    <n v="2962.65"/>
    <n v="17775.900000000001"/>
    <n v="11825.68"/>
    <n v="5950.2200000000012"/>
    <n v="0.33473523140881761"/>
    <d v="2025-04-01T00:00:00"/>
    <s v="Apr"/>
  </r>
  <r>
    <s v="ORD0007"/>
    <d v="2025-11-22T00:00:00"/>
    <x v="3"/>
    <x v="0"/>
    <s v="A. Mokoena"/>
    <s v="Office Monitor 24"/>
    <x v="0"/>
    <n v="8"/>
    <n v="2834.96"/>
    <n v="22679.68"/>
    <n v="18540.310000000001"/>
    <n v="4139.369999999999"/>
    <n v="0.18251447992211525"/>
    <d v="2025-11-01T00:00:00"/>
    <s v="Nov"/>
  </r>
  <r>
    <s v="ORD0008"/>
    <d v="2025-04-28T00:00:00"/>
    <x v="2"/>
    <x v="1"/>
    <s v="S. Jacobs"/>
    <s v="Laptop Pro 14"/>
    <x v="0"/>
    <n v="2"/>
    <n v="13349.04"/>
    <n v="26698.080000000002"/>
    <n v="21526.62"/>
    <n v="5171.4600000000028"/>
    <n v="0.19370156955106893"/>
    <d v="2025-04-01T00:00:00"/>
    <s v="Apr"/>
  </r>
  <r>
    <s v="ORD0009"/>
    <d v="2025-07-22T00:00:00"/>
    <x v="1"/>
    <x v="0"/>
    <s v="T. Dlamini"/>
    <s v="Webcam HD"/>
    <x v="0"/>
    <n v="4"/>
    <n v="411.21"/>
    <n v="1644.84"/>
    <n v="1166.77"/>
    <n v="478.06999999999994"/>
    <n v="0.29064833053670869"/>
    <d v="2025-07-01T00:00:00"/>
    <s v="Jul"/>
  </r>
  <r>
    <s v="ORD0010"/>
    <d v="2025-04-23T00:00:00"/>
    <x v="3"/>
    <x v="0"/>
    <s v="N. Mthembu"/>
    <s v="Office Monitor 24"/>
    <x v="0"/>
    <n v="1"/>
    <n v="5298.91"/>
    <n v="5298.91"/>
    <n v="3267.74"/>
    <n v="2031.17"/>
    <n v="0.38331845605983117"/>
    <d v="2025-04-01T00:00:00"/>
    <s v="Apr"/>
  </r>
  <r>
    <s v="ORD0011"/>
    <d v="2025-02-02T00:00:00"/>
    <x v="0"/>
    <x v="1"/>
    <s v="N. Mthembu"/>
    <s v="USB-C Hub"/>
    <x v="2"/>
    <n v="5"/>
    <n v="865.52"/>
    <n v="4327.6000000000004"/>
    <n v="3404.03"/>
    <n v="923.57000000000016"/>
    <n v="0.21341390146963676"/>
    <d v="2025-02-01T00:00:00"/>
    <s v="Feb"/>
  </r>
  <r>
    <s v="ORD0012"/>
    <d v="2025-05-17T00:00:00"/>
    <x v="2"/>
    <x v="1"/>
    <s v="N. Mthembu"/>
    <s v="Standing Desk"/>
    <x v="1"/>
    <n v="3"/>
    <n v="10726.79"/>
    <n v="32180.370000000003"/>
    <n v="26031.21"/>
    <n v="6149.1600000000035"/>
    <n v="0.19108419200897947"/>
    <d v="2025-05-01T00:00:00"/>
    <s v="May"/>
  </r>
  <r>
    <s v="ORD0013"/>
    <d v="2025-02-24T00:00:00"/>
    <x v="0"/>
    <x v="0"/>
    <s v="S. Jacobs"/>
    <s v="Ergonomic Chair"/>
    <x v="1"/>
    <n v="6"/>
    <n v="20490.11"/>
    <n v="122940.66"/>
    <n v="87220.37"/>
    <n v="35720.290000000008"/>
    <n v="0.29054903398110932"/>
    <d v="2025-02-01T00:00:00"/>
    <s v="Feb"/>
  </r>
  <r>
    <s v="ORD0014"/>
    <d v="2025-01-10T00:00:00"/>
    <x v="0"/>
    <x v="1"/>
    <s v="S. Jacobs"/>
    <s v="Wireless Headphones"/>
    <x v="0"/>
    <n v="1"/>
    <n v="3241.81"/>
    <n v="3241.81"/>
    <n v="2321.67"/>
    <n v="920.13999999999987"/>
    <n v="0.28383526486746596"/>
    <d v="2025-01-01T00:00:00"/>
    <s v="Jan"/>
  </r>
  <r>
    <s v="ORD0015"/>
    <d v="2025-02-05T00:00:00"/>
    <x v="1"/>
    <x v="1"/>
    <s v="N. Mthembu"/>
    <s v="Desk Lamp"/>
    <x v="1"/>
    <n v="8"/>
    <n v="415.05"/>
    <n v="3320.4"/>
    <n v="2057.42"/>
    <n v="1262.98"/>
    <n v="0.38036983495964344"/>
    <d v="2025-02-01T00:00:00"/>
    <s v="Feb"/>
  </r>
  <r>
    <s v="ORD0016"/>
    <d v="2025-12-20T00:00:00"/>
    <x v="0"/>
    <x v="1"/>
    <s v="L. Naidoo"/>
    <s v="Mechanical Keyboard"/>
    <x v="2"/>
    <n v="6"/>
    <n v="3410.25"/>
    <n v="20461.5"/>
    <n v="14409.36"/>
    <n v="6052.1399999999994"/>
    <n v="0.29578183417637999"/>
    <d v="2025-12-01T00:00:00"/>
    <s v="Dec"/>
  </r>
  <r>
    <s v="ORD0017"/>
    <d v="2025-02-02T00:00:00"/>
    <x v="0"/>
    <x v="1"/>
    <s v="A. Mokoena"/>
    <s v="Standing Desk"/>
    <x v="1"/>
    <n v="4"/>
    <n v="8423.0400000000009"/>
    <n v="33692.160000000003"/>
    <n v="25265.14"/>
    <n v="8427.0200000000041"/>
    <n v="0.25011812837170438"/>
    <d v="2025-02-01T00:00:00"/>
    <s v="Feb"/>
  </r>
  <r>
    <s v="ORD0018"/>
    <d v="2025-01-17T00:00:00"/>
    <x v="1"/>
    <x v="1"/>
    <s v="S. Jacobs"/>
    <s v="Standing Desk"/>
    <x v="1"/>
    <n v="8"/>
    <n v="9579.33"/>
    <n v="76634.64"/>
    <n v="46881.61"/>
    <n v="29753.03"/>
    <n v="0.38824518520606344"/>
    <d v="2025-01-01T00:00:00"/>
    <s v="Jan"/>
  </r>
  <r>
    <s v="ORD0019"/>
    <d v="2025-07-28T00:00:00"/>
    <x v="0"/>
    <x v="1"/>
    <s v="A. Mokoena"/>
    <s v="Mechanical Keyboard"/>
    <x v="2"/>
    <n v="7"/>
    <n v="1644.64"/>
    <n v="11512.480000000001"/>
    <n v="7813.11"/>
    <n v="3699.3700000000017"/>
    <n v="0.32133562881325323"/>
    <d v="2025-07-01T00:00:00"/>
    <s v="Jul"/>
  </r>
  <r>
    <s v="ORD0020"/>
    <d v="2025-07-26T00:00:00"/>
    <x v="3"/>
    <x v="0"/>
    <s v="S. Jacobs"/>
    <s v="Standing Desk"/>
    <x v="1"/>
    <n v="4"/>
    <n v="10868.3"/>
    <n v="43473.2"/>
    <n v="26677.06"/>
    <n v="16796.139999999996"/>
    <n v="0.3863561918607325"/>
    <d v="2025-07-01T00:00:00"/>
    <s v="Jul"/>
  </r>
  <r>
    <s v="ORD0021"/>
    <d v="2025-05-08T00:00:00"/>
    <x v="3"/>
    <x v="1"/>
    <s v="S. Jacobs"/>
    <s v="Wireless Headphones"/>
    <x v="0"/>
    <n v="1"/>
    <n v="1861.65"/>
    <n v="1861.65"/>
    <n v="1493.65"/>
    <n v="368"/>
    <n v="0.19767410630354793"/>
    <d v="2025-05-01T00:00:00"/>
    <s v="May"/>
  </r>
  <r>
    <s v="ORD0022"/>
    <d v="2025-09-06T00:00:00"/>
    <x v="1"/>
    <x v="0"/>
    <s v="S. Jacobs"/>
    <s v="Webcam HD"/>
    <x v="0"/>
    <n v="1"/>
    <n v="1095.26"/>
    <n v="1095.26"/>
    <n v="635.82000000000005"/>
    <n v="459.43999999999994"/>
    <n v="0.41948030604605296"/>
    <d v="2025-09-01T00:00:00"/>
    <s v="Sep"/>
  </r>
  <r>
    <s v="ORD0023"/>
    <d v="2025-05-27T00:00:00"/>
    <x v="0"/>
    <x v="0"/>
    <s v="A. Mokoena"/>
    <s v="USB-C Hub"/>
    <x v="2"/>
    <n v="4"/>
    <n v="391.41"/>
    <n v="1565.64"/>
    <n v="1272.07"/>
    <n v="293.57000000000016"/>
    <n v="0.18750798395544324"/>
    <d v="2025-05-01T00:00:00"/>
    <s v="May"/>
  </r>
  <r>
    <s v="ORD0024"/>
    <d v="2025-01-26T00:00:00"/>
    <x v="0"/>
    <x v="1"/>
    <s v="S. Jacobs"/>
    <s v="External SSD 1TB"/>
    <x v="0"/>
    <n v="2"/>
    <n v="2342.8200000000002"/>
    <n v="4685.6400000000003"/>
    <n v="2794.73"/>
    <n v="1890.9100000000003"/>
    <n v="0.40355426366515573"/>
    <d v="2025-01-01T00:00:00"/>
    <s v="Jan"/>
  </r>
  <r>
    <s v="ORD0025"/>
    <d v="2025-03-03T00:00:00"/>
    <x v="2"/>
    <x v="0"/>
    <s v="L. Naidoo"/>
    <s v="External SSD 1TB"/>
    <x v="0"/>
    <n v="2"/>
    <n v="1205.21"/>
    <n v="2410.42"/>
    <n v="1735.7"/>
    <n v="674.72"/>
    <n v="0.27991802258527559"/>
    <d v="2025-03-01T00:00:00"/>
    <s v="Mar"/>
  </r>
  <r>
    <s v="ORD0026"/>
    <d v="2025-12-09T00:00:00"/>
    <x v="2"/>
    <x v="1"/>
    <s v="A. Mokoena"/>
    <s v="Standing Desk"/>
    <x v="1"/>
    <n v="3"/>
    <n v="13353.3"/>
    <n v="40059.899999999994"/>
    <n v="26119.03"/>
    <n v="13940.869999999995"/>
    <n v="0.34800061907293822"/>
    <d v="2025-12-01T00:00:00"/>
    <s v="Dec"/>
  </r>
  <r>
    <s v="ORD0027"/>
    <d v="2025-08-23T00:00:00"/>
    <x v="2"/>
    <x v="1"/>
    <s v="L. Naidoo"/>
    <s v="External SSD 1TB"/>
    <x v="0"/>
    <n v="4"/>
    <n v="1721.02"/>
    <n v="6884.08"/>
    <n v="4211.6099999999997"/>
    <n v="2672.4700000000003"/>
    <n v="0.3882101893063416"/>
    <d v="2025-08-01T00:00:00"/>
    <s v="Aug"/>
  </r>
  <r>
    <s v="ORD0028"/>
    <d v="2025-07-09T00:00:00"/>
    <x v="0"/>
    <x v="0"/>
    <s v="A. Mokoena"/>
    <s v="Ergonomic Chair"/>
    <x v="1"/>
    <n v="5"/>
    <n v="11842.74"/>
    <n v="59213.7"/>
    <n v="48373.8"/>
    <n v="10839.899999999994"/>
    <n v="0.18306405443334894"/>
    <d v="2025-07-01T00:00:00"/>
    <s v="Jul"/>
  </r>
  <r>
    <s v="ORD0029"/>
    <d v="2025-03-10T00:00:00"/>
    <x v="2"/>
    <x v="1"/>
    <s v="T. Dlamini"/>
    <s v="Ergonomic Chair"/>
    <x v="1"/>
    <n v="3"/>
    <n v="10395.129999999999"/>
    <n v="31185.39"/>
    <n v="22614.37"/>
    <n v="8571.02"/>
    <n v="0.27484087901417942"/>
    <d v="2025-03-01T00:00:00"/>
    <s v="Mar"/>
  </r>
  <r>
    <s v="ORD0030"/>
    <d v="2025-09-16T00:00:00"/>
    <x v="2"/>
    <x v="1"/>
    <s v="T. Dlamini"/>
    <s v="Webcam HD"/>
    <x v="0"/>
    <n v="7"/>
    <n v="366.66"/>
    <n v="2566.6200000000003"/>
    <n v="1515.8"/>
    <n v="1050.8200000000004"/>
    <n v="0.40941783357100009"/>
    <d v="2025-09-01T00:00:00"/>
    <s v="Sep"/>
  </r>
  <r>
    <s v="ORD0031"/>
    <d v="2025-03-24T00:00:00"/>
    <x v="3"/>
    <x v="1"/>
    <s v="T. Dlamini"/>
    <s v="Webcam HD"/>
    <x v="0"/>
    <n v="1"/>
    <n v="760.04"/>
    <n v="760.04"/>
    <n v="613.21"/>
    <n v="146.82999999999993"/>
    <n v="0.19318720067364867"/>
    <d v="2025-03-01T00:00:00"/>
    <s v="Mar"/>
  </r>
  <r>
    <s v="ORD0032"/>
    <d v="2025-10-26T00:00:00"/>
    <x v="0"/>
    <x v="0"/>
    <s v="L. Naidoo"/>
    <s v="Desk Lamp"/>
    <x v="1"/>
    <n v="1"/>
    <n v="365.43"/>
    <n v="365.43"/>
    <n v="290.79000000000002"/>
    <n v="74.639999999999986"/>
    <n v="0.20425252442328212"/>
    <d v="2025-10-01T00:00:00"/>
    <s v="Oct"/>
  </r>
  <r>
    <s v="ORD0033"/>
    <d v="2025-12-16T00:00:00"/>
    <x v="3"/>
    <x v="1"/>
    <s v="L. Naidoo"/>
    <s v="Mechanical Keyboard"/>
    <x v="2"/>
    <n v="7"/>
    <n v="1907.08"/>
    <n v="13349.56"/>
    <n v="10143.99"/>
    <n v="3205.5699999999997"/>
    <n v="0.2401255172455122"/>
    <d v="2025-12-01T00:00:00"/>
    <s v="Dec"/>
  </r>
  <r>
    <s v="ORD0034"/>
    <d v="2025-07-31T00:00:00"/>
    <x v="3"/>
    <x v="0"/>
    <s v="L. Naidoo"/>
    <s v="Laptop Pro 14"/>
    <x v="0"/>
    <n v="7"/>
    <n v="12659.62"/>
    <n v="88617.340000000011"/>
    <n v="69775.11"/>
    <n v="18842.23000000001"/>
    <n v="0.21262463982782612"/>
    <d v="2025-07-01T00:00:00"/>
    <s v="Jul"/>
  </r>
  <r>
    <s v="ORD0035"/>
    <d v="2025-12-26T00:00:00"/>
    <x v="1"/>
    <x v="0"/>
    <s v="T. Dlamini"/>
    <s v="Wireless Headphones"/>
    <x v="0"/>
    <n v="8"/>
    <n v="1149.44"/>
    <n v="9195.52"/>
    <n v="7135.55"/>
    <n v="2059.9700000000003"/>
    <n v="0.22401887005846327"/>
    <d v="2025-12-01T00:00:00"/>
    <s v="Dec"/>
  </r>
  <r>
    <s v="ORD0036"/>
    <d v="2025-04-27T00:00:00"/>
    <x v="2"/>
    <x v="0"/>
    <s v="N. Mthembu"/>
    <s v="Mechanical Keyboard"/>
    <x v="2"/>
    <n v="6"/>
    <n v="2372.1"/>
    <n v="14232.599999999999"/>
    <n v="8492.0400000000009"/>
    <n v="5740.5599999999977"/>
    <n v="0.4033388137093713"/>
    <d v="2025-04-01T00:00:00"/>
    <s v="Apr"/>
  </r>
  <r>
    <s v="ORD0037"/>
    <d v="2025-07-24T00:00:00"/>
    <x v="2"/>
    <x v="1"/>
    <s v="A. Mokoena"/>
    <s v="Desk Lamp"/>
    <x v="1"/>
    <n v="5"/>
    <n v="344.34"/>
    <n v="1721.6999999999998"/>
    <n v="1396.31"/>
    <n v="325.38999999999987"/>
    <n v="0.18899343671952135"/>
    <d v="2025-07-01T00:00:00"/>
    <s v="Jul"/>
  </r>
  <r>
    <s v="ORD0038"/>
    <d v="2025-11-02T00:00:00"/>
    <x v="2"/>
    <x v="1"/>
    <s v="S. Jacobs"/>
    <s v="USB-C Hub"/>
    <x v="2"/>
    <n v="2"/>
    <n v="680.02"/>
    <n v="1360.04"/>
    <n v="977.03"/>
    <n v="383.01"/>
    <n v="0.28161671715537778"/>
    <d v="2025-11-01T00:00:00"/>
    <s v="Nov"/>
  </r>
  <r>
    <s v="ORD0039"/>
    <d v="2025-01-01T00:00:00"/>
    <x v="2"/>
    <x v="0"/>
    <s v="A. Mokoena"/>
    <s v="Desk Lamp"/>
    <x v="1"/>
    <n v="7"/>
    <n v="568.5"/>
    <n v="3979.5"/>
    <n v="2942.51"/>
    <n v="1036.9899999999998"/>
    <n v="0.26058298781253919"/>
    <d v="2025-01-01T00:00:00"/>
    <s v="Jan"/>
  </r>
  <r>
    <s v="ORD0040"/>
    <d v="2025-06-03T00:00:00"/>
    <x v="3"/>
    <x v="0"/>
    <s v="S. Jacobs"/>
    <s v="Desk Lamp"/>
    <x v="1"/>
    <n v="7"/>
    <n v="607.03"/>
    <n v="4249.21"/>
    <n v="3029.94"/>
    <n v="1219.27"/>
    <n v="0.28694039597948795"/>
    <d v="2025-06-01T00:00:00"/>
    <s v="Jun"/>
  </r>
  <r>
    <s v="ORD0041"/>
    <d v="2025-12-13T00:00:00"/>
    <x v="2"/>
    <x v="0"/>
    <s v="S. Jacobs"/>
    <s v="Office Monitor 24"/>
    <x v="0"/>
    <n v="1"/>
    <n v="3233.01"/>
    <n v="3233.01"/>
    <n v="2038.23"/>
    <n v="1194.7800000000002"/>
    <n v="0.36955654328319432"/>
    <d v="2025-12-01T00:00:00"/>
    <s v="Dec"/>
  </r>
  <r>
    <s v="ORD0042"/>
    <d v="2025-08-15T00:00:00"/>
    <x v="2"/>
    <x v="1"/>
    <s v="L. Naidoo"/>
    <s v="Mechanical Keyboard"/>
    <x v="2"/>
    <n v="3"/>
    <n v="4927.7299999999996"/>
    <n v="14783.189999999999"/>
    <n v="9581.11"/>
    <n v="5202.0799999999981"/>
    <n v="0.35189157414604011"/>
    <d v="2025-08-01T00:00:00"/>
    <s v="Aug"/>
  </r>
  <r>
    <s v="ORD0043"/>
    <d v="2025-12-11T00:00:00"/>
    <x v="0"/>
    <x v="0"/>
    <s v="S. Jacobs"/>
    <s v="Ergonomic Chair"/>
    <x v="1"/>
    <n v="1"/>
    <n v="11529.2"/>
    <n v="11529.2"/>
    <n v="9409.49"/>
    <n v="2119.7100000000009"/>
    <n v="0.18385577490198807"/>
    <d v="2025-12-01T00:00:00"/>
    <s v="Dec"/>
  </r>
  <r>
    <s v="ORD0044"/>
    <d v="2025-11-19T00:00:00"/>
    <x v="0"/>
    <x v="1"/>
    <s v="S. Jacobs"/>
    <s v="External SSD 1TB"/>
    <x v="0"/>
    <n v="7"/>
    <n v="3837.88"/>
    <n v="26865.16"/>
    <n v="19811.82"/>
    <n v="7053.34"/>
    <n v="0.2625459889313892"/>
    <d v="2025-11-01T00:00:00"/>
    <s v="Nov"/>
  </r>
  <r>
    <s v="ORD0045"/>
    <d v="2025-04-23T00:00:00"/>
    <x v="3"/>
    <x v="0"/>
    <s v="N. Mthembu"/>
    <s v="Office Monitor 24"/>
    <x v="0"/>
    <n v="4"/>
    <n v="5097.84"/>
    <n v="20391.36"/>
    <n v="12420.91"/>
    <n v="7970.4500000000007"/>
    <n v="0.39087387991776912"/>
    <d v="2025-04-01T00:00:00"/>
    <s v="Apr"/>
  </r>
  <r>
    <s v="ORD0046"/>
    <d v="2025-10-14T00:00:00"/>
    <x v="3"/>
    <x v="0"/>
    <s v="S. Jacobs"/>
    <s v="External SSD 1TB"/>
    <x v="0"/>
    <n v="7"/>
    <n v="4824.17"/>
    <n v="33769.19"/>
    <n v="24026.42"/>
    <n v="9742.7700000000041"/>
    <n v="0.28851062166430413"/>
    <d v="2025-10-01T00:00:00"/>
    <s v="Oct"/>
  </r>
  <r>
    <s v="ORD0047"/>
    <d v="2025-05-13T00:00:00"/>
    <x v="0"/>
    <x v="0"/>
    <s v="L. Naidoo"/>
    <s v="Mechanical Keyboard"/>
    <x v="2"/>
    <n v="8"/>
    <n v="3251.38"/>
    <n v="26011.040000000001"/>
    <n v="16800.62"/>
    <n v="9210.4200000000019"/>
    <n v="0.35409656822641467"/>
    <d v="2025-05-01T00:00:00"/>
    <s v="May"/>
  </r>
  <r>
    <s v="ORD0048"/>
    <d v="2025-05-20T00:00:00"/>
    <x v="3"/>
    <x v="1"/>
    <s v="S. Jacobs"/>
    <s v="Standing Desk"/>
    <x v="1"/>
    <n v="3"/>
    <n v="13472.74"/>
    <n v="40418.22"/>
    <n v="30174.14"/>
    <n v="10244.080000000002"/>
    <n v="0.25345203227653273"/>
    <d v="2025-05-01T00:00:00"/>
    <s v="May"/>
  </r>
  <r>
    <s v="ORD0049"/>
    <d v="2025-07-28T00:00:00"/>
    <x v="0"/>
    <x v="0"/>
    <s v="S. Jacobs"/>
    <s v="Standing Desk"/>
    <x v="1"/>
    <n v="1"/>
    <n v="16841.05"/>
    <n v="16841.05"/>
    <n v="11465.97"/>
    <n v="5375.08"/>
    <n v="0.31916537270538359"/>
    <d v="2025-07-01T00:00:00"/>
    <s v="Jul"/>
  </r>
  <r>
    <s v="ORD0050"/>
    <d v="2025-01-04T00:00:00"/>
    <x v="3"/>
    <x v="0"/>
    <s v="L. Naidoo"/>
    <s v="Standing Desk"/>
    <x v="1"/>
    <n v="7"/>
    <n v="13998.19"/>
    <n v="97987.33"/>
    <n v="74109.009999999995"/>
    <n v="23878.320000000007"/>
    <n v="0.24368783188602045"/>
    <d v="2025-01-01T00:00:00"/>
    <s v="Jan"/>
  </r>
  <r>
    <s v="ORD0051"/>
    <d v="2025-05-20T00:00:00"/>
    <x v="3"/>
    <x v="0"/>
    <s v="L. Naidoo"/>
    <s v="USB-C Hub"/>
    <x v="2"/>
    <n v="6"/>
    <n v="669.89"/>
    <n v="4019.34"/>
    <n v="3101.14"/>
    <n v="918.20000000000027"/>
    <n v="0.22844546617106298"/>
    <d v="2025-05-01T00:00:00"/>
    <s v="May"/>
  </r>
  <r>
    <s v="ORD0052"/>
    <d v="2025-11-15T00:00:00"/>
    <x v="1"/>
    <x v="1"/>
    <s v="A. Mokoena"/>
    <s v="Desk Lamp"/>
    <x v="1"/>
    <n v="1"/>
    <n v="784.77"/>
    <n v="784.77"/>
    <n v="535.89"/>
    <n v="248.88"/>
    <n v="0.31713750525631712"/>
    <d v="2025-11-01T00:00:00"/>
    <s v="Nov"/>
  </r>
  <r>
    <s v="ORD0053"/>
    <d v="2025-05-14T00:00:00"/>
    <x v="2"/>
    <x v="0"/>
    <s v="T. Dlamini"/>
    <s v="USB-C Hub"/>
    <x v="2"/>
    <n v="6"/>
    <n v="691.76"/>
    <n v="4150.5599999999995"/>
    <n v="3283.56"/>
    <n v="866.99999999999955"/>
    <n v="0.2088874754250028"/>
    <d v="2025-05-01T00:00:00"/>
    <s v="May"/>
  </r>
  <r>
    <s v="ORD0054"/>
    <d v="2025-02-11T00:00:00"/>
    <x v="0"/>
    <x v="1"/>
    <s v="L. Naidoo"/>
    <s v="Webcam HD"/>
    <x v="0"/>
    <n v="4"/>
    <n v="626.26"/>
    <n v="2505.04"/>
    <n v="1922.61"/>
    <n v="582.43000000000006"/>
    <n v="0.23250327340082397"/>
    <d v="2025-02-01T00:00:00"/>
    <s v="Feb"/>
  </r>
  <r>
    <s v="ORD0055"/>
    <d v="2025-04-13T00:00:00"/>
    <x v="3"/>
    <x v="0"/>
    <s v="T. Dlamini"/>
    <s v="Laptop Pro 14"/>
    <x v="0"/>
    <n v="3"/>
    <n v="19077.59"/>
    <n v="57232.770000000004"/>
    <n v="34766.239999999998"/>
    <n v="22466.530000000006"/>
    <n v="0.39254661271855273"/>
    <d v="2025-04-01T00:00:00"/>
    <s v="Apr"/>
  </r>
  <r>
    <s v="ORD0056"/>
    <d v="2025-07-08T00:00:00"/>
    <x v="0"/>
    <x v="0"/>
    <s v="N. Mthembu"/>
    <s v="Office Monitor 24"/>
    <x v="0"/>
    <n v="3"/>
    <n v="2008.83"/>
    <n v="6026.49"/>
    <n v="3651.71"/>
    <n v="2374.7799999999997"/>
    <n v="0.39405690542919675"/>
    <d v="2025-07-01T00:00:00"/>
    <s v="Jul"/>
  </r>
  <r>
    <s v="ORD0057"/>
    <d v="2025-12-13T00:00:00"/>
    <x v="0"/>
    <x v="1"/>
    <s v="T. Dlamini"/>
    <s v="USB-C Hub"/>
    <x v="2"/>
    <n v="4"/>
    <n v="300.95999999999998"/>
    <n v="1203.8399999999999"/>
    <n v="921.41"/>
    <n v="282.42999999999995"/>
    <n v="0.2346075890483785"/>
    <d v="2025-12-01T00:00:00"/>
    <s v="Dec"/>
  </r>
  <r>
    <s v="ORD0058"/>
    <d v="2025-09-30T00:00:00"/>
    <x v="1"/>
    <x v="1"/>
    <s v="S. Jacobs"/>
    <s v="USB-C Hub"/>
    <x v="2"/>
    <n v="6"/>
    <n v="288.81"/>
    <n v="1732.8600000000001"/>
    <n v="1179.76"/>
    <n v="553.10000000000014"/>
    <n v="0.31918331544383277"/>
    <d v="2025-09-01T00:00:00"/>
    <s v="Sep"/>
  </r>
  <r>
    <s v="ORD0059"/>
    <d v="2025-07-05T00:00:00"/>
    <x v="2"/>
    <x v="0"/>
    <s v="S. Jacobs"/>
    <s v="Webcam HD"/>
    <x v="0"/>
    <n v="3"/>
    <n v="727.5"/>
    <n v="2182.5"/>
    <n v="1771.57"/>
    <n v="410.93000000000006"/>
    <n v="0.18828407789232535"/>
    <d v="2025-07-01T00:00:00"/>
    <s v="Jul"/>
  </r>
  <r>
    <s v="ORD0060"/>
    <d v="2025-08-12T00:00:00"/>
    <x v="1"/>
    <x v="1"/>
    <s v="S. Jacobs"/>
    <s v="External SSD 1TB"/>
    <x v="0"/>
    <n v="4"/>
    <n v="3774.16"/>
    <n v="15096.64"/>
    <n v="9070.0499999999993"/>
    <n v="6026.59"/>
    <n v="0.39920074930580585"/>
    <d v="2025-08-01T00:00:00"/>
    <s v="Aug"/>
  </r>
  <r>
    <s v="ORD0061"/>
    <d v="2025-10-19T00:00:00"/>
    <x v="1"/>
    <x v="1"/>
    <s v="T. Dlamini"/>
    <s v="External SSD 1TB"/>
    <x v="0"/>
    <n v="1"/>
    <n v="3999.44"/>
    <n v="3999.44"/>
    <n v="2631.65"/>
    <n v="1367.79"/>
    <n v="0.34199537935310942"/>
    <d v="2025-10-01T00:00:00"/>
    <s v="Oct"/>
  </r>
  <r>
    <s v="ORD0062"/>
    <d v="2025-05-13T00:00:00"/>
    <x v="3"/>
    <x v="0"/>
    <s v="S. Jacobs"/>
    <s v="Standing Desk"/>
    <x v="1"/>
    <n v="1"/>
    <n v="13626.16"/>
    <n v="13626.16"/>
    <n v="8527.98"/>
    <n v="5098.18"/>
    <n v="0.37414649468375538"/>
    <d v="2025-05-01T00:00:00"/>
    <s v="May"/>
  </r>
  <r>
    <s v="ORD0063"/>
    <d v="2025-10-12T00:00:00"/>
    <x v="2"/>
    <x v="1"/>
    <s v="S. Jacobs"/>
    <s v="Mechanical Keyboard"/>
    <x v="2"/>
    <n v="8"/>
    <n v="4750.25"/>
    <n v="38002"/>
    <n v="22198.43"/>
    <n v="15803.57"/>
    <n v="0.41586153360349454"/>
    <d v="2025-10-01T00:00:00"/>
    <s v="Oct"/>
  </r>
  <r>
    <s v="ORD0064"/>
    <d v="2025-12-21T00:00:00"/>
    <x v="2"/>
    <x v="0"/>
    <s v="S. Jacobs"/>
    <s v="Mechanical Keyboard"/>
    <x v="2"/>
    <n v="6"/>
    <n v="3864.55"/>
    <n v="23187.300000000003"/>
    <n v="17599.73"/>
    <n v="5587.5700000000033"/>
    <n v="0.24097544776666549"/>
    <d v="2025-12-01T00:00:00"/>
    <s v="Dec"/>
  </r>
  <r>
    <s v="ORD0065"/>
    <d v="2025-05-19T00:00:00"/>
    <x v="3"/>
    <x v="1"/>
    <s v="L. Naidoo"/>
    <s v="Ergonomic Chair"/>
    <x v="1"/>
    <n v="4"/>
    <n v="12634.07"/>
    <n v="50536.28"/>
    <n v="38321.230000000003"/>
    <n v="12215.049999999996"/>
    <n v="0.24170853098011955"/>
    <d v="2025-05-01T00:00:00"/>
    <s v="May"/>
  </r>
  <r>
    <s v="ORD0066"/>
    <d v="2025-09-05T00:00:00"/>
    <x v="2"/>
    <x v="1"/>
    <s v="N. Mthembu"/>
    <s v="Ergonomic Chair"/>
    <x v="1"/>
    <n v="4"/>
    <n v="20020.490000000002"/>
    <n v="80081.960000000006"/>
    <n v="53383.55"/>
    <n v="26698.410000000003"/>
    <n v="0.33338856841166226"/>
    <d v="2025-09-01T00:00:00"/>
    <s v="Sep"/>
  </r>
  <r>
    <s v="ORD0067"/>
    <d v="2025-03-06T00:00:00"/>
    <x v="1"/>
    <x v="1"/>
    <s v="A. Mokoena"/>
    <s v="Ergonomic Chair"/>
    <x v="1"/>
    <n v="5"/>
    <n v="10129.77"/>
    <n v="50648.850000000006"/>
    <n v="30911.35"/>
    <n v="19737.500000000007"/>
    <n v="0.38969295452907626"/>
    <d v="2025-03-01T00:00:00"/>
    <s v="Mar"/>
  </r>
  <r>
    <s v="ORD0068"/>
    <d v="2025-10-21T00:00:00"/>
    <x v="1"/>
    <x v="1"/>
    <s v="A. Mokoena"/>
    <s v="Ergonomic Chair"/>
    <x v="1"/>
    <n v="6"/>
    <n v="15636.41"/>
    <n v="93818.459999999992"/>
    <n v="55571.53"/>
    <n v="38246.929999999993"/>
    <n v="0.40766955671623684"/>
    <d v="2025-10-01T00:00:00"/>
    <s v="Oct"/>
  </r>
  <r>
    <s v="ORD0069"/>
    <d v="2025-07-25T00:00:00"/>
    <x v="0"/>
    <x v="1"/>
    <s v="A. Mokoena"/>
    <s v="Webcam HD"/>
    <x v="0"/>
    <n v="3"/>
    <n v="430.2"/>
    <n v="1290.5999999999999"/>
    <n v="1042.53"/>
    <n v="248.06999999999994"/>
    <n v="0.19221292422129238"/>
    <d v="2025-07-01T00:00:00"/>
    <s v="Jul"/>
  </r>
  <r>
    <s v="ORD0070"/>
    <d v="2025-10-13T00:00:00"/>
    <x v="1"/>
    <x v="0"/>
    <s v="N. Mthembu"/>
    <s v="USB-C Hub"/>
    <x v="2"/>
    <n v="7"/>
    <n v="1033.67"/>
    <n v="7235.6900000000005"/>
    <n v="4965.51"/>
    <n v="2270.1800000000003"/>
    <n v="0.31374754860973869"/>
    <d v="2025-10-01T00:00:00"/>
    <s v="Oct"/>
  </r>
  <r>
    <s v="ORD0071"/>
    <d v="2025-11-14T00:00:00"/>
    <x v="0"/>
    <x v="1"/>
    <s v="L. Naidoo"/>
    <s v="Laptop Pro 14"/>
    <x v="0"/>
    <n v="4"/>
    <n v="19464.66"/>
    <n v="77858.64"/>
    <n v="50103.21"/>
    <n v="27755.43"/>
    <n v="0.35648490649207332"/>
    <d v="2025-11-01T00:00:00"/>
    <s v="Nov"/>
  </r>
  <r>
    <s v="ORD0072"/>
    <d v="2025-03-30T00:00:00"/>
    <x v="2"/>
    <x v="1"/>
    <s v="L. Naidoo"/>
    <s v="Desk Lamp"/>
    <x v="1"/>
    <n v="7"/>
    <n v="249.51"/>
    <n v="1746.57"/>
    <n v="1261.92"/>
    <n v="484.64999999999986"/>
    <n v="0.2774867311358834"/>
    <d v="2025-03-01T00:00:00"/>
    <s v="Mar"/>
  </r>
  <r>
    <s v="ORD0073"/>
    <d v="2025-05-28T00:00:00"/>
    <x v="3"/>
    <x v="0"/>
    <s v="A. Mokoena"/>
    <s v="Ergonomic Chair"/>
    <x v="1"/>
    <n v="4"/>
    <n v="22256.48"/>
    <n v="89025.919999999998"/>
    <n v="68467.94"/>
    <n v="20557.979999999996"/>
    <n v="0.23092128674435486"/>
    <d v="2025-05-01T00:00:00"/>
    <s v="May"/>
  </r>
  <r>
    <s v="ORD0074"/>
    <d v="2025-10-06T00:00:00"/>
    <x v="3"/>
    <x v="0"/>
    <s v="N. Mthembu"/>
    <s v="Mechanical Keyboard"/>
    <x v="2"/>
    <n v="5"/>
    <n v="2258.4899999999998"/>
    <n v="11292.449999999999"/>
    <n v="6743.16"/>
    <n v="4549.2899999999991"/>
    <n v="0.40286120372461243"/>
    <d v="2025-10-01T00:00:00"/>
    <s v="Oct"/>
  </r>
  <r>
    <s v="ORD0075"/>
    <d v="2025-10-19T00:00:00"/>
    <x v="1"/>
    <x v="0"/>
    <s v="A. Mokoena"/>
    <s v="Ergonomic Chair"/>
    <x v="1"/>
    <n v="5"/>
    <n v="16841.939999999999"/>
    <n v="84209.7"/>
    <n v="67893.42"/>
    <n v="16316.279999999999"/>
    <n v="0.19375772624768881"/>
    <d v="2025-10-01T00:00:00"/>
    <s v="Oct"/>
  </r>
  <r>
    <s v="ORD0076"/>
    <d v="2025-11-03T00:00:00"/>
    <x v="0"/>
    <x v="0"/>
    <s v="N. Mthembu"/>
    <s v="Laptop Pro 14"/>
    <x v="0"/>
    <n v="5"/>
    <n v="14553.37"/>
    <n v="72766.850000000006"/>
    <n v="46202.720000000001"/>
    <n v="26564.130000000005"/>
    <n v="0.36505812743027904"/>
    <d v="2025-11-01T00:00:00"/>
    <s v="Nov"/>
  </r>
  <r>
    <s v="ORD0077"/>
    <d v="2025-01-21T00:00:00"/>
    <x v="1"/>
    <x v="1"/>
    <s v="S. Jacobs"/>
    <s v="Office Monitor 24"/>
    <x v="0"/>
    <n v="5"/>
    <n v="4233.9399999999996"/>
    <n v="21169.699999999997"/>
    <n v="15252.33"/>
    <n v="5917.3699999999972"/>
    <n v="0.27952073010009582"/>
    <d v="2025-01-01T00:00:00"/>
    <s v="Jan"/>
  </r>
  <r>
    <s v="ORD0078"/>
    <d v="2025-06-28T00:00:00"/>
    <x v="1"/>
    <x v="0"/>
    <s v="S. Jacobs"/>
    <s v="USB-C Hub"/>
    <x v="2"/>
    <n v="2"/>
    <n v="1002.97"/>
    <n v="2005.94"/>
    <n v="1322.22"/>
    <n v="683.72"/>
    <n v="0.34084768238332153"/>
    <d v="2025-06-01T00:00:00"/>
    <s v="Jun"/>
  </r>
  <r>
    <s v="ORD0079"/>
    <d v="2025-10-09T00:00:00"/>
    <x v="1"/>
    <x v="1"/>
    <s v="N. Mthembu"/>
    <s v="Laptop Pro 14"/>
    <x v="0"/>
    <n v="5"/>
    <n v="15869.54"/>
    <n v="79347.700000000012"/>
    <n v="64497.33"/>
    <n v="14850.37000000001"/>
    <n v="0.18715564534321735"/>
    <d v="2025-10-01T00:00:00"/>
    <s v="Oct"/>
  </r>
  <r>
    <s v="ORD0080"/>
    <d v="2025-08-25T00:00:00"/>
    <x v="1"/>
    <x v="1"/>
    <s v="L. Naidoo"/>
    <s v="USB-C Hub"/>
    <x v="2"/>
    <n v="6"/>
    <n v="799.13"/>
    <n v="4794.78"/>
    <n v="3354.61"/>
    <n v="1440.1699999999996"/>
    <n v="0.30036206040735963"/>
    <d v="2025-08-01T00:00:00"/>
    <s v="Aug"/>
  </r>
  <r>
    <s v="ORD0081"/>
    <d v="2025-05-17T00:00:00"/>
    <x v="3"/>
    <x v="1"/>
    <s v="T. Dlamini"/>
    <s v="Desk Lamp"/>
    <x v="1"/>
    <n v="8"/>
    <n v="645.15"/>
    <n v="5161.2"/>
    <n v="4198.92"/>
    <n v="962.27999999999975"/>
    <n v="0.18644501278772374"/>
    <d v="2025-05-01T00:00:00"/>
    <s v="May"/>
  </r>
  <r>
    <s v="ORD0082"/>
    <d v="2025-10-10T00:00:00"/>
    <x v="1"/>
    <x v="1"/>
    <s v="L. Naidoo"/>
    <s v="Laptop Pro 14"/>
    <x v="0"/>
    <n v="4"/>
    <n v="19824.849999999999"/>
    <n v="79299.399999999994"/>
    <n v="63368.4"/>
    <n v="15930.999999999993"/>
    <n v="0.20089685420066222"/>
    <d v="2025-10-01T00:00:00"/>
    <s v="Oct"/>
  </r>
  <r>
    <s v="ORD0083"/>
    <d v="2025-09-13T00:00:00"/>
    <x v="3"/>
    <x v="0"/>
    <s v="L. Naidoo"/>
    <s v="Ergonomic Chair"/>
    <x v="1"/>
    <n v="8"/>
    <n v="19002.2"/>
    <n v="152017.60000000001"/>
    <n v="97062.54"/>
    <n v="54955.060000000012"/>
    <n v="0.36150458894233306"/>
    <d v="2025-09-01T00:00:00"/>
    <s v="Sep"/>
  </r>
  <r>
    <s v="ORD0084"/>
    <d v="2025-11-03T00:00:00"/>
    <x v="1"/>
    <x v="0"/>
    <s v="N. Mthembu"/>
    <s v="Desk Lamp"/>
    <x v="1"/>
    <n v="2"/>
    <n v="1083.25"/>
    <n v="2166.5"/>
    <n v="1667.34"/>
    <n v="499.16000000000008"/>
    <n v="0.23039926148165246"/>
    <d v="2025-11-01T00:00:00"/>
    <s v="Nov"/>
  </r>
  <r>
    <s v="ORD0085"/>
    <d v="2025-05-17T00:00:00"/>
    <x v="1"/>
    <x v="0"/>
    <s v="T. Dlamini"/>
    <s v="Laptop Pro 14"/>
    <x v="0"/>
    <n v="8"/>
    <n v="14629.99"/>
    <n v="117039.92"/>
    <n v="80426.48"/>
    <n v="36613.440000000002"/>
    <n v="0.31282864854999903"/>
    <d v="2025-05-01T00:00:00"/>
    <s v="May"/>
  </r>
  <r>
    <s v="ORD0086"/>
    <d v="2025-10-10T00:00:00"/>
    <x v="1"/>
    <x v="1"/>
    <s v="S. Jacobs"/>
    <s v="Desk Lamp"/>
    <x v="1"/>
    <n v="4"/>
    <n v="634.66999999999996"/>
    <n v="2538.6799999999998"/>
    <n v="1617.93"/>
    <n v="920.74999999999977"/>
    <n v="0.36268848377897167"/>
    <d v="2025-10-01T00:00:00"/>
    <s v="Oct"/>
  </r>
  <r>
    <s v="ORD0087"/>
    <d v="2025-01-23T00:00:00"/>
    <x v="3"/>
    <x v="0"/>
    <s v="A. Mokoena"/>
    <s v="Standing Desk"/>
    <x v="1"/>
    <n v="7"/>
    <n v="20717.95"/>
    <n v="145025.65"/>
    <n v="107215.33"/>
    <n v="37810.319999999992"/>
    <n v="0.26071470805336844"/>
    <d v="2025-01-01T00:00:00"/>
    <s v="Jan"/>
  </r>
  <r>
    <s v="ORD0088"/>
    <d v="2025-03-06T00:00:00"/>
    <x v="1"/>
    <x v="1"/>
    <s v="L. Naidoo"/>
    <s v="Desk Lamp"/>
    <x v="1"/>
    <n v="2"/>
    <n v="1225.32"/>
    <n v="2450.64"/>
    <n v="1680.34"/>
    <n v="770.3"/>
    <n v="0.3143260536023243"/>
    <d v="2025-03-01T00:00:00"/>
    <s v="Mar"/>
  </r>
  <r>
    <s v="ORD0089"/>
    <d v="2025-07-29T00:00:00"/>
    <x v="0"/>
    <x v="0"/>
    <s v="N. Mthembu"/>
    <s v="Office Monitor 24"/>
    <x v="0"/>
    <n v="5"/>
    <n v="4592.76"/>
    <n v="22963.800000000003"/>
    <n v="17136.72"/>
    <n v="5827.0800000000017"/>
    <n v="0.25375068586209604"/>
    <d v="2025-07-01T00:00:00"/>
    <s v="Jul"/>
  </r>
  <r>
    <s v="ORD0090"/>
    <d v="2025-07-14T00:00:00"/>
    <x v="2"/>
    <x v="1"/>
    <s v="A. Mokoena"/>
    <s v="Standing Desk"/>
    <x v="1"/>
    <n v="1"/>
    <n v="19721.669999999998"/>
    <n v="19721.669999999998"/>
    <n v="12549.78"/>
    <n v="7171.8899999999976"/>
    <n v="0.36365530910921834"/>
    <d v="2025-07-01T00:00:00"/>
    <s v="Jul"/>
  </r>
  <r>
    <s v="ORD0091"/>
    <d v="2025-08-11T00:00:00"/>
    <x v="0"/>
    <x v="0"/>
    <s v="A. Mokoena"/>
    <s v="Wireless Headphones"/>
    <x v="0"/>
    <n v="3"/>
    <n v="1789.85"/>
    <n v="5369.5499999999993"/>
    <n v="4278.57"/>
    <n v="1090.9799999999996"/>
    <n v="0.20317903734949852"/>
    <d v="2025-08-01T00:00:00"/>
    <s v="Aug"/>
  </r>
  <r>
    <s v="ORD0092"/>
    <d v="2025-05-31T00:00:00"/>
    <x v="3"/>
    <x v="1"/>
    <s v="L. Naidoo"/>
    <s v="Standing Desk"/>
    <x v="1"/>
    <n v="4"/>
    <n v="15235.38"/>
    <n v="60941.52"/>
    <n v="43623.33"/>
    <n v="17318.189999999995"/>
    <n v="0.28417719151081228"/>
    <d v="2025-05-01T00:00:00"/>
    <s v="May"/>
  </r>
  <r>
    <s v="ORD0093"/>
    <d v="2025-02-10T00:00:00"/>
    <x v="1"/>
    <x v="0"/>
    <s v="A. Mokoena"/>
    <s v="External SSD 1TB"/>
    <x v="0"/>
    <n v="3"/>
    <n v="2718.17"/>
    <n v="8154.51"/>
    <n v="5978.05"/>
    <n v="2176.46"/>
    <n v="0.26690260972149155"/>
    <d v="2025-02-01T00:00:00"/>
    <s v="Feb"/>
  </r>
  <r>
    <s v="ORD0094"/>
    <d v="2025-08-27T00:00:00"/>
    <x v="2"/>
    <x v="0"/>
    <s v="T. Dlamini"/>
    <s v="Ergonomic Chair"/>
    <x v="1"/>
    <n v="8"/>
    <n v="21890.94"/>
    <n v="175127.52"/>
    <n v="143085.56"/>
    <n v="32041.959999999992"/>
    <n v="0.18296359133047732"/>
    <d v="2025-08-01T00:00:00"/>
    <s v="Aug"/>
  </r>
  <r>
    <s v="ORD0095"/>
    <d v="2025-08-22T00:00:00"/>
    <x v="2"/>
    <x v="0"/>
    <s v="T. Dlamini"/>
    <s v="Ergonomic Chair"/>
    <x v="1"/>
    <n v="8"/>
    <n v="11298.28"/>
    <n v="90386.240000000005"/>
    <n v="60696.84"/>
    <n v="29689.400000000009"/>
    <n v="0.32847256396548863"/>
    <d v="2025-08-01T00:00:00"/>
    <s v="Aug"/>
  </r>
  <r>
    <s v="ORD0096"/>
    <d v="2025-01-12T00:00:00"/>
    <x v="2"/>
    <x v="1"/>
    <s v="N. Mthembu"/>
    <s v="USB-C Hub"/>
    <x v="2"/>
    <n v="1"/>
    <n v="897.08"/>
    <n v="897.08"/>
    <n v="680.74"/>
    <n v="216.34000000000003"/>
    <n v="0.2411602086770411"/>
    <d v="2025-01-01T00:00:00"/>
    <s v="Jan"/>
  </r>
  <r>
    <s v="ORD0097"/>
    <d v="2025-06-30T00:00:00"/>
    <x v="3"/>
    <x v="1"/>
    <s v="A. Mokoena"/>
    <s v="Mechanical Keyboard"/>
    <x v="2"/>
    <n v="5"/>
    <n v="2544.35"/>
    <n v="12721.75"/>
    <n v="9579.77"/>
    <n v="3141.9799999999996"/>
    <n v="0.24697702753158957"/>
    <d v="2025-06-01T00:00:00"/>
    <s v="Jun"/>
  </r>
  <r>
    <s v="ORD0098"/>
    <d v="2025-06-08T00:00:00"/>
    <x v="1"/>
    <x v="1"/>
    <s v="L. Naidoo"/>
    <s v="Webcam HD"/>
    <x v="0"/>
    <n v="3"/>
    <n v="917.11"/>
    <n v="2751.33"/>
    <n v="1790.64"/>
    <n v="960.68999999999983"/>
    <n v="0.34917294544820138"/>
    <d v="2025-06-01T00:00:00"/>
    <s v="Jun"/>
  </r>
  <r>
    <s v="ORD0099"/>
    <d v="2025-03-09T00:00:00"/>
    <x v="1"/>
    <x v="0"/>
    <s v="T. Dlamini"/>
    <s v="Desk Lamp"/>
    <x v="1"/>
    <n v="3"/>
    <n v="1046.53"/>
    <n v="3139.59"/>
    <n v="2442.37"/>
    <n v="697.22000000000025"/>
    <n v="0.22207358285636031"/>
    <d v="2025-03-01T00:00:00"/>
    <s v="Mar"/>
  </r>
  <r>
    <s v="ORD0100"/>
    <d v="2025-02-28T00:00:00"/>
    <x v="1"/>
    <x v="0"/>
    <s v="A. Mokoena"/>
    <s v="Webcam HD"/>
    <x v="0"/>
    <n v="4"/>
    <n v="1095.6099999999999"/>
    <n v="4382.4399999999996"/>
    <n v="3303.54"/>
    <n v="1078.8999999999996"/>
    <n v="0.24618705561285487"/>
    <d v="2025-02-01T00:00:00"/>
    <s v="Feb"/>
  </r>
  <r>
    <s v="ORD0101"/>
    <d v="2025-07-22T00:00:00"/>
    <x v="1"/>
    <x v="0"/>
    <s v="A. Mokoena"/>
    <s v="Laptop Pro 14"/>
    <x v="0"/>
    <n v="6"/>
    <n v="13792.83"/>
    <n v="82756.98"/>
    <n v="61352.86"/>
    <n v="21404.119999999995"/>
    <n v="0.25863824416985731"/>
    <d v="2025-07-01T00:00:00"/>
    <s v="Jul"/>
  </r>
  <r>
    <s v="ORD0102"/>
    <d v="2025-12-12T00:00:00"/>
    <x v="0"/>
    <x v="0"/>
    <s v="T. Dlamini"/>
    <s v="Mechanical Keyboard"/>
    <x v="2"/>
    <n v="6"/>
    <n v="1196.77"/>
    <n v="7180.62"/>
    <n v="4546.25"/>
    <n v="2634.37"/>
    <n v="0.36687221994758112"/>
    <d v="2025-12-01T00:00:00"/>
    <s v="Dec"/>
  </r>
  <r>
    <s v="ORD0103"/>
    <d v="2025-11-29T00:00:00"/>
    <x v="0"/>
    <x v="1"/>
    <s v="N. Mthembu"/>
    <s v="USB-C Hub"/>
    <x v="2"/>
    <n v="1"/>
    <n v="284.42"/>
    <n v="284.42"/>
    <n v="198.59"/>
    <n v="85.830000000000013"/>
    <n v="0.3017720272835947"/>
    <d v="2025-11-01T00:00:00"/>
    <s v="Nov"/>
  </r>
  <r>
    <s v="ORD0104"/>
    <d v="2025-03-11T00:00:00"/>
    <x v="1"/>
    <x v="1"/>
    <s v="S. Jacobs"/>
    <s v="USB-C Hub"/>
    <x v="2"/>
    <n v="7"/>
    <n v="952.35"/>
    <n v="6666.45"/>
    <n v="5029.0600000000004"/>
    <n v="1637.3899999999994"/>
    <n v="0.24561648253568233"/>
    <d v="2025-03-01T00:00:00"/>
    <s v="Mar"/>
  </r>
  <r>
    <s v="ORD0105"/>
    <d v="2025-11-12T00:00:00"/>
    <x v="3"/>
    <x v="0"/>
    <s v="A. Mokoena"/>
    <s v="USB-C Hub"/>
    <x v="2"/>
    <n v="6"/>
    <n v="901.94"/>
    <n v="5411.64"/>
    <n v="3716.32"/>
    <n v="1695.3200000000002"/>
    <n v="0.31327287107050727"/>
    <d v="2025-11-01T00:00:00"/>
    <s v="Nov"/>
  </r>
  <r>
    <s v="ORD0106"/>
    <d v="2025-12-18T00:00:00"/>
    <x v="1"/>
    <x v="1"/>
    <s v="L. Naidoo"/>
    <s v="Standing Desk"/>
    <x v="1"/>
    <n v="7"/>
    <n v="17116.759999999998"/>
    <n v="119817.31999999999"/>
    <n v="97335.95"/>
    <n v="22481.369999999995"/>
    <n v="0.18763038599094017"/>
    <d v="2025-12-01T00:00:00"/>
    <s v="Dec"/>
  </r>
  <r>
    <s v="ORD0107"/>
    <d v="2025-11-25T00:00:00"/>
    <x v="3"/>
    <x v="1"/>
    <s v="N. Mthembu"/>
    <s v="External SSD 1TB"/>
    <x v="0"/>
    <n v="6"/>
    <n v="1246.6099999999999"/>
    <n v="7479.66"/>
    <n v="4564.25"/>
    <n v="2915.41"/>
    <n v="0.38977841238772887"/>
    <d v="2025-11-01T00:00:00"/>
    <s v="Nov"/>
  </r>
  <r>
    <s v="ORD0108"/>
    <d v="2025-04-17T00:00:00"/>
    <x v="2"/>
    <x v="1"/>
    <s v="L. Naidoo"/>
    <s v="External SSD 1TB"/>
    <x v="0"/>
    <n v="3"/>
    <n v="2970.1"/>
    <n v="8910.2999999999993"/>
    <n v="6442.46"/>
    <n v="2467.8399999999992"/>
    <n v="0.27696486089132794"/>
    <d v="2025-04-01T00:00:00"/>
    <s v="Apr"/>
  </r>
  <r>
    <s v="ORD0109"/>
    <d v="2025-10-04T00:00:00"/>
    <x v="3"/>
    <x v="0"/>
    <s v="A. Mokoena"/>
    <s v="Ergonomic Chair"/>
    <x v="1"/>
    <n v="1"/>
    <n v="10984.78"/>
    <n v="10984.78"/>
    <n v="7315.62"/>
    <n v="3669.1600000000008"/>
    <n v="0.33402216521405076"/>
    <d v="2025-10-01T00:00:00"/>
    <s v="Oct"/>
  </r>
  <r>
    <s v="ORD0110"/>
    <d v="2025-03-31T00:00:00"/>
    <x v="1"/>
    <x v="0"/>
    <s v="T. Dlamini"/>
    <s v="Ergonomic Chair"/>
    <x v="1"/>
    <n v="7"/>
    <n v="9909.43"/>
    <n v="69366.010000000009"/>
    <n v="52646"/>
    <n v="16720.010000000009"/>
    <n v="0.24104038851304849"/>
    <d v="2025-03-01T00:00:00"/>
    <s v="Mar"/>
  </r>
  <r>
    <s v="ORD0111"/>
    <d v="2025-09-20T00:00:00"/>
    <x v="2"/>
    <x v="0"/>
    <s v="A. Mokoena"/>
    <s v="External SSD 1TB"/>
    <x v="0"/>
    <n v="4"/>
    <n v="5011.96"/>
    <n v="20047.84"/>
    <n v="11836.4"/>
    <n v="8211.44"/>
    <n v="0.409592255325262"/>
    <d v="2025-09-01T00:00:00"/>
    <s v="Sep"/>
  </r>
  <r>
    <s v="ORD0112"/>
    <d v="2025-02-01T00:00:00"/>
    <x v="0"/>
    <x v="1"/>
    <s v="T. Dlamini"/>
    <s v="Webcam HD"/>
    <x v="0"/>
    <n v="2"/>
    <n v="950.15"/>
    <n v="1900.3"/>
    <n v="1517.06"/>
    <n v="383.24"/>
    <n v="0.20167341998631796"/>
    <d v="2025-02-01T00:00:00"/>
    <s v="Feb"/>
  </r>
  <r>
    <s v="ORD0113"/>
    <d v="2025-11-08T00:00:00"/>
    <x v="2"/>
    <x v="0"/>
    <s v="N. Mthembu"/>
    <s v="Office Monitor 24"/>
    <x v="0"/>
    <n v="6"/>
    <n v="1886.96"/>
    <n v="11321.76"/>
    <n v="8189.87"/>
    <n v="3131.8900000000003"/>
    <n v="0.27662571896948884"/>
    <d v="2025-11-01T00:00:00"/>
    <s v="Nov"/>
  </r>
  <r>
    <s v="ORD0114"/>
    <d v="2025-11-06T00:00:00"/>
    <x v="1"/>
    <x v="0"/>
    <s v="S. Jacobs"/>
    <s v="USB-C Hub"/>
    <x v="2"/>
    <n v="4"/>
    <n v="1107.29"/>
    <n v="4429.16"/>
    <n v="3512.95"/>
    <n v="916.21"/>
    <n v="0.20685863685213451"/>
    <d v="2025-11-01T00:00:00"/>
    <s v="Nov"/>
  </r>
  <r>
    <s v="ORD0115"/>
    <d v="2025-07-24T00:00:00"/>
    <x v="3"/>
    <x v="0"/>
    <s v="A. Mokoena"/>
    <s v="USB-C Hub"/>
    <x v="2"/>
    <n v="7"/>
    <n v="548.63"/>
    <n v="3840.41"/>
    <n v="2462.37"/>
    <n v="1378.04"/>
    <n v="0.35882627115334043"/>
    <d v="2025-07-01T00:00:00"/>
    <s v="Jul"/>
  </r>
  <r>
    <s v="ORD0116"/>
    <d v="2025-02-16T00:00:00"/>
    <x v="2"/>
    <x v="1"/>
    <s v="S. Jacobs"/>
    <s v="Wireless Headphones"/>
    <x v="0"/>
    <n v="6"/>
    <n v="4713.66"/>
    <n v="28281.96"/>
    <n v="20180"/>
    <n v="8101.9599999999991"/>
    <n v="0.2864709518010774"/>
    <d v="2025-02-01T00:00:00"/>
    <s v="Feb"/>
  </r>
  <r>
    <s v="ORD0117"/>
    <d v="2025-07-01T00:00:00"/>
    <x v="3"/>
    <x v="1"/>
    <s v="S. Jacobs"/>
    <s v="USB-C Hub"/>
    <x v="2"/>
    <n v="5"/>
    <n v="527.86"/>
    <n v="2639.3"/>
    <n v="1896.87"/>
    <n v="742.43000000000029"/>
    <n v="0.28129807145834129"/>
    <d v="2025-07-01T00:00:00"/>
    <s v="Jul"/>
  </r>
  <r>
    <s v="ORD0118"/>
    <d v="2025-04-25T00:00:00"/>
    <x v="0"/>
    <x v="0"/>
    <s v="A. Mokoena"/>
    <s v="Wireless Headphones"/>
    <x v="0"/>
    <n v="5"/>
    <n v="3968.96"/>
    <n v="19844.8"/>
    <n v="15354.58"/>
    <n v="4490.2199999999993"/>
    <n v="0.22626683060549865"/>
    <d v="2025-04-01T00:00:00"/>
    <s v="Apr"/>
  </r>
  <r>
    <s v="ORD0119"/>
    <d v="2025-04-03T00:00:00"/>
    <x v="3"/>
    <x v="0"/>
    <s v="A. Mokoena"/>
    <s v="Ergonomic Chair"/>
    <x v="1"/>
    <n v="6"/>
    <n v="19901.810000000001"/>
    <n v="119410.86000000002"/>
    <n v="74457.13"/>
    <n v="44953.73000000001"/>
    <n v="0.37646266009641005"/>
    <d v="2025-04-01T00:00:00"/>
    <s v="Apr"/>
  </r>
  <r>
    <s v="ORD0120"/>
    <d v="2025-03-14T00:00:00"/>
    <x v="2"/>
    <x v="0"/>
    <s v="N. Mthembu"/>
    <s v="Laptop Pro 14"/>
    <x v="0"/>
    <n v="7"/>
    <n v="10405.629999999999"/>
    <n v="72839.409999999989"/>
    <n v="44998.6"/>
    <n v="27840.80999999999"/>
    <n v="0.38222179449284382"/>
    <d v="2025-03-01T00:00:00"/>
    <s v="Mar"/>
  </r>
  <r>
    <s v="ORD0121"/>
    <d v="2025-11-02T00:00:00"/>
    <x v="1"/>
    <x v="0"/>
    <s v="N. Mthembu"/>
    <s v="Wireless Headphones"/>
    <x v="0"/>
    <n v="1"/>
    <n v="2249.64"/>
    <n v="2249.64"/>
    <n v="1451.7"/>
    <n v="797.93999999999983"/>
    <n v="0.35469675148023677"/>
    <d v="2025-11-01T00:00:00"/>
    <s v="Nov"/>
  </r>
  <r>
    <s v="ORD0122"/>
    <d v="2025-08-15T00:00:00"/>
    <x v="1"/>
    <x v="0"/>
    <s v="A. Mokoena"/>
    <s v="USB-C Hub"/>
    <x v="2"/>
    <n v="2"/>
    <n v="991.32"/>
    <n v="1982.64"/>
    <n v="1202.7"/>
    <n v="779.94"/>
    <n v="0.3933845781382399"/>
    <d v="2025-08-01T00:00:00"/>
    <s v="Aug"/>
  </r>
  <r>
    <s v="ORD0123"/>
    <d v="2025-04-23T00:00:00"/>
    <x v="3"/>
    <x v="0"/>
    <s v="T. Dlamini"/>
    <s v="USB-C Hub"/>
    <x v="2"/>
    <n v="4"/>
    <n v="246.79"/>
    <n v="987.16"/>
    <n v="622.6"/>
    <n v="364.55999999999995"/>
    <n v="0.36930183556870211"/>
    <d v="2025-04-01T00:00:00"/>
    <s v="Apr"/>
  </r>
  <r>
    <s v="ORD0124"/>
    <d v="2025-06-17T00:00:00"/>
    <x v="3"/>
    <x v="0"/>
    <s v="A. Mokoena"/>
    <s v="Wireless Headphones"/>
    <x v="0"/>
    <n v="7"/>
    <n v="4651.38"/>
    <n v="32559.66"/>
    <n v="21855.66"/>
    <n v="10704"/>
    <n v="0.32875036164382554"/>
    <d v="2025-06-01T00:00:00"/>
    <s v="Jun"/>
  </r>
  <r>
    <s v="ORD0125"/>
    <d v="2025-07-23T00:00:00"/>
    <x v="1"/>
    <x v="0"/>
    <s v="T. Dlamini"/>
    <s v="Laptop Pro 14"/>
    <x v="0"/>
    <n v="2"/>
    <n v="17316.400000000001"/>
    <n v="34632.800000000003"/>
    <n v="24872.66"/>
    <n v="9760.1400000000031"/>
    <n v="0.28181781432630343"/>
    <d v="2025-07-01T00:00:00"/>
    <s v="Jul"/>
  </r>
  <r>
    <s v="ORD0126"/>
    <d v="2025-02-28T00:00:00"/>
    <x v="0"/>
    <x v="0"/>
    <s v="A. Mokoena"/>
    <s v="USB-C Hub"/>
    <x v="2"/>
    <n v="8"/>
    <n v="453.22"/>
    <n v="3625.76"/>
    <n v="2903.31"/>
    <n v="722.45000000000027"/>
    <n v="0.19925477692952656"/>
    <d v="2025-02-01T00:00:00"/>
    <s v="Feb"/>
  </r>
  <r>
    <s v="ORD0127"/>
    <d v="2025-05-05T00:00:00"/>
    <x v="2"/>
    <x v="1"/>
    <s v="T. Dlamini"/>
    <s v="USB-C Hub"/>
    <x v="2"/>
    <n v="2"/>
    <n v="769.61"/>
    <n v="1539.22"/>
    <n v="1007.37"/>
    <n v="531.85"/>
    <n v="0.34553215264874415"/>
    <d v="2025-05-01T00:00:00"/>
    <s v="May"/>
  </r>
  <r>
    <s v="ORD0128"/>
    <d v="2025-03-28T00:00:00"/>
    <x v="3"/>
    <x v="1"/>
    <s v="A. Mokoena"/>
    <s v="Wireless Headphones"/>
    <x v="0"/>
    <n v="4"/>
    <n v="1982.89"/>
    <n v="7931.56"/>
    <n v="5265.37"/>
    <n v="2666.1900000000005"/>
    <n v="0.33614950904992213"/>
    <d v="2025-03-01T00:00:00"/>
    <s v="Mar"/>
  </r>
  <r>
    <s v="ORD0129"/>
    <d v="2025-03-16T00:00:00"/>
    <x v="3"/>
    <x v="0"/>
    <s v="S. Jacobs"/>
    <s v="Ergonomic Chair"/>
    <x v="1"/>
    <n v="3"/>
    <n v="12868.59"/>
    <n v="38605.770000000004"/>
    <n v="28464.89"/>
    <n v="10140.880000000005"/>
    <n v="0.26267783287316904"/>
    <d v="2025-03-01T00:00:00"/>
    <s v="Mar"/>
  </r>
  <r>
    <s v="ORD0130"/>
    <d v="2025-10-16T00:00:00"/>
    <x v="1"/>
    <x v="0"/>
    <s v="T. Dlamini"/>
    <s v="External SSD 1TB"/>
    <x v="0"/>
    <n v="6"/>
    <n v="3299.39"/>
    <n v="19796.34"/>
    <n v="11806.31"/>
    <n v="7990.0300000000007"/>
    <n v="0.40361147565661132"/>
    <d v="2025-10-01T00:00:00"/>
    <s v="Oct"/>
  </r>
  <r>
    <s v="ORD0131"/>
    <d v="2025-10-30T00:00:00"/>
    <x v="2"/>
    <x v="1"/>
    <s v="A. Mokoena"/>
    <s v="Laptop Pro 14"/>
    <x v="0"/>
    <n v="8"/>
    <n v="14623.99"/>
    <n v="116991.92"/>
    <n v="69452.679999999993"/>
    <n v="47539.240000000005"/>
    <n v="0.40634635280795467"/>
    <d v="2025-10-01T00:00:00"/>
    <s v="Oct"/>
  </r>
  <r>
    <s v="ORD0132"/>
    <d v="2025-11-11T00:00:00"/>
    <x v="3"/>
    <x v="0"/>
    <s v="N. Mthembu"/>
    <s v="External SSD 1TB"/>
    <x v="0"/>
    <n v="1"/>
    <n v="4008.29"/>
    <n v="4008.29"/>
    <n v="3103.84"/>
    <n v="904.44999999999982"/>
    <n v="0.22564485104620668"/>
    <d v="2025-11-01T00:00:00"/>
    <s v="Nov"/>
  </r>
  <r>
    <s v="ORD0133"/>
    <d v="2025-09-01T00:00:00"/>
    <x v="0"/>
    <x v="1"/>
    <s v="A. Mokoena"/>
    <s v="Desk Lamp"/>
    <x v="1"/>
    <n v="2"/>
    <n v="755.22"/>
    <n v="1510.44"/>
    <n v="1179.6099999999999"/>
    <n v="330.83000000000015"/>
    <n v="0.21902889224331992"/>
    <d v="2025-09-01T00:00:00"/>
    <s v="Sep"/>
  </r>
  <r>
    <s v="ORD0134"/>
    <d v="2025-05-07T00:00:00"/>
    <x v="2"/>
    <x v="1"/>
    <s v="T. Dlamini"/>
    <s v="Webcam HD"/>
    <x v="0"/>
    <n v="6"/>
    <n v="673.99"/>
    <n v="4043.94"/>
    <n v="2721.49"/>
    <n v="1322.4500000000003"/>
    <n v="0.32702018328659682"/>
    <d v="2025-05-01T00:00:00"/>
    <s v="May"/>
  </r>
  <r>
    <s v="ORD0135"/>
    <d v="2025-02-03T00:00:00"/>
    <x v="3"/>
    <x v="0"/>
    <s v="A. Mokoena"/>
    <s v="Standing Desk"/>
    <x v="1"/>
    <n v="5"/>
    <n v="11019.99"/>
    <n v="55099.95"/>
    <n v="40640.370000000003"/>
    <n v="14459.579999999994"/>
    <n v="0.26242455755404487"/>
    <d v="2025-02-01T00:00:00"/>
    <s v="Feb"/>
  </r>
  <r>
    <s v="ORD0136"/>
    <d v="2025-10-26T00:00:00"/>
    <x v="0"/>
    <x v="0"/>
    <s v="N. Mthembu"/>
    <s v="Office Monitor 24"/>
    <x v="0"/>
    <n v="7"/>
    <n v="3185.64"/>
    <n v="22299.48"/>
    <n v="16727.29"/>
    <n v="5572.1899999999987"/>
    <n v="0.24987981782534835"/>
    <d v="2025-10-01T00:00:00"/>
    <s v="Oct"/>
  </r>
  <r>
    <s v="ORD0137"/>
    <d v="2025-07-12T00:00:00"/>
    <x v="2"/>
    <x v="1"/>
    <s v="L. Naidoo"/>
    <s v="Standing Desk"/>
    <x v="1"/>
    <n v="7"/>
    <n v="11111.83"/>
    <n v="77782.81"/>
    <n v="45454.36"/>
    <n v="32328.449999999997"/>
    <n v="0.41562460908779197"/>
    <d v="2025-07-01T00:00:00"/>
    <s v="Jul"/>
  </r>
  <r>
    <s v="ORD0138"/>
    <d v="2025-06-24T00:00:00"/>
    <x v="0"/>
    <x v="1"/>
    <s v="T. Dlamini"/>
    <s v="Webcam HD"/>
    <x v="0"/>
    <n v="3"/>
    <n v="357.02"/>
    <n v="1071.06"/>
    <n v="838.28"/>
    <n v="232.77999999999997"/>
    <n v="0.21733609695068434"/>
    <d v="2025-06-01T00:00:00"/>
    <s v="Jun"/>
  </r>
  <r>
    <s v="ORD0139"/>
    <d v="2025-11-13T00:00:00"/>
    <x v="3"/>
    <x v="0"/>
    <s v="A. Mokoena"/>
    <s v="Office Monitor 24"/>
    <x v="0"/>
    <n v="3"/>
    <n v="3731.57"/>
    <n v="11194.710000000001"/>
    <n v="8354.42"/>
    <n v="2840.2900000000009"/>
    <n v="0.25371715747884499"/>
    <d v="2025-11-01T00:00:00"/>
    <s v="Nov"/>
  </r>
  <r>
    <s v="ORD0140"/>
    <d v="2025-07-30T00:00:00"/>
    <x v="3"/>
    <x v="1"/>
    <s v="T. Dlamini"/>
    <s v="Standing Desk"/>
    <x v="1"/>
    <n v="5"/>
    <n v="21094.65"/>
    <n v="105473.25"/>
    <n v="81015.28"/>
    <n v="24457.97"/>
    <n v="0.23188789574607782"/>
    <d v="2025-07-01T00:00:00"/>
    <s v="Jul"/>
  </r>
  <r>
    <s v="ORD0141"/>
    <d v="2025-08-29T00:00:00"/>
    <x v="1"/>
    <x v="1"/>
    <s v="L. Naidoo"/>
    <s v="Mechanical Keyboard"/>
    <x v="2"/>
    <n v="5"/>
    <n v="4759.8100000000004"/>
    <n v="23799.050000000003"/>
    <n v="16675.939999999999"/>
    <n v="7123.1100000000042"/>
    <n v="0.29930228307432455"/>
    <d v="2025-08-01T00:00:00"/>
    <s v="Aug"/>
  </r>
  <r>
    <s v="ORD0142"/>
    <d v="2025-11-06T00:00:00"/>
    <x v="0"/>
    <x v="1"/>
    <s v="T. Dlamini"/>
    <s v="Office Monitor 24"/>
    <x v="0"/>
    <n v="8"/>
    <n v="1426.29"/>
    <n v="11410.32"/>
    <n v="8136.58"/>
    <n v="3273.74"/>
    <n v="0.28691044598223364"/>
    <d v="2025-11-01T00:00:00"/>
    <s v="Nov"/>
  </r>
  <r>
    <s v="ORD0143"/>
    <d v="2025-02-12T00:00:00"/>
    <x v="3"/>
    <x v="0"/>
    <s v="T. Dlamini"/>
    <s v="Office Monitor 24"/>
    <x v="0"/>
    <n v="3"/>
    <n v="4883.24"/>
    <n v="14649.72"/>
    <n v="8819.2999999999993"/>
    <n v="5830.42"/>
    <n v="0.39798849397804192"/>
    <d v="2025-02-01T00:00:00"/>
    <s v="Feb"/>
  </r>
  <r>
    <s v="ORD0144"/>
    <d v="2025-01-14T00:00:00"/>
    <x v="2"/>
    <x v="1"/>
    <s v="A. Mokoena"/>
    <s v="USB-C Hub"/>
    <x v="2"/>
    <n v="6"/>
    <n v="723.63"/>
    <n v="4341.78"/>
    <n v="3554.55"/>
    <n v="787.22999999999956"/>
    <n v="0.18131503669002105"/>
    <d v="2025-01-01T00:00:00"/>
    <s v="Jan"/>
  </r>
  <r>
    <s v="ORD0145"/>
    <d v="2025-06-13T00:00:00"/>
    <x v="1"/>
    <x v="1"/>
    <s v="S. Jacobs"/>
    <s v="Wireless Headphones"/>
    <x v="0"/>
    <n v="3"/>
    <n v="3381.74"/>
    <n v="10145.219999999999"/>
    <n v="6582.74"/>
    <n v="3562.4799999999996"/>
    <n v="0.35114861974407652"/>
    <d v="2025-06-01T00:00:00"/>
    <s v="Jun"/>
  </r>
  <r>
    <s v="ORD0146"/>
    <d v="2025-08-18T00:00:00"/>
    <x v="1"/>
    <x v="1"/>
    <s v="T. Dlamini"/>
    <s v="External SSD 1TB"/>
    <x v="0"/>
    <n v="5"/>
    <n v="1460.91"/>
    <n v="7304.55"/>
    <n v="4498.76"/>
    <n v="2805.79"/>
    <n v="0.38411538013977586"/>
    <d v="2025-08-01T00:00:00"/>
    <s v="Aug"/>
  </r>
  <r>
    <s v="ORD0147"/>
    <d v="2025-05-02T00:00:00"/>
    <x v="0"/>
    <x v="1"/>
    <s v="S. Jacobs"/>
    <s v="Ergonomic Chair"/>
    <x v="1"/>
    <n v="7"/>
    <n v="11301.58"/>
    <n v="79111.06"/>
    <n v="57709.5"/>
    <n v="21401.559999999998"/>
    <n v="0.27052551185636997"/>
    <d v="2025-05-01T00:00:00"/>
    <s v="May"/>
  </r>
  <r>
    <s v="ORD0148"/>
    <d v="2025-11-02T00:00:00"/>
    <x v="2"/>
    <x v="1"/>
    <s v="N. Mthembu"/>
    <s v="Desk Lamp"/>
    <x v="1"/>
    <n v="3"/>
    <n v="943.88"/>
    <n v="2831.64"/>
    <n v="1643.41"/>
    <n v="1188.2299999999998"/>
    <n v="0.41962608241160593"/>
    <d v="2025-11-01T00:00:00"/>
    <s v="Nov"/>
  </r>
  <r>
    <s v="ORD0149"/>
    <d v="2025-08-02T00:00:00"/>
    <x v="0"/>
    <x v="0"/>
    <s v="S. Jacobs"/>
    <s v="Office Monitor 24"/>
    <x v="0"/>
    <n v="6"/>
    <n v="1462.57"/>
    <n v="8775.42"/>
    <n v="6197.68"/>
    <n v="2577.7399999999998"/>
    <n v="0.29374548454660859"/>
    <d v="2025-08-01T00:00:00"/>
    <s v="Aug"/>
  </r>
  <r>
    <s v="ORD0150"/>
    <d v="2025-01-23T00:00:00"/>
    <x v="3"/>
    <x v="1"/>
    <s v="N. Mthembu"/>
    <s v="USB-C Hub"/>
    <x v="2"/>
    <n v="1"/>
    <n v="985.99"/>
    <n v="985.99"/>
    <n v="587.86"/>
    <n v="398.13"/>
    <n v="0.40378705666386067"/>
    <d v="2025-01-01T00:00:00"/>
    <s v="Jan"/>
  </r>
  <r>
    <s v="ORD0151"/>
    <d v="2025-06-20T00:00:00"/>
    <x v="1"/>
    <x v="0"/>
    <s v="L. Naidoo"/>
    <s v="Office Monitor 24"/>
    <x v="0"/>
    <n v="6"/>
    <n v="4023.39"/>
    <n v="24140.34"/>
    <n v="15015.81"/>
    <n v="9124.5300000000007"/>
    <n v="0.3779785206007869"/>
    <d v="2025-06-01T00:00:00"/>
    <s v="Jun"/>
  </r>
  <r>
    <s v="ORD0152"/>
    <d v="2025-03-11T00:00:00"/>
    <x v="0"/>
    <x v="0"/>
    <s v="T. Dlamini"/>
    <s v="Wireless Headphones"/>
    <x v="0"/>
    <n v="5"/>
    <n v="4371.54"/>
    <n v="21857.7"/>
    <n v="16827.5"/>
    <n v="5030.2000000000007"/>
    <n v="0.23013400312018192"/>
    <d v="2025-03-01T00:00:00"/>
    <s v="Mar"/>
  </r>
  <r>
    <s v="ORD0153"/>
    <d v="2025-09-21T00:00:00"/>
    <x v="2"/>
    <x v="1"/>
    <s v="T. Dlamini"/>
    <s v="USB-C Hub"/>
    <x v="2"/>
    <n v="1"/>
    <n v="534.79"/>
    <n v="534.79"/>
    <n v="334.71"/>
    <n v="200.07999999999998"/>
    <n v="0.37412816245629127"/>
    <d v="2025-09-01T00:00:00"/>
    <s v="Sep"/>
  </r>
  <r>
    <s v="ORD0154"/>
    <d v="2025-05-20T00:00:00"/>
    <x v="1"/>
    <x v="0"/>
    <s v="L. Naidoo"/>
    <s v="Wireless Headphones"/>
    <x v="0"/>
    <n v="7"/>
    <n v="4696.96"/>
    <n v="32878.720000000001"/>
    <n v="26129.15"/>
    <n v="6749.57"/>
    <n v="0.20528688464757749"/>
    <d v="2025-05-01T00:00:00"/>
    <s v="May"/>
  </r>
  <r>
    <s v="ORD0155"/>
    <d v="2025-09-12T00:00:00"/>
    <x v="3"/>
    <x v="0"/>
    <s v="T. Dlamini"/>
    <s v="Webcam HD"/>
    <x v="0"/>
    <n v="2"/>
    <n v="1118.5999999999999"/>
    <n v="2237.1999999999998"/>
    <n v="1339.95"/>
    <n v="897.24999999999977"/>
    <n v="0.40105935991417835"/>
    <d v="2025-09-01T00:00:00"/>
    <s v="Sep"/>
  </r>
  <r>
    <s v="ORD0156"/>
    <d v="2025-02-22T00:00:00"/>
    <x v="1"/>
    <x v="0"/>
    <s v="S. Jacobs"/>
    <s v="Wireless Headphones"/>
    <x v="0"/>
    <n v="8"/>
    <n v="3389.16"/>
    <n v="27113.279999999999"/>
    <n v="18498.52"/>
    <n v="8614.7599999999984"/>
    <n v="0.31773212241381343"/>
    <d v="2025-02-01T00:00:00"/>
    <s v="Feb"/>
  </r>
  <r>
    <s v="ORD0157"/>
    <d v="2025-01-22T00:00:00"/>
    <x v="2"/>
    <x v="1"/>
    <s v="A. Mokoena"/>
    <s v="Standing Desk"/>
    <x v="1"/>
    <n v="1"/>
    <n v="17451.95"/>
    <n v="17451.95"/>
    <n v="12792.33"/>
    <n v="4659.6200000000008"/>
    <n v="0.26699709774552416"/>
    <d v="2025-01-01T00:00:00"/>
    <s v="Jan"/>
  </r>
  <r>
    <s v="ORD0158"/>
    <d v="2025-03-15T00:00:00"/>
    <x v="2"/>
    <x v="0"/>
    <s v="S. Jacobs"/>
    <s v="External SSD 1TB"/>
    <x v="0"/>
    <n v="3"/>
    <n v="4100.46"/>
    <n v="12301.380000000001"/>
    <n v="9433.24"/>
    <n v="2868.1400000000012"/>
    <n v="0.2331559548603491"/>
    <d v="2025-03-01T00:00:00"/>
    <s v="Mar"/>
  </r>
  <r>
    <s v="ORD0159"/>
    <d v="2025-10-18T00:00:00"/>
    <x v="0"/>
    <x v="1"/>
    <s v="N. Mthembu"/>
    <s v="Laptop Pro 14"/>
    <x v="0"/>
    <n v="8"/>
    <n v="20610.72"/>
    <n v="164885.76000000001"/>
    <n v="110355.27"/>
    <n v="54530.490000000005"/>
    <n v="0.33071679446423996"/>
    <d v="2025-10-01T00:00:00"/>
    <s v="Oct"/>
  </r>
  <r>
    <s v="ORD0160"/>
    <d v="2025-07-07T00:00:00"/>
    <x v="1"/>
    <x v="1"/>
    <s v="T. Dlamini"/>
    <s v="USB-C Hub"/>
    <x v="2"/>
    <n v="2"/>
    <n v="457.12"/>
    <n v="914.24"/>
    <n v="571.08000000000004"/>
    <n v="343.15999999999997"/>
    <n v="0.37535001750087499"/>
    <d v="2025-07-01T00:00:00"/>
    <s v="Jul"/>
  </r>
  <r>
    <s v="ORD0161"/>
    <d v="2025-05-14T00:00:00"/>
    <x v="0"/>
    <x v="0"/>
    <s v="L. Naidoo"/>
    <s v="Webcam HD"/>
    <x v="0"/>
    <n v="8"/>
    <n v="902.43"/>
    <n v="7219.44"/>
    <n v="4422.45"/>
    <n v="2796.99"/>
    <n v="0.38742478641002626"/>
    <d v="2025-05-01T00:00:00"/>
    <s v="May"/>
  </r>
  <r>
    <s v="ORD0162"/>
    <d v="2025-08-16T00:00:00"/>
    <x v="2"/>
    <x v="0"/>
    <s v="L. Naidoo"/>
    <s v="Wireless Headphones"/>
    <x v="0"/>
    <n v="6"/>
    <n v="3665.43"/>
    <n v="21992.579999999998"/>
    <n v="15658.7"/>
    <n v="6333.8799999999974"/>
    <n v="0.28800077116918515"/>
    <d v="2025-08-01T00:00:00"/>
    <s v="Aug"/>
  </r>
  <r>
    <s v="ORD0163"/>
    <d v="2025-12-31T00:00:00"/>
    <x v="1"/>
    <x v="1"/>
    <s v="T. Dlamini"/>
    <s v="Office Monitor 24"/>
    <x v="0"/>
    <n v="4"/>
    <n v="2895.82"/>
    <n v="11583.28"/>
    <n v="7376.43"/>
    <n v="4206.8500000000004"/>
    <n v="0.36318296717337406"/>
    <d v="2025-12-01T00:00:00"/>
    <s v="Dec"/>
  </r>
  <r>
    <s v="ORD0164"/>
    <d v="2025-10-11T00:00:00"/>
    <x v="2"/>
    <x v="0"/>
    <s v="S. Jacobs"/>
    <s v="External SSD 1TB"/>
    <x v="0"/>
    <n v="3"/>
    <n v="4833.8599999999997"/>
    <n v="14501.579999999998"/>
    <n v="8710.98"/>
    <n v="5790.5999999999985"/>
    <n v="0.39930821331192873"/>
    <d v="2025-10-01T00:00:00"/>
    <s v="Oct"/>
  </r>
  <r>
    <s v="ORD0165"/>
    <d v="2025-09-27T00:00:00"/>
    <x v="0"/>
    <x v="0"/>
    <s v="S. Jacobs"/>
    <s v="USB-C Hub"/>
    <x v="2"/>
    <n v="2"/>
    <n v="1011.1"/>
    <n v="2022.2"/>
    <n v="1326.74"/>
    <n v="695.46"/>
    <n v="0.34391257046780732"/>
    <d v="2025-09-01T00:00:00"/>
    <s v="Sep"/>
  </r>
  <r>
    <s v="ORD0166"/>
    <d v="2025-12-15T00:00:00"/>
    <x v="0"/>
    <x v="1"/>
    <s v="N. Mthembu"/>
    <s v="Desk Lamp"/>
    <x v="1"/>
    <n v="3"/>
    <n v="1210.54"/>
    <n v="3631.62"/>
    <n v="2218.8000000000002"/>
    <n v="1412.8199999999997"/>
    <n v="0.38903299354007298"/>
    <d v="2025-12-01T00:00:00"/>
    <s v="Dec"/>
  </r>
  <r>
    <s v="ORD0167"/>
    <d v="2025-03-20T00:00:00"/>
    <x v="2"/>
    <x v="1"/>
    <s v="T. Dlamini"/>
    <s v="Ergonomic Chair"/>
    <x v="1"/>
    <n v="4"/>
    <n v="11336.79"/>
    <n v="45347.16"/>
    <n v="36541.51"/>
    <n v="8805.6500000000015"/>
    <n v="0.1941830535804227"/>
    <d v="2025-03-01T00:00:00"/>
    <s v="Mar"/>
  </r>
  <r>
    <s v="ORD0168"/>
    <d v="2025-04-11T00:00:00"/>
    <x v="3"/>
    <x v="1"/>
    <s v="L. Naidoo"/>
    <s v="Desk Lamp"/>
    <x v="1"/>
    <n v="5"/>
    <n v="910.37"/>
    <n v="4551.8500000000004"/>
    <n v="2742.14"/>
    <n v="1809.7100000000005"/>
    <n v="0.39757680942913326"/>
    <d v="2025-04-01T00:00:00"/>
    <s v="Apr"/>
  </r>
  <r>
    <s v="ORD0169"/>
    <d v="2025-12-04T00:00:00"/>
    <x v="0"/>
    <x v="0"/>
    <s v="L. Naidoo"/>
    <s v="External SSD 1TB"/>
    <x v="0"/>
    <n v="1"/>
    <n v="3903.4"/>
    <n v="3903.4"/>
    <n v="2290.5500000000002"/>
    <n v="1612.85"/>
    <n v="0.41319106420044061"/>
    <d v="2025-12-01T00:00:00"/>
    <s v="Dec"/>
  </r>
  <r>
    <s v="ORD0170"/>
    <d v="2025-10-20T00:00:00"/>
    <x v="3"/>
    <x v="0"/>
    <s v="T. Dlamini"/>
    <s v="USB-C Hub"/>
    <x v="2"/>
    <n v="5"/>
    <n v="780.54"/>
    <n v="3902.7"/>
    <n v="2546.52"/>
    <n v="1356.1799999999998"/>
    <n v="0.34749788607886845"/>
    <d v="2025-10-01T00:00:00"/>
    <s v="Oct"/>
  </r>
  <r>
    <s v="ORD0171"/>
    <d v="2025-08-21T00:00:00"/>
    <x v="2"/>
    <x v="1"/>
    <s v="T. Dlamini"/>
    <s v="Wireless Headphones"/>
    <x v="0"/>
    <n v="8"/>
    <n v="1366.54"/>
    <n v="10932.32"/>
    <n v="7559.33"/>
    <n v="3372.99"/>
    <n v="0.30853377874046861"/>
    <d v="2025-08-01T00:00:00"/>
    <s v="Aug"/>
  </r>
  <r>
    <s v="ORD0172"/>
    <d v="2025-06-13T00:00:00"/>
    <x v="3"/>
    <x v="0"/>
    <s v="A. Mokoena"/>
    <s v="Standing Desk"/>
    <x v="1"/>
    <n v="6"/>
    <n v="15578.53"/>
    <n v="93471.180000000008"/>
    <n v="56595.32"/>
    <n v="36875.860000000008"/>
    <n v="0.39451582830130105"/>
    <d v="2025-06-01T00:00:00"/>
    <s v="Jun"/>
  </r>
  <r>
    <s v="ORD0173"/>
    <d v="2025-05-17T00:00:00"/>
    <x v="1"/>
    <x v="1"/>
    <s v="L. Naidoo"/>
    <s v="Webcam HD"/>
    <x v="0"/>
    <n v="1"/>
    <n v="334.36"/>
    <n v="334.36"/>
    <n v="224.76"/>
    <n v="109.60000000000002"/>
    <n v="0.32779040555090327"/>
    <d v="2025-05-01T00:00:00"/>
    <s v="May"/>
  </r>
  <r>
    <s v="ORD0174"/>
    <d v="2025-06-17T00:00:00"/>
    <x v="1"/>
    <x v="0"/>
    <s v="S. Jacobs"/>
    <s v="External SSD 1TB"/>
    <x v="0"/>
    <n v="3"/>
    <n v="3459.8"/>
    <n v="10379.400000000001"/>
    <n v="7302.26"/>
    <n v="3077.1400000000012"/>
    <n v="0.2964660770372084"/>
    <d v="2025-06-01T00:00:00"/>
    <s v="Jun"/>
  </r>
  <r>
    <s v="ORD0175"/>
    <d v="2025-01-12T00:00:00"/>
    <x v="2"/>
    <x v="0"/>
    <s v="N. Mthembu"/>
    <s v="Wireless Headphones"/>
    <x v="0"/>
    <n v="4"/>
    <n v="4722.43"/>
    <n v="18889.72"/>
    <n v="11176.63"/>
    <n v="7713.090000000002"/>
    <n v="0.40832209265145281"/>
    <d v="2025-01-01T00:00:00"/>
    <s v="Jan"/>
  </r>
  <r>
    <s v="ORD0176"/>
    <d v="2025-12-01T00:00:00"/>
    <x v="2"/>
    <x v="0"/>
    <s v="T. Dlamini"/>
    <s v="Webcam HD"/>
    <x v="0"/>
    <n v="2"/>
    <n v="1101.57"/>
    <n v="2203.14"/>
    <n v="1744.42"/>
    <n v="458.7199999999998"/>
    <n v="0.20821191572029005"/>
    <d v="2025-12-01T00:00:00"/>
    <s v="Dec"/>
  </r>
  <r>
    <s v="ORD0177"/>
    <d v="2025-01-24T00:00:00"/>
    <x v="2"/>
    <x v="1"/>
    <s v="L. Naidoo"/>
    <s v="USB-C Hub"/>
    <x v="2"/>
    <n v="5"/>
    <n v="568.03"/>
    <n v="2840.1499999999996"/>
    <n v="1991.01"/>
    <n v="849.13999999999965"/>
    <n v="0.29897716669894187"/>
    <d v="2025-01-01T00:00:00"/>
    <s v="Jan"/>
  </r>
  <r>
    <s v="ORD0178"/>
    <d v="2025-02-19T00:00:00"/>
    <x v="1"/>
    <x v="1"/>
    <s v="A. Mokoena"/>
    <s v="USB-C Hub"/>
    <x v="2"/>
    <n v="6"/>
    <n v="862.87"/>
    <n v="5177.22"/>
    <n v="3250.12"/>
    <n v="1927.1000000000004"/>
    <n v="0.3722267935301185"/>
    <d v="2025-02-01T00:00:00"/>
    <s v="Feb"/>
  </r>
  <r>
    <s v="ORD0179"/>
    <d v="2025-01-20T00:00:00"/>
    <x v="3"/>
    <x v="0"/>
    <s v="N. Mthembu"/>
    <s v="Office Monitor 24"/>
    <x v="0"/>
    <n v="8"/>
    <n v="3642.03"/>
    <n v="29136.240000000002"/>
    <n v="17940.52"/>
    <n v="11195.720000000001"/>
    <n v="0.38425411103148521"/>
    <d v="2025-01-01T00:00:00"/>
    <s v="Jan"/>
  </r>
  <r>
    <s v="ORD0180"/>
    <d v="2025-06-13T00:00:00"/>
    <x v="1"/>
    <x v="0"/>
    <s v="S. Jacobs"/>
    <s v="Office Monitor 24"/>
    <x v="0"/>
    <n v="6"/>
    <n v="3355.9"/>
    <n v="20135.400000000001"/>
    <n v="14141.72"/>
    <n v="5993.6800000000021"/>
    <n v="0.29766878234353433"/>
    <d v="2025-06-01T00:00:00"/>
    <s v="Jun"/>
  </r>
  <r>
    <s v="ORD0181"/>
    <d v="2025-01-09T00:00:00"/>
    <x v="0"/>
    <x v="0"/>
    <s v="T. Dlamini"/>
    <s v="Standing Desk"/>
    <x v="1"/>
    <n v="5"/>
    <n v="15283.26"/>
    <n v="76416.3"/>
    <n v="57623.839999999997"/>
    <n v="18792.460000000006"/>
    <n v="0.24592213964821649"/>
    <d v="2025-01-01T00:00:00"/>
    <s v="Jan"/>
  </r>
  <r>
    <s v="ORD0182"/>
    <d v="2025-12-02T00:00:00"/>
    <x v="1"/>
    <x v="1"/>
    <s v="L. Naidoo"/>
    <s v="External SSD 1TB"/>
    <x v="0"/>
    <n v="1"/>
    <n v="2810.17"/>
    <n v="2810.17"/>
    <n v="1744.9"/>
    <n v="1065.27"/>
    <n v="0.37907671066163257"/>
    <d v="2025-12-01T00:00:00"/>
    <s v="Dec"/>
  </r>
  <r>
    <s v="ORD0183"/>
    <d v="2025-01-17T00:00:00"/>
    <x v="1"/>
    <x v="1"/>
    <s v="S. Jacobs"/>
    <s v="External SSD 1TB"/>
    <x v="0"/>
    <n v="1"/>
    <n v="1778.77"/>
    <n v="1778.77"/>
    <n v="1210.47"/>
    <n v="568.29999999999995"/>
    <n v="0.31949043440129976"/>
    <d v="2025-01-01T00:00:00"/>
    <s v="Jan"/>
  </r>
  <r>
    <s v="ORD0184"/>
    <d v="2025-09-14T00:00:00"/>
    <x v="1"/>
    <x v="0"/>
    <s v="T. Dlamini"/>
    <s v="External SSD 1TB"/>
    <x v="0"/>
    <n v="3"/>
    <n v="1415.27"/>
    <n v="4245.8099999999995"/>
    <n v="3034.11"/>
    <n v="1211.6999999999994"/>
    <n v="0.28538724059720044"/>
    <d v="2025-09-01T00:00:00"/>
    <s v="Sep"/>
  </r>
  <r>
    <s v="ORD0185"/>
    <d v="2025-03-30T00:00:00"/>
    <x v="2"/>
    <x v="0"/>
    <s v="L. Naidoo"/>
    <s v="Webcam HD"/>
    <x v="0"/>
    <n v="6"/>
    <n v="837.46"/>
    <n v="5024.76"/>
    <n v="3960.7"/>
    <n v="1064.0600000000004"/>
    <n v="0.21176334790119336"/>
    <d v="2025-03-01T00:00:00"/>
    <s v="Mar"/>
  </r>
  <r>
    <s v="ORD0186"/>
    <d v="2025-05-07T00:00:00"/>
    <x v="1"/>
    <x v="0"/>
    <s v="S. Jacobs"/>
    <s v="Ergonomic Chair"/>
    <x v="1"/>
    <n v="5"/>
    <n v="19126.98"/>
    <n v="95634.9"/>
    <n v="71647.39"/>
    <n v="23987.509999999995"/>
    <n v="0.25082381013625776"/>
    <d v="2025-05-01T00:00:00"/>
    <s v="May"/>
  </r>
  <r>
    <s v="ORD0187"/>
    <d v="2025-06-28T00:00:00"/>
    <x v="1"/>
    <x v="0"/>
    <s v="L. Naidoo"/>
    <s v="Desk Lamp"/>
    <x v="1"/>
    <n v="2"/>
    <n v="551.99"/>
    <n v="1103.98"/>
    <n v="784.23"/>
    <n v="319.75"/>
    <n v="0.2896338701788076"/>
    <d v="2025-06-01T00:00:00"/>
    <s v="Jun"/>
  </r>
  <r>
    <s v="ORD0188"/>
    <d v="2025-05-29T00:00:00"/>
    <x v="3"/>
    <x v="1"/>
    <s v="N. Mthembu"/>
    <s v="Laptop Pro 14"/>
    <x v="0"/>
    <n v="8"/>
    <n v="14139.74"/>
    <n v="113117.92"/>
    <n v="85897.36"/>
    <n v="27220.559999999998"/>
    <n v="0.24063879533852814"/>
    <d v="2025-05-01T00:00:00"/>
    <s v="May"/>
  </r>
  <r>
    <s v="ORD0189"/>
    <d v="2025-05-19T00:00:00"/>
    <x v="3"/>
    <x v="1"/>
    <s v="N. Mthembu"/>
    <s v="Desk Lamp"/>
    <x v="1"/>
    <n v="2"/>
    <n v="399.02"/>
    <n v="798.04"/>
    <n v="575.26"/>
    <n v="222.77999999999997"/>
    <n v="0.27915893940153375"/>
    <d v="2025-05-01T00:00:00"/>
    <s v="May"/>
  </r>
  <r>
    <s v="ORD0190"/>
    <d v="2025-04-26T00:00:00"/>
    <x v="3"/>
    <x v="1"/>
    <s v="N. Mthembu"/>
    <s v="Mechanical Keyboard"/>
    <x v="2"/>
    <n v="6"/>
    <n v="1794.77"/>
    <n v="10768.619999999999"/>
    <n v="6505.65"/>
    <n v="4262.9699999999993"/>
    <n v="0.39586966575104326"/>
    <d v="2025-04-01T00:00:00"/>
    <s v="Apr"/>
  </r>
  <r>
    <s v="ORD0191"/>
    <d v="2025-03-22T00:00:00"/>
    <x v="2"/>
    <x v="1"/>
    <s v="A. Mokoena"/>
    <s v="USB-C Hub"/>
    <x v="2"/>
    <n v="4"/>
    <n v="775.77"/>
    <n v="3103.08"/>
    <n v="2013.71"/>
    <n v="1089.3699999999999"/>
    <n v="0.35106088144682057"/>
    <d v="2025-03-01T00:00:00"/>
    <s v="Mar"/>
  </r>
  <r>
    <s v="ORD0192"/>
    <d v="2025-11-30T00:00:00"/>
    <x v="0"/>
    <x v="0"/>
    <s v="S. Jacobs"/>
    <s v="External SSD 1TB"/>
    <x v="0"/>
    <n v="3"/>
    <n v="1185.21"/>
    <n v="3555.63"/>
    <n v="2777.04"/>
    <n v="778.59000000000015"/>
    <n v="0.2189738527349584"/>
    <d v="2025-11-01T00:00:00"/>
    <s v="Nov"/>
  </r>
  <r>
    <s v="ORD0193"/>
    <d v="2025-04-06T00:00:00"/>
    <x v="1"/>
    <x v="0"/>
    <s v="L. Naidoo"/>
    <s v="Ergonomic Chair"/>
    <x v="1"/>
    <n v="2"/>
    <n v="10436.75"/>
    <n v="20873.5"/>
    <n v="13785.07"/>
    <n v="7088.43"/>
    <n v="0.33958991065226246"/>
    <d v="2025-04-01T00:00:00"/>
    <s v="Apr"/>
  </r>
  <r>
    <s v="ORD0194"/>
    <d v="2025-09-16T00:00:00"/>
    <x v="2"/>
    <x v="1"/>
    <s v="A. Mokoena"/>
    <s v="Webcam HD"/>
    <x v="0"/>
    <n v="2"/>
    <n v="1041.5"/>
    <n v="2083"/>
    <n v="1573.64"/>
    <n v="509.3599999999999"/>
    <n v="0.24453192510801725"/>
    <d v="2025-09-01T00:00:00"/>
    <s v="Sep"/>
  </r>
  <r>
    <s v="ORD0195"/>
    <d v="2025-06-22T00:00:00"/>
    <x v="0"/>
    <x v="0"/>
    <s v="A. Mokoena"/>
    <s v="Ergonomic Chair"/>
    <x v="1"/>
    <n v="7"/>
    <n v="19498.91"/>
    <n v="136492.37"/>
    <n v="96045.23"/>
    <n v="40447.14"/>
    <n v="0.29633260818901452"/>
    <d v="2025-06-01T00:00:00"/>
    <s v="Jun"/>
  </r>
  <r>
    <s v="ORD0196"/>
    <d v="2025-04-05T00:00:00"/>
    <x v="2"/>
    <x v="0"/>
    <s v="T. Dlamini"/>
    <s v="Office Monitor 24"/>
    <x v="0"/>
    <n v="1"/>
    <n v="3380.16"/>
    <n v="3380.16"/>
    <n v="2151.56"/>
    <n v="1228.5999999999999"/>
    <n v="0.36347391839439552"/>
    <d v="2025-04-01T00:00:00"/>
    <s v="Apr"/>
  </r>
  <r>
    <s v="ORD0197"/>
    <d v="2025-10-26T00:00:00"/>
    <x v="0"/>
    <x v="0"/>
    <s v="T. Dlamini"/>
    <s v="External SSD 1TB"/>
    <x v="0"/>
    <n v="6"/>
    <n v="3159.28"/>
    <n v="18955.68"/>
    <n v="11276.92"/>
    <n v="7678.76"/>
    <n v="0.40509018932583796"/>
    <d v="2025-10-01T00:00:00"/>
    <s v="Oct"/>
  </r>
  <r>
    <s v="ORD0198"/>
    <d v="2025-03-23T00:00:00"/>
    <x v="2"/>
    <x v="1"/>
    <s v="L. Naidoo"/>
    <s v="USB-C Hub"/>
    <x v="2"/>
    <n v="2"/>
    <n v="982.52"/>
    <n v="1965.04"/>
    <n v="1583.34"/>
    <n v="381.70000000000005"/>
    <n v="0.19424540976265117"/>
    <d v="2025-03-01T00:00:00"/>
    <s v="Mar"/>
  </r>
  <r>
    <s v="ORD0199"/>
    <d v="2025-03-10T00:00:00"/>
    <x v="1"/>
    <x v="1"/>
    <s v="L. Naidoo"/>
    <s v="Webcam HD"/>
    <x v="0"/>
    <n v="6"/>
    <n v="997.92"/>
    <n v="5987.5199999999995"/>
    <n v="4262.01"/>
    <n v="1725.5099999999993"/>
    <n v="0.2881844236010902"/>
    <d v="2025-03-01T00:00:00"/>
    <s v="Mar"/>
  </r>
  <r>
    <s v="ORD0200"/>
    <d v="2025-12-15T00:00:00"/>
    <x v="0"/>
    <x v="1"/>
    <s v="N. Mthembu"/>
    <s v="External SSD 1TB"/>
    <x v="0"/>
    <n v="8"/>
    <n v="1578.85"/>
    <n v="12630.8"/>
    <n v="8422.58"/>
    <n v="4208.2199999999993"/>
    <n v="0.33317129556322639"/>
    <d v="2025-12-01T00:00:00"/>
    <s v="Dec"/>
  </r>
  <r>
    <s v="ORD0201"/>
    <d v="2025-09-16T00:00:00"/>
    <x v="3"/>
    <x v="0"/>
    <s v="A. Mokoena"/>
    <s v="Mechanical Keyboard"/>
    <x v="2"/>
    <n v="6"/>
    <n v="2277.8000000000002"/>
    <n v="13666.800000000001"/>
    <n v="9376"/>
    <n v="4290.8000000000011"/>
    <n v="0.31395791260573075"/>
    <d v="2025-09-01T00:00:00"/>
    <s v="Sep"/>
  </r>
  <r>
    <s v="ORD0202"/>
    <d v="2025-09-19T00:00:00"/>
    <x v="1"/>
    <x v="0"/>
    <s v="A. Mokoena"/>
    <s v="Webcam HD"/>
    <x v="0"/>
    <n v="7"/>
    <n v="381.67"/>
    <n v="2671.69"/>
    <n v="1586.6"/>
    <n v="1085.0900000000001"/>
    <n v="0.40614367684873626"/>
    <d v="2025-09-01T00:00:00"/>
    <s v="Sep"/>
  </r>
  <r>
    <s v="ORD0203"/>
    <d v="2025-07-22T00:00:00"/>
    <x v="0"/>
    <x v="1"/>
    <s v="A. Mokoena"/>
    <s v="Ergonomic Chair"/>
    <x v="1"/>
    <n v="2"/>
    <n v="8226.07"/>
    <n v="16452.14"/>
    <n v="10902.62"/>
    <n v="5549.5199999999986"/>
    <n v="0.33731295746328432"/>
    <d v="2025-07-01T00:00:00"/>
    <s v="Jul"/>
  </r>
  <r>
    <s v="ORD0204"/>
    <d v="2025-08-30T00:00:00"/>
    <x v="1"/>
    <x v="0"/>
    <s v="S. Jacobs"/>
    <s v="Laptop Pro 14"/>
    <x v="0"/>
    <n v="3"/>
    <n v="14431.53"/>
    <n v="43294.590000000004"/>
    <n v="35276.43"/>
    <n v="8018.1600000000035"/>
    <n v="0.1852000446245132"/>
    <d v="2025-08-01T00:00:00"/>
    <s v="Aug"/>
  </r>
  <r>
    <s v="ORD0205"/>
    <d v="2025-08-18T00:00:00"/>
    <x v="3"/>
    <x v="0"/>
    <s v="N. Mthembu"/>
    <s v="USB-C Hub"/>
    <x v="2"/>
    <n v="3"/>
    <n v="978.14"/>
    <n v="2934.42"/>
    <n v="1946.88"/>
    <n v="987.54"/>
    <n v="0.336536692089067"/>
    <d v="2025-08-01T00:00:00"/>
    <s v="Aug"/>
  </r>
  <r>
    <s v="ORD0206"/>
    <d v="2025-03-07T00:00:00"/>
    <x v="1"/>
    <x v="1"/>
    <s v="L. Naidoo"/>
    <s v="Mechanical Keyboard"/>
    <x v="2"/>
    <n v="8"/>
    <n v="1123.68"/>
    <n v="8989.44"/>
    <n v="6388.5"/>
    <n v="2600.9400000000005"/>
    <n v="0.2893328171721487"/>
    <d v="2025-03-01T00:00:00"/>
    <s v="Mar"/>
  </r>
  <r>
    <s v="ORD0207"/>
    <d v="2025-08-24T00:00:00"/>
    <x v="0"/>
    <x v="1"/>
    <s v="L. Naidoo"/>
    <s v="Standing Desk"/>
    <x v="1"/>
    <n v="2"/>
    <n v="10461.26"/>
    <n v="20922.52"/>
    <n v="15450.18"/>
    <n v="5472.34"/>
    <n v="0.26155262368013033"/>
    <d v="2025-08-01T00:00:00"/>
    <s v="Aug"/>
  </r>
  <r>
    <s v="ORD0208"/>
    <d v="2025-02-04T00:00:00"/>
    <x v="1"/>
    <x v="1"/>
    <s v="N. Mthembu"/>
    <s v="Wireless Headphones"/>
    <x v="0"/>
    <n v="1"/>
    <n v="1115.01"/>
    <n v="1115.01"/>
    <n v="658.54"/>
    <n v="456.47"/>
    <n v="0.40938646290167802"/>
    <d v="2025-02-01T00:00:00"/>
    <s v="Feb"/>
  </r>
  <r>
    <s v="ORD0209"/>
    <d v="2025-04-22T00:00:00"/>
    <x v="2"/>
    <x v="1"/>
    <s v="T. Dlamini"/>
    <s v="Laptop Pro 14"/>
    <x v="0"/>
    <n v="6"/>
    <n v="11470.02"/>
    <n v="68820.12"/>
    <n v="52675.55"/>
    <n v="16144.569999999992"/>
    <n v="0.23459084349169973"/>
    <d v="2025-04-01T00:00:00"/>
    <s v="Apr"/>
  </r>
  <r>
    <s v="ORD0210"/>
    <d v="2025-03-15T00:00:00"/>
    <x v="3"/>
    <x v="0"/>
    <s v="N. Mthembu"/>
    <s v="Desk Lamp"/>
    <x v="1"/>
    <n v="5"/>
    <n v="508.09"/>
    <n v="2540.4499999999998"/>
    <n v="2051.7800000000002"/>
    <n v="488.66999999999962"/>
    <n v="0.19235568501643396"/>
    <d v="2025-03-01T00:00:00"/>
    <s v="Mar"/>
  </r>
  <r>
    <s v="ORD0211"/>
    <d v="2025-09-11T00:00:00"/>
    <x v="2"/>
    <x v="0"/>
    <s v="L. Naidoo"/>
    <s v="Laptop Pro 14"/>
    <x v="0"/>
    <n v="6"/>
    <n v="15216.87"/>
    <n v="91301.22"/>
    <n v="61900.6"/>
    <n v="29400.620000000003"/>
    <n v="0.3220178218867174"/>
    <d v="2025-09-01T00:00:00"/>
    <s v="Sep"/>
  </r>
  <r>
    <s v="ORD0212"/>
    <d v="2025-10-03T00:00:00"/>
    <x v="1"/>
    <x v="0"/>
    <s v="N. Mthembu"/>
    <s v="Webcam HD"/>
    <x v="0"/>
    <n v="3"/>
    <n v="591.05999999999995"/>
    <n v="1773.1799999999998"/>
    <n v="1417.72"/>
    <n v="355.45999999999981"/>
    <n v="0.200464701835121"/>
    <d v="2025-10-01T00:00:00"/>
    <s v="Oct"/>
  </r>
  <r>
    <s v="ORD0213"/>
    <d v="2025-09-29T00:00:00"/>
    <x v="1"/>
    <x v="0"/>
    <s v="A. Mokoena"/>
    <s v="Office Monitor 24"/>
    <x v="0"/>
    <n v="4"/>
    <n v="2790.93"/>
    <n v="11163.72"/>
    <n v="6686.81"/>
    <n v="4476.9099999999989"/>
    <n v="0.40102313565728981"/>
    <d v="2025-09-01T00:00:00"/>
    <s v="Sep"/>
  </r>
  <r>
    <s v="ORD0214"/>
    <d v="2025-10-02T00:00:00"/>
    <x v="3"/>
    <x v="0"/>
    <s v="L. Naidoo"/>
    <s v="Mechanical Keyboard"/>
    <x v="2"/>
    <n v="1"/>
    <n v="3330.57"/>
    <n v="3330.57"/>
    <n v="2082.14"/>
    <n v="1248.4300000000003"/>
    <n v="0.37483974214623927"/>
    <d v="2025-10-01T00:00:00"/>
    <s v="Oct"/>
  </r>
  <r>
    <s v="ORD0215"/>
    <d v="2025-06-20T00:00:00"/>
    <x v="3"/>
    <x v="1"/>
    <s v="S. Jacobs"/>
    <s v="Ergonomic Chair"/>
    <x v="1"/>
    <n v="2"/>
    <n v="9707.7800000000007"/>
    <n v="19415.560000000001"/>
    <n v="14776.01"/>
    <n v="4639.5500000000011"/>
    <n v="0.23896040083314624"/>
    <d v="2025-06-01T00:00:00"/>
    <s v="Jun"/>
  </r>
  <r>
    <s v="ORD0216"/>
    <d v="2025-05-03T00:00:00"/>
    <x v="2"/>
    <x v="0"/>
    <s v="N. Mthembu"/>
    <s v="Desk Lamp"/>
    <x v="1"/>
    <n v="8"/>
    <n v="643.29999999999995"/>
    <n v="5146.3999999999996"/>
    <n v="3428.65"/>
    <n v="1717.7499999999995"/>
    <n v="0.33377700917145958"/>
    <d v="2025-05-01T00:00:00"/>
    <s v="May"/>
  </r>
  <r>
    <s v="ORD0217"/>
    <d v="2025-09-12T00:00:00"/>
    <x v="1"/>
    <x v="1"/>
    <s v="N. Mthembu"/>
    <s v="Webcam HD"/>
    <x v="0"/>
    <n v="6"/>
    <n v="1114.27"/>
    <n v="6685.62"/>
    <n v="4472.47"/>
    <n v="2213.1499999999996"/>
    <n v="0.33103137779293462"/>
    <d v="2025-09-01T00:00:00"/>
    <s v="Sep"/>
  </r>
  <r>
    <s v="ORD0218"/>
    <d v="2025-04-24T00:00:00"/>
    <x v="3"/>
    <x v="0"/>
    <s v="N. Mthembu"/>
    <s v="Office Monitor 24"/>
    <x v="0"/>
    <n v="7"/>
    <n v="2911.64"/>
    <n v="20381.48"/>
    <n v="12780.94"/>
    <n v="7600.5399999999991"/>
    <n v="0.37291403764594128"/>
    <d v="2025-04-01T00:00:00"/>
    <s v="Apr"/>
  </r>
  <r>
    <s v="ORD0219"/>
    <d v="2025-05-06T00:00:00"/>
    <x v="1"/>
    <x v="0"/>
    <s v="L. Naidoo"/>
    <s v="Webcam HD"/>
    <x v="0"/>
    <n v="8"/>
    <n v="560.86"/>
    <n v="4486.88"/>
    <n v="3293.4"/>
    <n v="1193.48"/>
    <n v="0.2659932960096994"/>
    <d v="2025-05-01T00:00:00"/>
    <s v="May"/>
  </r>
  <r>
    <s v="ORD0220"/>
    <d v="2025-06-30T00:00:00"/>
    <x v="0"/>
    <x v="1"/>
    <s v="A. Mokoena"/>
    <s v="Office Monitor 24"/>
    <x v="0"/>
    <n v="1"/>
    <n v="4923.47"/>
    <n v="4923.47"/>
    <n v="3847.08"/>
    <n v="1076.3900000000003"/>
    <n v="0.21862426296900361"/>
    <d v="2025-06-01T00:00:00"/>
    <s v="Jun"/>
  </r>
  <r>
    <s v="ORD0221"/>
    <d v="2025-07-31T00:00:00"/>
    <x v="2"/>
    <x v="1"/>
    <s v="N. Mthembu"/>
    <s v="Office Monitor 24"/>
    <x v="0"/>
    <n v="3"/>
    <n v="2520.61"/>
    <n v="7561.83"/>
    <n v="5303.69"/>
    <n v="2258.1400000000003"/>
    <n v="0.29862348135305877"/>
    <d v="2025-07-01T00:00:00"/>
    <s v="Jul"/>
  </r>
  <r>
    <s v="ORD0222"/>
    <d v="2025-11-23T00:00:00"/>
    <x v="0"/>
    <x v="0"/>
    <s v="N. Mthembu"/>
    <s v="External SSD 1TB"/>
    <x v="0"/>
    <n v="1"/>
    <n v="4927.54"/>
    <n v="4927.54"/>
    <n v="3344.43"/>
    <n v="1583.1100000000001"/>
    <n v="0.32127796019920696"/>
    <d v="2025-11-01T00:00:00"/>
    <s v="Nov"/>
  </r>
  <r>
    <s v="ORD0223"/>
    <d v="2025-05-27T00:00:00"/>
    <x v="3"/>
    <x v="1"/>
    <s v="L. Naidoo"/>
    <s v="Laptop Pro 14"/>
    <x v="0"/>
    <n v="3"/>
    <n v="15873.94"/>
    <n v="47621.82"/>
    <n v="28721.45"/>
    <n v="18900.37"/>
    <n v="0.39688466337489831"/>
    <d v="2025-05-01T00:00:00"/>
    <s v="May"/>
  </r>
  <r>
    <s v="ORD0224"/>
    <d v="2025-11-14T00:00:00"/>
    <x v="1"/>
    <x v="1"/>
    <s v="L. Naidoo"/>
    <s v="Desk Lamp"/>
    <x v="1"/>
    <n v="7"/>
    <n v="478.97"/>
    <n v="3352.79"/>
    <n v="2716.54"/>
    <n v="636.25"/>
    <n v="0.18976732810584618"/>
    <d v="2025-11-01T00:00:00"/>
    <s v="Nov"/>
  </r>
  <r>
    <s v="ORD0225"/>
    <d v="2025-06-03T00:00:00"/>
    <x v="0"/>
    <x v="1"/>
    <s v="L. Naidoo"/>
    <s v="Wireless Headphones"/>
    <x v="0"/>
    <n v="7"/>
    <n v="1131.01"/>
    <n v="7917.07"/>
    <n v="5642.09"/>
    <n v="2274.9799999999996"/>
    <n v="0.28735125494659003"/>
    <d v="2025-06-01T00:00:00"/>
    <s v="Jun"/>
  </r>
  <r>
    <s v="ORD0226"/>
    <d v="2025-02-12T00:00:00"/>
    <x v="3"/>
    <x v="1"/>
    <s v="N. Mthembu"/>
    <s v="Webcam HD"/>
    <x v="0"/>
    <n v="2"/>
    <n v="894.46"/>
    <n v="1788.92"/>
    <n v="1432.2"/>
    <n v="356.72"/>
    <n v="0.19940522773516983"/>
    <d v="2025-02-01T00:00:00"/>
    <s v="Feb"/>
  </r>
  <r>
    <s v="ORD0227"/>
    <d v="2025-09-01T00:00:00"/>
    <x v="0"/>
    <x v="1"/>
    <s v="T. Dlamini"/>
    <s v="Ergonomic Chair"/>
    <x v="1"/>
    <n v="5"/>
    <n v="10541.62"/>
    <n v="52708.100000000006"/>
    <n v="37699.07"/>
    <n v="15009.030000000006"/>
    <n v="0.28475756098208821"/>
    <d v="2025-09-01T00:00:00"/>
    <s v="Sep"/>
  </r>
  <r>
    <s v="ORD0228"/>
    <d v="2025-01-09T00:00:00"/>
    <x v="3"/>
    <x v="0"/>
    <s v="N. Mthembu"/>
    <s v="Mechanical Keyboard"/>
    <x v="2"/>
    <n v="7"/>
    <n v="2259.5"/>
    <n v="15816.5"/>
    <n v="10309.61"/>
    <n v="5506.8899999999994"/>
    <n v="0.34817374261056488"/>
    <d v="2025-01-01T00:00:00"/>
    <s v="Jan"/>
  </r>
  <r>
    <s v="ORD0229"/>
    <d v="2025-06-19T00:00:00"/>
    <x v="0"/>
    <x v="1"/>
    <s v="S. Jacobs"/>
    <s v="USB-C Hub"/>
    <x v="2"/>
    <n v="2"/>
    <n v="1059.17"/>
    <n v="2118.34"/>
    <n v="1723.98"/>
    <n v="394.36000000000013"/>
    <n v="0.18616463834889588"/>
    <d v="2025-06-01T00:00:00"/>
    <s v="Jun"/>
  </r>
  <r>
    <s v="ORD0230"/>
    <d v="2025-04-29T00:00:00"/>
    <x v="1"/>
    <x v="0"/>
    <s v="L. Naidoo"/>
    <s v="Wireless Headphones"/>
    <x v="0"/>
    <n v="6"/>
    <n v="3758.68"/>
    <n v="22552.079999999998"/>
    <n v="14559.59"/>
    <n v="7992.489999999998"/>
    <n v="0.35440145653970712"/>
    <d v="2025-04-01T00:00:00"/>
    <s v="Apr"/>
  </r>
  <r>
    <s v="ORD0231"/>
    <d v="2025-07-02T00:00:00"/>
    <x v="3"/>
    <x v="1"/>
    <s v="A. Mokoena"/>
    <s v="Desk Lamp"/>
    <x v="1"/>
    <n v="7"/>
    <n v="403.54"/>
    <n v="2824.78"/>
    <n v="2057.7600000000002"/>
    <n v="767.02"/>
    <n v="0.27153265033029117"/>
    <d v="2025-07-01T00:00:00"/>
    <s v="Jul"/>
  </r>
  <r>
    <s v="ORD0232"/>
    <d v="2025-05-18T00:00:00"/>
    <x v="0"/>
    <x v="0"/>
    <s v="S. Jacobs"/>
    <s v="Office Monitor 24"/>
    <x v="0"/>
    <n v="7"/>
    <n v="2083.6999999999998"/>
    <n v="14585.899999999998"/>
    <n v="8832.82"/>
    <n v="5753.0799999999981"/>
    <n v="0.39442749504658603"/>
    <d v="2025-05-01T00:00:00"/>
    <s v="May"/>
  </r>
  <r>
    <s v="ORD0233"/>
    <d v="2025-07-04T00:00:00"/>
    <x v="1"/>
    <x v="1"/>
    <s v="A. Mokoena"/>
    <s v="Ergonomic Chair"/>
    <x v="1"/>
    <n v="3"/>
    <n v="10526.66"/>
    <n v="31579.98"/>
    <n v="22537.89"/>
    <n v="9042.09"/>
    <n v="0.28632348722196788"/>
    <d v="2025-07-01T00:00:00"/>
    <s v="Jul"/>
  </r>
  <r>
    <s v="ORD0234"/>
    <d v="2025-02-15T00:00:00"/>
    <x v="1"/>
    <x v="0"/>
    <s v="A. Mokoena"/>
    <s v="Standing Desk"/>
    <x v="1"/>
    <n v="6"/>
    <n v="19395.2"/>
    <n v="116371.20000000001"/>
    <n v="67839.960000000006"/>
    <n v="48531.240000000005"/>
    <n v="0.41703823626464281"/>
    <d v="2025-02-01T00:00:00"/>
    <s v="Feb"/>
  </r>
  <r>
    <s v="ORD0235"/>
    <d v="2025-10-14T00:00:00"/>
    <x v="2"/>
    <x v="0"/>
    <s v="L. Naidoo"/>
    <s v="Mechanical Keyboard"/>
    <x v="2"/>
    <n v="7"/>
    <n v="2137.6999999999998"/>
    <n v="14963.899999999998"/>
    <n v="9644.84"/>
    <n v="5319.0599999999977"/>
    <n v="0.35545947246372928"/>
    <d v="2025-10-01T00:00:00"/>
    <s v="Oct"/>
  </r>
  <r>
    <s v="ORD0236"/>
    <d v="2025-02-02T00:00:00"/>
    <x v="2"/>
    <x v="1"/>
    <s v="S. Jacobs"/>
    <s v="Office Monitor 24"/>
    <x v="0"/>
    <n v="5"/>
    <n v="3150.03"/>
    <n v="15750.150000000001"/>
    <n v="9425.85"/>
    <n v="6324.3000000000011"/>
    <n v="0.40153903296159088"/>
    <d v="2025-02-01T00:00:00"/>
    <s v="Feb"/>
  </r>
  <r>
    <s v="ORD0237"/>
    <d v="2025-11-01T00:00:00"/>
    <x v="2"/>
    <x v="0"/>
    <s v="T. Dlamini"/>
    <s v="External SSD 1TB"/>
    <x v="0"/>
    <n v="3"/>
    <n v="4468.33"/>
    <n v="13404.99"/>
    <n v="10827.45"/>
    <n v="2577.5399999999991"/>
    <n v="0.19228212777480619"/>
    <d v="2025-11-01T00:00:00"/>
    <s v="Nov"/>
  </r>
  <r>
    <s v="ORD0238"/>
    <d v="2025-08-14T00:00:00"/>
    <x v="1"/>
    <x v="0"/>
    <s v="L. Naidoo"/>
    <s v="Standing Desk"/>
    <x v="1"/>
    <n v="6"/>
    <n v="16386.41"/>
    <n v="98318.459999999992"/>
    <n v="73431.12"/>
    <n v="24887.339999999997"/>
    <n v="0.25312988018730154"/>
    <d v="2025-08-01T00:00:00"/>
    <s v="Aug"/>
  </r>
  <r>
    <s v="ORD0239"/>
    <d v="2025-07-23T00:00:00"/>
    <x v="1"/>
    <x v="0"/>
    <s v="A. Mokoena"/>
    <s v="Standing Desk"/>
    <x v="1"/>
    <n v="4"/>
    <n v="13295.32"/>
    <n v="53181.279999999999"/>
    <n v="34422.76"/>
    <n v="18758.519999999997"/>
    <n v="0.35272787717783394"/>
    <d v="2025-07-01T00:00:00"/>
    <s v="Jul"/>
  </r>
  <r>
    <s v="ORD0240"/>
    <d v="2025-10-16T00:00:00"/>
    <x v="3"/>
    <x v="0"/>
    <s v="T. Dlamini"/>
    <s v="Mechanical Keyboard"/>
    <x v="2"/>
    <n v="1"/>
    <n v="2588"/>
    <n v="2588"/>
    <n v="1787.76"/>
    <n v="800.24"/>
    <n v="0.30921174652241112"/>
    <d v="2025-10-01T00:00:00"/>
    <s v="Oct"/>
  </r>
  <r>
    <s v="ORD0241"/>
    <d v="2025-12-21T00:00:00"/>
    <x v="1"/>
    <x v="0"/>
    <s v="A. Mokoena"/>
    <s v="Wireless Headphones"/>
    <x v="0"/>
    <n v="5"/>
    <n v="4732.54"/>
    <n v="23662.7"/>
    <n v="17464.939999999999"/>
    <n v="6197.760000000002"/>
    <n v="0.26192108254763835"/>
    <d v="2025-12-01T00:00:00"/>
    <s v="Dec"/>
  </r>
  <r>
    <s v="ORD0242"/>
    <d v="2025-08-18T00:00:00"/>
    <x v="2"/>
    <x v="1"/>
    <s v="A. Mokoena"/>
    <s v="External SSD 1TB"/>
    <x v="0"/>
    <n v="7"/>
    <n v="4219.51"/>
    <n v="29536.57"/>
    <n v="22736.45"/>
    <n v="6800.119999999999"/>
    <n v="0.23022713876391196"/>
    <d v="2025-08-01T00:00:00"/>
    <s v="Aug"/>
  </r>
  <r>
    <s v="ORD0243"/>
    <d v="2025-05-08T00:00:00"/>
    <x v="1"/>
    <x v="1"/>
    <s v="A. Mokoena"/>
    <s v="Standing Desk"/>
    <x v="1"/>
    <n v="7"/>
    <n v="12819.67"/>
    <n v="89737.69"/>
    <n v="59189.47"/>
    <n v="30548.22"/>
    <n v="0.34041683043100396"/>
    <d v="2025-05-01T00:00:00"/>
    <s v="May"/>
  </r>
  <r>
    <s v="ORD0244"/>
    <d v="2025-02-20T00:00:00"/>
    <x v="3"/>
    <x v="0"/>
    <s v="A. Mokoena"/>
    <s v="Ergonomic Chair"/>
    <x v="1"/>
    <n v="6"/>
    <n v="12361.85"/>
    <n v="74171.100000000006"/>
    <n v="56767.75"/>
    <n v="17403.350000000006"/>
    <n v="0.2346378845669001"/>
    <d v="2025-02-01T00:00:00"/>
    <s v="Feb"/>
  </r>
  <r>
    <s v="ORD0245"/>
    <d v="2025-09-05T00:00:00"/>
    <x v="3"/>
    <x v="0"/>
    <s v="T. Dlamini"/>
    <s v="Wireless Headphones"/>
    <x v="0"/>
    <n v="2"/>
    <n v="3976.28"/>
    <n v="7952.56"/>
    <n v="6407.87"/>
    <n v="1544.6900000000005"/>
    <n v="0.19423808182522362"/>
    <d v="2025-09-01T00:00:00"/>
    <s v="Sep"/>
  </r>
  <r>
    <s v="ORD0246"/>
    <d v="2025-06-25T00:00:00"/>
    <x v="1"/>
    <x v="0"/>
    <s v="A. Mokoena"/>
    <s v="Webcam HD"/>
    <x v="0"/>
    <n v="8"/>
    <n v="759.24"/>
    <n v="6073.92"/>
    <n v="3665.18"/>
    <n v="2408.7400000000002"/>
    <n v="0.39657091301828146"/>
    <d v="2025-06-01T00:00:00"/>
    <s v="Jun"/>
  </r>
  <r>
    <s v="ORD0247"/>
    <d v="2025-06-03T00:00:00"/>
    <x v="3"/>
    <x v="1"/>
    <s v="N. Mthembu"/>
    <s v="Laptop Pro 14"/>
    <x v="0"/>
    <n v="6"/>
    <n v="21255.97"/>
    <n v="127535.82"/>
    <n v="94697.06"/>
    <n v="32838.760000000009"/>
    <n v="0.25748656338274228"/>
    <d v="2025-06-01T00:00:00"/>
    <s v="Jun"/>
  </r>
  <r>
    <s v="ORD0248"/>
    <d v="2025-03-31T00:00:00"/>
    <x v="1"/>
    <x v="1"/>
    <s v="L. Naidoo"/>
    <s v="Desk Lamp"/>
    <x v="1"/>
    <n v="7"/>
    <n v="898.46"/>
    <n v="6289.22"/>
    <n v="3997.71"/>
    <n v="2291.5100000000002"/>
    <n v="0.36435519825987961"/>
    <d v="2025-03-01T00:00:00"/>
    <s v="Mar"/>
  </r>
  <r>
    <s v="ORD0249"/>
    <d v="2025-11-24T00:00:00"/>
    <x v="0"/>
    <x v="1"/>
    <s v="L. Naidoo"/>
    <s v="USB-C Hub"/>
    <x v="2"/>
    <n v="4"/>
    <n v="994.86"/>
    <n v="3979.44"/>
    <n v="2718.33"/>
    <n v="1261.1100000000001"/>
    <n v="0.31690639889029615"/>
    <d v="2025-11-01T00:00:00"/>
    <s v="Nov"/>
  </r>
  <r>
    <s v="ORD0250"/>
    <d v="2025-05-23T00:00:00"/>
    <x v="0"/>
    <x v="0"/>
    <s v="S. Jacobs"/>
    <s v="Wireless Headphones"/>
    <x v="0"/>
    <n v="3"/>
    <n v="1686.48"/>
    <n v="5059.4400000000005"/>
    <n v="3173.78"/>
    <n v="1885.6600000000003"/>
    <n v="0.37270132662903405"/>
    <d v="2025-05-01T00:00:00"/>
    <s v="May"/>
  </r>
  <r>
    <s v="ORD0251"/>
    <d v="2025-09-28T00:00:00"/>
    <x v="1"/>
    <x v="1"/>
    <s v="T. Dlamini"/>
    <s v="Standing Desk"/>
    <x v="1"/>
    <n v="7"/>
    <n v="19106.79"/>
    <n v="133747.53"/>
    <n v="88741.74"/>
    <n v="45005.789999999994"/>
    <n v="0.33649810205840808"/>
    <d v="2025-09-01T00:00:00"/>
    <s v="Sep"/>
  </r>
  <r>
    <s v="ORD0252"/>
    <d v="2025-11-11T00:00:00"/>
    <x v="2"/>
    <x v="1"/>
    <s v="N. Mthembu"/>
    <s v="External SSD 1TB"/>
    <x v="0"/>
    <n v="2"/>
    <n v="1892.59"/>
    <n v="3785.18"/>
    <n v="2301.65"/>
    <n v="1483.5299999999997"/>
    <n v="0.39193116311509618"/>
    <d v="2025-11-01T00:00:00"/>
    <s v="Nov"/>
  </r>
  <r>
    <s v="ORD0253"/>
    <d v="2025-07-18T00:00:00"/>
    <x v="3"/>
    <x v="1"/>
    <s v="S. Jacobs"/>
    <s v="USB-C Hub"/>
    <x v="2"/>
    <n v="7"/>
    <n v="825.1"/>
    <n v="5775.7"/>
    <n v="4024.51"/>
    <n v="1751.1899999999996"/>
    <n v="0.303199612168222"/>
    <d v="2025-07-01T00:00:00"/>
    <s v="Jul"/>
  </r>
  <r>
    <s v="ORD0254"/>
    <d v="2025-05-28T00:00:00"/>
    <x v="0"/>
    <x v="0"/>
    <s v="L. Naidoo"/>
    <s v="Office Monitor 24"/>
    <x v="0"/>
    <n v="8"/>
    <n v="3560.04"/>
    <n v="28480.32"/>
    <n v="22434.67"/>
    <n v="6045.6500000000015"/>
    <n v="0.2122746514084112"/>
    <d v="2025-05-01T00:00:00"/>
    <s v="May"/>
  </r>
  <r>
    <s v="ORD0255"/>
    <d v="2025-04-10T00:00:00"/>
    <x v="1"/>
    <x v="1"/>
    <s v="A. Mokoena"/>
    <s v="USB-C Hub"/>
    <x v="2"/>
    <n v="8"/>
    <n v="656.73"/>
    <n v="5253.84"/>
    <n v="4106.26"/>
    <n v="1147.58"/>
    <n v="0.21842690298905179"/>
    <d v="2025-04-01T00:00:00"/>
    <s v="Apr"/>
  </r>
  <r>
    <s v="ORD0256"/>
    <d v="2025-10-17T00:00:00"/>
    <x v="3"/>
    <x v="0"/>
    <s v="N. Mthembu"/>
    <s v="Laptop Pro 14"/>
    <x v="0"/>
    <n v="1"/>
    <n v="20502.259999999998"/>
    <n v="20502.259999999998"/>
    <n v="14536.64"/>
    <n v="5965.619999999999"/>
    <n v="0.29097377557400989"/>
    <d v="2025-10-01T00:00:00"/>
    <s v="Oct"/>
  </r>
  <r>
    <s v="ORD0257"/>
    <d v="2025-09-11T00:00:00"/>
    <x v="2"/>
    <x v="1"/>
    <s v="S. Jacobs"/>
    <s v="Desk Lamp"/>
    <x v="1"/>
    <n v="2"/>
    <n v="797.19"/>
    <n v="1594.38"/>
    <n v="1132.56"/>
    <n v="461.82000000000016"/>
    <n v="0.28965491288149636"/>
    <d v="2025-09-01T00:00:00"/>
    <s v="Sep"/>
  </r>
  <r>
    <s v="ORD0258"/>
    <d v="2025-10-07T00:00:00"/>
    <x v="1"/>
    <x v="0"/>
    <s v="T. Dlamini"/>
    <s v="Mechanical Keyboard"/>
    <x v="2"/>
    <n v="4"/>
    <n v="1667.68"/>
    <n v="6670.72"/>
    <n v="5468.89"/>
    <n v="1201.83"/>
    <n v="0.18016495970449964"/>
    <d v="2025-10-01T00:00:00"/>
    <s v="Oct"/>
  </r>
  <r>
    <s v="ORD0259"/>
    <d v="2025-02-14T00:00:00"/>
    <x v="1"/>
    <x v="1"/>
    <s v="N. Mthembu"/>
    <s v="Webcam HD"/>
    <x v="0"/>
    <n v="6"/>
    <n v="497.51"/>
    <n v="2985.06"/>
    <n v="2168.54"/>
    <n v="816.52"/>
    <n v="0.27353554032414756"/>
    <d v="2025-02-01T00:00:00"/>
    <s v="Feb"/>
  </r>
  <r>
    <s v="ORD0260"/>
    <d v="2025-03-13T00:00:00"/>
    <x v="3"/>
    <x v="0"/>
    <s v="T. Dlamini"/>
    <s v="Mechanical Keyboard"/>
    <x v="2"/>
    <n v="6"/>
    <n v="1394.95"/>
    <n v="8369.7000000000007"/>
    <n v="6053.35"/>
    <n v="2316.3500000000004"/>
    <n v="0.27675424447710195"/>
    <d v="2025-03-01T00:00:00"/>
    <s v="Mar"/>
  </r>
  <r>
    <s v="ORD0261"/>
    <d v="2025-05-29T00:00:00"/>
    <x v="3"/>
    <x v="1"/>
    <s v="L. Naidoo"/>
    <s v="External SSD 1TB"/>
    <x v="0"/>
    <n v="7"/>
    <n v="1820.71"/>
    <n v="12744.970000000001"/>
    <n v="10427.89"/>
    <n v="2317.0800000000017"/>
    <n v="0.18180348796427151"/>
    <d v="2025-05-01T00:00:00"/>
    <s v="May"/>
  </r>
  <r>
    <s v="ORD0262"/>
    <d v="2025-03-16T00:00:00"/>
    <x v="1"/>
    <x v="0"/>
    <s v="S. Jacobs"/>
    <s v="Standing Desk"/>
    <x v="1"/>
    <n v="3"/>
    <n v="13257.16"/>
    <n v="39771.479999999996"/>
    <n v="25632.41"/>
    <n v="14139.069999999996"/>
    <n v="0.35550776586639465"/>
    <d v="2025-03-01T00:00:00"/>
    <s v="Mar"/>
  </r>
  <r>
    <s v="ORD0263"/>
    <d v="2025-02-08T00:00:00"/>
    <x v="0"/>
    <x v="1"/>
    <s v="S. Jacobs"/>
    <s v="Wireless Headphones"/>
    <x v="0"/>
    <n v="6"/>
    <n v="3150.2"/>
    <n v="18901.199999999997"/>
    <n v="13176.61"/>
    <n v="5724.5899999999965"/>
    <n v="0.30286913000232774"/>
    <d v="2025-02-01T00:00:00"/>
    <s v="Feb"/>
  </r>
  <r>
    <s v="ORD0264"/>
    <d v="2025-11-22T00:00:00"/>
    <x v="2"/>
    <x v="0"/>
    <s v="T. Dlamini"/>
    <s v="Standing Desk"/>
    <x v="1"/>
    <n v="7"/>
    <n v="10689.1"/>
    <n v="74823.7"/>
    <n v="52281.68"/>
    <n v="22542.019999999997"/>
    <n v="0.3012684483659589"/>
    <d v="2025-11-01T00:00:00"/>
    <s v="Nov"/>
  </r>
  <r>
    <s v="ORD0265"/>
    <d v="2025-10-08T00:00:00"/>
    <x v="0"/>
    <x v="1"/>
    <s v="S. Jacobs"/>
    <s v="External SSD 1TB"/>
    <x v="0"/>
    <n v="6"/>
    <n v="5259.3"/>
    <n v="31555.800000000003"/>
    <n v="24075.21"/>
    <n v="7480.5900000000038"/>
    <n v="0.23705911433080457"/>
    <d v="2025-10-01T00:00:00"/>
    <s v="Oct"/>
  </r>
  <r>
    <s v="ORD0266"/>
    <d v="2025-01-09T00:00:00"/>
    <x v="3"/>
    <x v="0"/>
    <s v="L. Naidoo"/>
    <s v="Wireless Headphones"/>
    <x v="0"/>
    <n v="1"/>
    <n v="4959.13"/>
    <n v="4959.13"/>
    <n v="3385.46"/>
    <n v="1573.67"/>
    <n v="0.31732783774573364"/>
    <d v="2025-01-01T00:00:00"/>
    <s v="Jan"/>
  </r>
  <r>
    <s v="ORD0267"/>
    <d v="2025-05-21T00:00:00"/>
    <x v="3"/>
    <x v="1"/>
    <s v="S. Jacobs"/>
    <s v="Wireless Headphones"/>
    <x v="0"/>
    <n v="2"/>
    <n v="3753.27"/>
    <n v="7506.54"/>
    <n v="5982.05"/>
    <n v="1524.4899999999998"/>
    <n v="0.20308824038771522"/>
    <d v="2025-05-01T00:00:00"/>
    <s v="May"/>
  </r>
  <r>
    <s v="ORD0268"/>
    <d v="2025-11-17T00:00:00"/>
    <x v="1"/>
    <x v="1"/>
    <s v="L. Naidoo"/>
    <s v="Ergonomic Chair"/>
    <x v="1"/>
    <n v="2"/>
    <n v="21745.21"/>
    <n v="43490.42"/>
    <n v="25235.78"/>
    <n v="18254.64"/>
    <n v="0.41973933569737887"/>
    <d v="2025-11-01T00:00:00"/>
    <s v="Nov"/>
  </r>
  <r>
    <s v="ORD0269"/>
    <d v="2025-10-31T00:00:00"/>
    <x v="1"/>
    <x v="1"/>
    <s v="S. Jacobs"/>
    <s v="Mechanical Keyboard"/>
    <x v="2"/>
    <n v="1"/>
    <n v="4722.8"/>
    <n v="4722.8"/>
    <n v="3665.39"/>
    <n v="1057.4100000000003"/>
    <n v="0.22389472346912853"/>
    <d v="2025-10-01T00:00:00"/>
    <s v="Oct"/>
  </r>
  <r>
    <s v="ORD0270"/>
    <d v="2025-02-06T00:00:00"/>
    <x v="2"/>
    <x v="1"/>
    <s v="S. Jacobs"/>
    <s v="Mechanical Keyboard"/>
    <x v="2"/>
    <n v="2"/>
    <n v="1501.56"/>
    <n v="3003.12"/>
    <n v="2006.73"/>
    <n v="996.38999999999987"/>
    <n v="0.33178494365859501"/>
    <d v="2025-02-01T00:00:00"/>
    <s v="Feb"/>
  </r>
  <r>
    <s v="ORD0271"/>
    <d v="2025-03-10T00:00:00"/>
    <x v="3"/>
    <x v="0"/>
    <s v="N. Mthembu"/>
    <s v="Office Monitor 24"/>
    <x v="0"/>
    <n v="3"/>
    <n v="957.39"/>
    <n v="2872.17"/>
    <n v="2163.85"/>
    <n v="708.32000000000016"/>
    <n v="0.24661492878207075"/>
    <d v="2025-03-01T00:00:00"/>
    <s v="Mar"/>
  </r>
  <r>
    <s v="ORD0272"/>
    <d v="2025-12-18T00:00:00"/>
    <x v="1"/>
    <x v="0"/>
    <s v="S. Jacobs"/>
    <s v="Webcam HD"/>
    <x v="0"/>
    <n v="2"/>
    <n v="1083.9100000000001"/>
    <n v="2167.8200000000002"/>
    <n v="1321.41"/>
    <n v="846.41000000000008"/>
    <n v="0.39044293345388453"/>
    <d v="2025-12-01T00:00:00"/>
    <s v="Dec"/>
  </r>
  <r>
    <s v="ORD0273"/>
    <d v="2025-06-11T00:00:00"/>
    <x v="2"/>
    <x v="1"/>
    <s v="T. Dlamini"/>
    <s v="Office Monitor 24"/>
    <x v="0"/>
    <n v="2"/>
    <n v="3008.44"/>
    <n v="6016.88"/>
    <n v="4357.66"/>
    <n v="1659.2200000000003"/>
    <n v="0.27576085944875089"/>
    <d v="2025-06-01T00:00:00"/>
    <s v="Jun"/>
  </r>
  <r>
    <s v="ORD0274"/>
    <d v="2025-04-16T00:00:00"/>
    <x v="3"/>
    <x v="0"/>
    <s v="S. Jacobs"/>
    <s v="Desk Lamp"/>
    <x v="1"/>
    <n v="7"/>
    <n v="973.5"/>
    <n v="6814.5"/>
    <n v="4041.66"/>
    <n v="2772.84"/>
    <n v="0.40690292758089369"/>
    <d v="2025-04-01T00:00:00"/>
    <s v="Apr"/>
  </r>
  <r>
    <s v="ORD0275"/>
    <d v="2025-02-27T00:00:00"/>
    <x v="3"/>
    <x v="0"/>
    <s v="N. Mthembu"/>
    <s v="Mechanical Keyboard"/>
    <x v="2"/>
    <n v="1"/>
    <n v="1625.21"/>
    <n v="1625.21"/>
    <n v="1306.9000000000001"/>
    <n v="318.30999999999995"/>
    <n v="0.1958577660733074"/>
    <d v="2025-02-01T00:00:00"/>
    <s v="Feb"/>
  </r>
  <r>
    <s v="ORD0276"/>
    <d v="2025-08-04T00:00:00"/>
    <x v="0"/>
    <x v="1"/>
    <s v="A. Mokoena"/>
    <s v="Standing Desk"/>
    <x v="1"/>
    <n v="8"/>
    <n v="19582.580000000002"/>
    <n v="156660.64000000001"/>
    <n v="119827.86"/>
    <n v="36832.780000000013"/>
    <n v="0.23511189536823041"/>
    <d v="2025-08-01T00:00:00"/>
    <s v="Aug"/>
  </r>
  <r>
    <s v="ORD0277"/>
    <d v="2025-05-15T00:00:00"/>
    <x v="1"/>
    <x v="0"/>
    <s v="S. Jacobs"/>
    <s v="Mechanical Keyboard"/>
    <x v="2"/>
    <n v="7"/>
    <n v="1396.84"/>
    <n v="9777.8799999999992"/>
    <n v="7146.23"/>
    <n v="2631.6499999999996"/>
    <n v="0.26914320895736088"/>
    <d v="2025-05-01T00:00:00"/>
    <s v="May"/>
  </r>
  <r>
    <s v="ORD0278"/>
    <d v="2025-02-12T00:00:00"/>
    <x v="3"/>
    <x v="1"/>
    <s v="N. Mthembu"/>
    <s v="Desk Lamp"/>
    <x v="1"/>
    <n v="2"/>
    <n v="513.70000000000005"/>
    <n v="1027.4000000000001"/>
    <n v="721.97"/>
    <n v="305.43000000000006"/>
    <n v="0.29728440724158073"/>
    <d v="2025-02-01T00:00:00"/>
    <s v="Feb"/>
  </r>
  <r>
    <s v="ORD0279"/>
    <d v="2025-06-17T00:00:00"/>
    <x v="0"/>
    <x v="1"/>
    <s v="A. Mokoena"/>
    <s v="USB-C Hub"/>
    <x v="2"/>
    <n v="7"/>
    <n v="593.08000000000004"/>
    <n v="4151.5600000000004"/>
    <n v="3251.3"/>
    <n v="900.26000000000022"/>
    <n v="0.21684860630702679"/>
    <d v="2025-06-01T00:00:00"/>
    <s v="Jun"/>
  </r>
  <r>
    <s v="ORD0280"/>
    <d v="2025-08-11T00:00:00"/>
    <x v="0"/>
    <x v="1"/>
    <s v="S. Jacobs"/>
    <s v="Wireless Headphones"/>
    <x v="0"/>
    <n v="3"/>
    <n v="1247.25"/>
    <n v="3741.75"/>
    <n v="2805.92"/>
    <n v="935.82999999999993"/>
    <n v="0.25010489744103692"/>
    <d v="2025-08-01T00:00:00"/>
    <s v="Aug"/>
  </r>
  <r>
    <s v="ORD0281"/>
    <d v="2025-06-27T00:00:00"/>
    <x v="2"/>
    <x v="1"/>
    <s v="A. Mokoena"/>
    <s v="Desk Lamp"/>
    <x v="1"/>
    <n v="6"/>
    <n v="388.66"/>
    <n v="2331.96"/>
    <n v="1789.71"/>
    <n v="542.25"/>
    <n v="0.23252971749086604"/>
    <d v="2025-06-01T00:00:00"/>
    <s v="Jun"/>
  </r>
  <r>
    <s v="ORD0282"/>
    <d v="2025-06-21T00:00:00"/>
    <x v="0"/>
    <x v="0"/>
    <s v="N. Mthembu"/>
    <s v="USB-C Hub"/>
    <x v="2"/>
    <n v="2"/>
    <n v="518.6"/>
    <n v="1037.2"/>
    <n v="728.72"/>
    <n v="308.48"/>
    <n v="0.2974161203239491"/>
    <d v="2025-06-01T00:00:00"/>
    <s v="Jun"/>
  </r>
  <r>
    <s v="ORD0283"/>
    <d v="2025-03-27T00:00:00"/>
    <x v="0"/>
    <x v="1"/>
    <s v="N. Mthembu"/>
    <s v="Standing Desk"/>
    <x v="1"/>
    <n v="2"/>
    <n v="12489.89"/>
    <n v="24979.78"/>
    <n v="18529.72"/>
    <n v="6450.0599999999977"/>
    <n v="0.25821124125192446"/>
    <d v="2025-03-01T00:00:00"/>
    <s v="Mar"/>
  </r>
  <r>
    <s v="ORD0284"/>
    <d v="2025-01-02T00:00:00"/>
    <x v="3"/>
    <x v="1"/>
    <s v="N. Mthembu"/>
    <s v="Laptop Pro 14"/>
    <x v="0"/>
    <n v="8"/>
    <n v="8950.69"/>
    <n v="71605.52"/>
    <n v="57345.59"/>
    <n v="14259.930000000008"/>
    <n v="0.1991456803888863"/>
    <d v="2025-01-01T00:00:00"/>
    <s v="Jan"/>
  </r>
  <r>
    <s v="ORD0285"/>
    <d v="2025-12-02T00:00:00"/>
    <x v="0"/>
    <x v="0"/>
    <s v="A. Mokoena"/>
    <s v="USB-C Hub"/>
    <x v="2"/>
    <n v="7"/>
    <n v="545.91999999999996"/>
    <n v="3821.4399999999996"/>
    <n v="2509.86"/>
    <n v="1311.5799999999995"/>
    <n v="0.34321616982080044"/>
    <d v="2025-12-01T00:00:00"/>
    <s v="Dec"/>
  </r>
  <r>
    <s v="ORD0286"/>
    <d v="2025-09-15T00:00:00"/>
    <x v="1"/>
    <x v="0"/>
    <s v="T. Dlamini"/>
    <s v="Laptop Pro 14"/>
    <x v="0"/>
    <n v="1"/>
    <n v="13022.16"/>
    <n v="13022.16"/>
    <n v="7768.27"/>
    <n v="5253.8899999999994"/>
    <n v="0.40345764450751637"/>
    <d v="2025-09-01T00:00:00"/>
    <s v="Sep"/>
  </r>
  <r>
    <s v="ORD0287"/>
    <d v="2025-06-17T00:00:00"/>
    <x v="2"/>
    <x v="1"/>
    <s v="S. Jacobs"/>
    <s v="Wireless Headphones"/>
    <x v="0"/>
    <n v="6"/>
    <n v="4363.16"/>
    <n v="26178.959999999999"/>
    <n v="18726.169999999998"/>
    <n v="7452.7900000000009"/>
    <n v="0.28468625186027258"/>
    <d v="2025-06-01T00:00:00"/>
    <s v="Jun"/>
  </r>
  <r>
    <s v="ORD0288"/>
    <d v="2025-07-08T00:00:00"/>
    <x v="0"/>
    <x v="1"/>
    <s v="N. Mthembu"/>
    <s v="External SSD 1TB"/>
    <x v="0"/>
    <n v="4"/>
    <n v="2325.2800000000002"/>
    <n v="9301.1200000000008"/>
    <n v="7476.01"/>
    <n v="1825.1100000000006"/>
    <n v="0.19622475572834244"/>
    <d v="2025-07-01T00:00:00"/>
    <s v="Jul"/>
  </r>
  <r>
    <s v="ORD0289"/>
    <d v="2025-06-27T00:00:00"/>
    <x v="0"/>
    <x v="1"/>
    <s v="N. Mthembu"/>
    <s v="Laptop Pro 14"/>
    <x v="0"/>
    <n v="7"/>
    <n v="15499.28"/>
    <n v="108494.96"/>
    <n v="81862.880000000005"/>
    <n v="26632.080000000002"/>
    <n v="0.24546836092662738"/>
    <d v="2025-06-01T00:00:00"/>
    <s v="Jun"/>
  </r>
  <r>
    <s v="ORD0290"/>
    <d v="2025-05-02T00:00:00"/>
    <x v="1"/>
    <x v="0"/>
    <s v="S. Jacobs"/>
    <s v="USB-C Hub"/>
    <x v="2"/>
    <n v="5"/>
    <n v="362.85"/>
    <n v="1814.25"/>
    <n v="1453.41"/>
    <n v="360.83999999999992"/>
    <n v="0.198892104175279"/>
    <d v="2025-05-01T00:00:00"/>
    <s v="May"/>
  </r>
  <r>
    <s v="ORD0291"/>
    <d v="2025-02-13T00:00:00"/>
    <x v="1"/>
    <x v="1"/>
    <s v="L. Naidoo"/>
    <s v="External SSD 1TB"/>
    <x v="0"/>
    <n v="7"/>
    <n v="1823.53"/>
    <n v="12764.71"/>
    <n v="9143.07"/>
    <n v="3621.6399999999994"/>
    <n v="0.28372285778525325"/>
    <d v="2025-02-01T00:00:00"/>
    <s v="Feb"/>
  </r>
  <r>
    <s v="ORD0292"/>
    <d v="2025-05-30T00:00:00"/>
    <x v="0"/>
    <x v="1"/>
    <s v="L. Naidoo"/>
    <s v="Ergonomic Chair"/>
    <x v="1"/>
    <n v="6"/>
    <n v="13645.7"/>
    <n v="81874.200000000012"/>
    <n v="52830.92"/>
    <n v="29043.280000000013"/>
    <n v="0.35473055003896231"/>
    <d v="2025-05-01T00:00:00"/>
    <s v="May"/>
  </r>
  <r>
    <s v="ORD0293"/>
    <d v="2025-10-27T00:00:00"/>
    <x v="2"/>
    <x v="1"/>
    <s v="S. Jacobs"/>
    <s v="Wireless Headphones"/>
    <x v="0"/>
    <n v="8"/>
    <n v="1753.02"/>
    <n v="14024.16"/>
    <n v="9502.25"/>
    <n v="4521.91"/>
    <n v="0.32243713705491095"/>
    <d v="2025-10-01T00:00:00"/>
    <s v="Oct"/>
  </r>
  <r>
    <s v="ORD0294"/>
    <d v="2025-06-07T00:00:00"/>
    <x v="0"/>
    <x v="1"/>
    <s v="T. Dlamini"/>
    <s v="Webcam HD"/>
    <x v="0"/>
    <n v="3"/>
    <n v="363.04"/>
    <n v="1089.1200000000001"/>
    <n v="711.21"/>
    <n v="377.91000000000008"/>
    <n v="0.34698655795504629"/>
    <d v="2025-06-01T00:00:00"/>
    <s v="Jun"/>
  </r>
  <r>
    <s v="ORD0295"/>
    <d v="2025-03-17T00:00:00"/>
    <x v="2"/>
    <x v="1"/>
    <s v="A. Mokoena"/>
    <s v="Wireless Headphones"/>
    <x v="0"/>
    <n v="7"/>
    <n v="2940.9"/>
    <n v="20586.3"/>
    <n v="15285.82"/>
    <n v="5300.48"/>
    <n v="0.25747608846660158"/>
    <d v="2025-03-01T00:00:00"/>
    <s v="Mar"/>
  </r>
  <r>
    <s v="ORD0296"/>
    <d v="2025-07-27T00:00:00"/>
    <x v="0"/>
    <x v="1"/>
    <s v="A. Mokoena"/>
    <s v="Webcam HD"/>
    <x v="0"/>
    <n v="8"/>
    <n v="318.45"/>
    <n v="2547.6"/>
    <n v="1962.96"/>
    <n v="584.63999999999987"/>
    <n v="0.22948657560056521"/>
    <d v="2025-07-01T00:00:00"/>
    <s v="Jul"/>
  </r>
  <r>
    <s v="ORD0297"/>
    <d v="2025-04-24T00:00:00"/>
    <x v="0"/>
    <x v="1"/>
    <s v="A. Mokoena"/>
    <s v="Office Monitor 24"/>
    <x v="0"/>
    <n v="2"/>
    <n v="4249.84"/>
    <n v="8499.68"/>
    <n v="5457.79"/>
    <n v="3041.8900000000003"/>
    <n v="0.35788288500272952"/>
    <d v="2025-04-01T00:00:00"/>
    <s v="Apr"/>
  </r>
  <r>
    <s v="ORD0298"/>
    <d v="2025-04-12T00:00:00"/>
    <x v="0"/>
    <x v="1"/>
    <s v="N. Mthembu"/>
    <s v="Webcam HD"/>
    <x v="0"/>
    <n v="6"/>
    <n v="1087.22"/>
    <n v="6523.32"/>
    <n v="5258.76"/>
    <n v="1264.5599999999995"/>
    <n v="0.19385221022424157"/>
    <d v="2025-04-01T00:00:00"/>
    <s v="Apr"/>
  </r>
  <r>
    <s v="ORD0299"/>
    <d v="2025-08-10T00:00:00"/>
    <x v="3"/>
    <x v="0"/>
    <s v="T. Dlamini"/>
    <s v="USB-C Hub"/>
    <x v="2"/>
    <n v="7"/>
    <n v="599.04999999999995"/>
    <n v="4193.3499999999995"/>
    <n v="2648.23"/>
    <n v="1545.1199999999994"/>
    <n v="0.36846912373162261"/>
    <d v="2025-08-01T00:00:00"/>
    <s v="Aug"/>
  </r>
  <r>
    <s v="ORD0300"/>
    <d v="2025-08-17T00:00:00"/>
    <x v="1"/>
    <x v="1"/>
    <s v="A. Mokoena"/>
    <s v="Office Monitor 24"/>
    <x v="0"/>
    <n v="5"/>
    <n v="2912.35"/>
    <n v="14561.75"/>
    <n v="11530.97"/>
    <n v="3030.7800000000007"/>
    <n v="0.20813295105327317"/>
    <d v="2025-08-01T00:00:00"/>
    <s v="Aug"/>
  </r>
  <r>
    <s v="ORD0301"/>
    <d v="2025-05-24T00:00:00"/>
    <x v="0"/>
    <x v="0"/>
    <s v="T. Dlamini"/>
    <s v="USB-C Hub"/>
    <x v="2"/>
    <n v="4"/>
    <n v="465.87"/>
    <n v="1863.48"/>
    <n v="1439.58"/>
    <n v="423.90000000000009"/>
    <n v="0.22747762251271819"/>
    <d v="2025-05-01T00:00:00"/>
    <s v="May"/>
  </r>
  <r>
    <s v="ORD0302"/>
    <d v="2025-09-03T00:00:00"/>
    <x v="2"/>
    <x v="1"/>
    <s v="A. Mokoena"/>
    <s v="Desk Lamp"/>
    <x v="1"/>
    <n v="6"/>
    <n v="588.55999999999995"/>
    <n v="3531.3599999999997"/>
    <n v="2200.59"/>
    <n v="1330.7699999999995"/>
    <n v="0.37684348239771637"/>
    <d v="2025-09-01T00:00:00"/>
    <s v="Sep"/>
  </r>
  <r>
    <s v="ORD0303"/>
    <d v="2025-05-24T00:00:00"/>
    <x v="3"/>
    <x v="0"/>
    <s v="N. Mthembu"/>
    <s v="Laptop Pro 14"/>
    <x v="0"/>
    <n v="4"/>
    <n v="18313.75"/>
    <n v="73255"/>
    <n v="44248.38"/>
    <n v="29006.620000000003"/>
    <n v="0.39596778376902603"/>
    <d v="2025-05-01T00:00:00"/>
    <s v="May"/>
  </r>
  <r>
    <s v="ORD0304"/>
    <d v="2025-01-29T00:00:00"/>
    <x v="2"/>
    <x v="1"/>
    <s v="T. Dlamini"/>
    <s v="Mechanical Keyboard"/>
    <x v="2"/>
    <n v="3"/>
    <n v="3816.63"/>
    <n v="11449.89"/>
    <n v="8269.16"/>
    <n v="3180.7299999999996"/>
    <n v="0.27779568187991321"/>
    <d v="2025-01-01T00:00:00"/>
    <s v="Jan"/>
  </r>
  <r>
    <s v="ORD0305"/>
    <d v="2025-10-18T00:00:00"/>
    <x v="0"/>
    <x v="1"/>
    <s v="A. Mokoena"/>
    <s v="External SSD 1TB"/>
    <x v="0"/>
    <n v="8"/>
    <n v="2462.5700000000002"/>
    <n v="19700.560000000001"/>
    <n v="12256.38"/>
    <n v="7444.1800000000021"/>
    <n v="0.37786641598005344"/>
    <d v="2025-10-01T00:00:00"/>
    <s v="Oct"/>
  </r>
  <r>
    <s v="ORD0306"/>
    <d v="2025-04-30T00:00:00"/>
    <x v="3"/>
    <x v="1"/>
    <s v="T. Dlamini"/>
    <s v="External SSD 1TB"/>
    <x v="0"/>
    <n v="8"/>
    <n v="956.85"/>
    <n v="7654.8"/>
    <n v="6126.1"/>
    <n v="1528.6999999999998"/>
    <n v="0.19970476041176774"/>
    <d v="2025-04-01T00:00:00"/>
    <s v="Apr"/>
  </r>
  <r>
    <s v="ORD0307"/>
    <d v="2025-04-01T00:00:00"/>
    <x v="2"/>
    <x v="1"/>
    <s v="T. Dlamini"/>
    <s v="Standing Desk"/>
    <x v="1"/>
    <n v="3"/>
    <n v="10522.36"/>
    <n v="31567.08"/>
    <n v="24721.93"/>
    <n v="6845.1500000000015"/>
    <n v="0.21684457352406372"/>
    <d v="2025-04-01T00:00:00"/>
    <s v="Apr"/>
  </r>
  <r>
    <s v="ORD0308"/>
    <d v="2025-12-27T00:00:00"/>
    <x v="1"/>
    <x v="0"/>
    <s v="T. Dlamini"/>
    <s v="USB-C Hub"/>
    <x v="2"/>
    <n v="5"/>
    <n v="572.92999999999995"/>
    <n v="2864.6499999999996"/>
    <n v="2332.42"/>
    <n v="532.22999999999956"/>
    <n v="0.18579233065121381"/>
    <d v="2025-12-01T00:00:00"/>
    <s v="Dec"/>
  </r>
  <r>
    <s v="ORD0309"/>
    <d v="2025-03-31T00:00:00"/>
    <x v="2"/>
    <x v="1"/>
    <s v="L. Naidoo"/>
    <s v="Desk Lamp"/>
    <x v="1"/>
    <n v="3"/>
    <n v="466.37"/>
    <n v="1399.1100000000001"/>
    <n v="1057.95"/>
    <n v="341.16000000000008"/>
    <n v="0.24384072731951029"/>
    <d v="2025-03-01T00:00:00"/>
    <s v="Mar"/>
  </r>
  <r>
    <s v="ORD0310"/>
    <d v="2025-01-01T00:00:00"/>
    <x v="3"/>
    <x v="1"/>
    <s v="S. Jacobs"/>
    <s v="External SSD 1TB"/>
    <x v="0"/>
    <n v="6"/>
    <n v="1263.0999999999999"/>
    <n v="7578.5999999999995"/>
    <n v="6155.4"/>
    <n v="1423.1999999999998"/>
    <n v="0.18779194046393791"/>
    <d v="2025-01-01T00:00:00"/>
    <s v="Jan"/>
  </r>
  <r>
    <s v="ORD0311"/>
    <d v="2025-03-14T00:00:00"/>
    <x v="0"/>
    <x v="0"/>
    <s v="S. Jacobs"/>
    <s v="Standing Desk"/>
    <x v="1"/>
    <n v="6"/>
    <n v="23257.35"/>
    <n v="139544.09999999998"/>
    <n v="86558.23"/>
    <n v="52985.869999999981"/>
    <n v="0.37970698868673047"/>
    <d v="2025-03-01T00:00:00"/>
    <s v="Mar"/>
  </r>
  <r>
    <s v="ORD0312"/>
    <d v="2025-01-06T00:00:00"/>
    <x v="0"/>
    <x v="1"/>
    <s v="S. Jacobs"/>
    <s v="Ergonomic Chair"/>
    <x v="1"/>
    <n v="2"/>
    <n v="12063.15"/>
    <n v="24126.3"/>
    <n v="18550.349999999999"/>
    <n v="5575.9500000000007"/>
    <n v="0.23111500727421946"/>
    <d v="2025-01-01T00:00:00"/>
    <s v="Jan"/>
  </r>
  <r>
    <s v="ORD0313"/>
    <d v="2025-08-13T00:00:00"/>
    <x v="1"/>
    <x v="1"/>
    <s v="L. Naidoo"/>
    <s v="USB-C Hub"/>
    <x v="2"/>
    <n v="7"/>
    <n v="731.57"/>
    <n v="5120.9900000000007"/>
    <n v="3431.49"/>
    <n v="1689.5000000000009"/>
    <n v="0.32991667626767496"/>
    <d v="2025-08-01T00:00:00"/>
    <s v="Aug"/>
  </r>
  <r>
    <s v="ORD0314"/>
    <d v="2025-08-20T00:00:00"/>
    <x v="2"/>
    <x v="1"/>
    <s v="S. Jacobs"/>
    <s v="Wireless Headphones"/>
    <x v="0"/>
    <n v="6"/>
    <n v="3156.63"/>
    <n v="18939.78"/>
    <n v="11461.11"/>
    <n v="7478.6699999999983"/>
    <n v="0.39486572705701961"/>
    <d v="2025-08-01T00:00:00"/>
    <s v="Aug"/>
  </r>
  <r>
    <s v="ORD0315"/>
    <d v="2025-03-24T00:00:00"/>
    <x v="3"/>
    <x v="0"/>
    <s v="L. Naidoo"/>
    <s v="Wireless Headphones"/>
    <x v="0"/>
    <n v="8"/>
    <n v="1729.98"/>
    <n v="13839.84"/>
    <n v="9459.77"/>
    <n v="4380.07"/>
    <n v="0.31648270500236997"/>
    <d v="2025-03-01T00:00:00"/>
    <s v="Mar"/>
  </r>
  <r>
    <s v="ORD0316"/>
    <d v="2025-01-28T00:00:00"/>
    <x v="2"/>
    <x v="0"/>
    <s v="T. Dlamini"/>
    <s v="Wireless Headphones"/>
    <x v="0"/>
    <n v="7"/>
    <n v="2684.87"/>
    <n v="18794.09"/>
    <n v="14157.38"/>
    <n v="4636.7100000000009"/>
    <n v="0.24671106714930072"/>
    <d v="2025-01-01T00:00:00"/>
    <s v="Jan"/>
  </r>
  <r>
    <s v="ORD0317"/>
    <d v="2025-05-02T00:00:00"/>
    <x v="1"/>
    <x v="1"/>
    <s v="T. Dlamini"/>
    <s v="Wireless Headphones"/>
    <x v="0"/>
    <n v="8"/>
    <n v="3832.7"/>
    <n v="30661.599999999999"/>
    <n v="20438.990000000002"/>
    <n v="10222.609999999997"/>
    <n v="0.33340106191457713"/>
    <d v="2025-05-01T00:00:00"/>
    <s v="May"/>
  </r>
  <r>
    <s v="ORD0318"/>
    <d v="2025-12-05T00:00:00"/>
    <x v="0"/>
    <x v="0"/>
    <s v="A. Mokoena"/>
    <s v="External SSD 1TB"/>
    <x v="0"/>
    <n v="1"/>
    <n v="2386.4299999999998"/>
    <n v="2386.4299999999998"/>
    <n v="1749.65"/>
    <n v="636.77999999999975"/>
    <n v="0.2668337223383882"/>
    <d v="2025-12-01T00:00:00"/>
    <s v="Dec"/>
  </r>
  <r>
    <s v="ORD0319"/>
    <d v="2025-06-07T00:00:00"/>
    <x v="3"/>
    <x v="0"/>
    <s v="S. Jacobs"/>
    <s v="USB-C Hub"/>
    <x v="2"/>
    <n v="5"/>
    <n v="1070.6500000000001"/>
    <n v="5353.25"/>
    <n v="3803.97"/>
    <n v="1549.2800000000002"/>
    <n v="0.28940923737916224"/>
    <d v="2025-06-01T00:00:00"/>
    <s v="Jun"/>
  </r>
  <r>
    <s v="ORD0320"/>
    <d v="2025-07-09T00:00:00"/>
    <x v="2"/>
    <x v="1"/>
    <s v="L. Naidoo"/>
    <s v="Office Monitor 24"/>
    <x v="0"/>
    <n v="8"/>
    <n v="1256.1600000000001"/>
    <n v="10049.280000000001"/>
    <n v="6374.24"/>
    <n v="3675.0400000000009"/>
    <n v="0.36570182142402247"/>
    <d v="2025-07-01T00:00:00"/>
    <s v="Jul"/>
  </r>
  <r>
    <s v="ORD0321"/>
    <d v="2025-12-23T00:00:00"/>
    <x v="0"/>
    <x v="0"/>
    <s v="N. Mthembu"/>
    <s v="Wireless Headphones"/>
    <x v="0"/>
    <n v="7"/>
    <n v="4065.83"/>
    <n v="28460.809999999998"/>
    <n v="20535.45"/>
    <n v="7925.3599999999969"/>
    <n v="0.27846572181185275"/>
    <d v="2025-12-01T00:00:00"/>
    <s v="Dec"/>
  </r>
  <r>
    <s v="ORD0322"/>
    <d v="2025-08-03T00:00:00"/>
    <x v="0"/>
    <x v="1"/>
    <s v="A. Mokoena"/>
    <s v="Desk Lamp"/>
    <x v="1"/>
    <n v="4"/>
    <n v="832.03"/>
    <n v="3328.12"/>
    <n v="1993.37"/>
    <n v="1334.75"/>
    <n v="0.40105224571229403"/>
    <d v="2025-08-01T00:00:00"/>
    <s v="Aug"/>
  </r>
  <r>
    <s v="ORD0323"/>
    <d v="2025-08-18T00:00:00"/>
    <x v="1"/>
    <x v="1"/>
    <s v="L. Naidoo"/>
    <s v="Office Monitor 24"/>
    <x v="0"/>
    <n v="4"/>
    <n v="2438"/>
    <n v="9752"/>
    <n v="6647.06"/>
    <n v="3104.9399999999996"/>
    <n v="0.31839007383100898"/>
    <d v="2025-08-01T00:00:00"/>
    <s v="Aug"/>
  </r>
  <r>
    <s v="ORD0324"/>
    <d v="2025-11-01T00:00:00"/>
    <x v="2"/>
    <x v="0"/>
    <s v="A. Mokoena"/>
    <s v="Ergonomic Chair"/>
    <x v="1"/>
    <n v="7"/>
    <n v="14398.5"/>
    <n v="100789.5"/>
    <n v="71811.81"/>
    <n v="28977.690000000002"/>
    <n v="0.28750703198249822"/>
    <d v="2025-11-01T00:00:00"/>
    <s v="Nov"/>
  </r>
  <r>
    <s v="ORD0325"/>
    <d v="2025-12-25T00:00:00"/>
    <x v="0"/>
    <x v="1"/>
    <s v="N. Mthembu"/>
    <s v="External SSD 1TB"/>
    <x v="0"/>
    <n v="7"/>
    <n v="4033.1"/>
    <n v="28231.7"/>
    <n v="20213.400000000001"/>
    <n v="8018.2999999999993"/>
    <n v="0.28401761140845216"/>
    <d v="2025-12-01T00:00:00"/>
    <s v="Dec"/>
  </r>
  <r>
    <s v="ORD0326"/>
    <d v="2025-02-21T00:00:00"/>
    <x v="1"/>
    <x v="1"/>
    <s v="L. Naidoo"/>
    <s v="Ergonomic Chair"/>
    <x v="1"/>
    <n v="7"/>
    <n v="16936.509999999998"/>
    <n v="118555.56999999999"/>
    <n v="87393.12"/>
    <n v="31162.449999999997"/>
    <n v="0.26285099890287733"/>
    <d v="2025-02-01T00:00:00"/>
    <s v="Feb"/>
  </r>
  <r>
    <s v="ORD0327"/>
    <d v="2025-05-22T00:00:00"/>
    <x v="3"/>
    <x v="1"/>
    <s v="S. Jacobs"/>
    <s v="USB-C Hub"/>
    <x v="2"/>
    <n v="7"/>
    <n v="311.52"/>
    <n v="2180.64"/>
    <n v="1438.26"/>
    <n v="742.37999999999988"/>
    <n v="0.34044133832269424"/>
    <d v="2025-05-01T00:00:00"/>
    <s v="May"/>
  </r>
  <r>
    <s v="ORD0328"/>
    <d v="2025-05-18T00:00:00"/>
    <x v="0"/>
    <x v="1"/>
    <s v="L. Naidoo"/>
    <s v="Standing Desk"/>
    <x v="1"/>
    <n v="5"/>
    <n v="8978.19"/>
    <n v="44890.950000000004"/>
    <n v="35117.43"/>
    <n v="9773.5200000000041"/>
    <n v="0.21771693403681594"/>
    <d v="2025-05-01T00:00:00"/>
    <s v="May"/>
  </r>
  <r>
    <s v="ORD0329"/>
    <d v="2025-06-03T00:00:00"/>
    <x v="1"/>
    <x v="1"/>
    <s v="S. Jacobs"/>
    <s v="Webcam HD"/>
    <x v="0"/>
    <n v="7"/>
    <n v="536.02"/>
    <n v="3752.14"/>
    <n v="2256.65"/>
    <n v="1495.4899999999998"/>
    <n v="0.3985698827868896"/>
    <d v="2025-06-01T00:00:00"/>
    <s v="Jun"/>
  </r>
  <r>
    <s v="ORD0330"/>
    <d v="2025-09-06T00:00:00"/>
    <x v="1"/>
    <x v="1"/>
    <s v="N. Mthembu"/>
    <s v="Desk Lamp"/>
    <x v="1"/>
    <n v="3"/>
    <n v="709.5"/>
    <n v="2128.5"/>
    <n v="1597.01"/>
    <n v="531.49"/>
    <n v="0.24970166784120273"/>
    <d v="2025-09-01T00:00:00"/>
    <s v="Sep"/>
  </r>
  <r>
    <s v="ORD0331"/>
    <d v="2025-10-19T00:00:00"/>
    <x v="1"/>
    <x v="1"/>
    <s v="T. Dlamini"/>
    <s v="Laptop Pro 14"/>
    <x v="0"/>
    <n v="4"/>
    <n v="12644.37"/>
    <n v="50577.48"/>
    <n v="32363.4"/>
    <n v="18214.080000000002"/>
    <n v="0.36012233112444514"/>
    <d v="2025-10-01T00:00:00"/>
    <s v="Oct"/>
  </r>
  <r>
    <s v="ORD0332"/>
    <d v="2025-12-27T00:00:00"/>
    <x v="0"/>
    <x v="1"/>
    <s v="L. Naidoo"/>
    <s v="Mechanical Keyboard"/>
    <x v="2"/>
    <n v="8"/>
    <n v="3921.02"/>
    <n v="31368.16"/>
    <n v="22977.13"/>
    <n v="8391.0299999999988"/>
    <n v="0.26750150471050899"/>
    <d v="2025-12-01T00:00:00"/>
    <s v="Dec"/>
  </r>
  <r>
    <s v="ORD0333"/>
    <d v="2025-07-10T00:00:00"/>
    <x v="3"/>
    <x v="0"/>
    <s v="A. Mokoena"/>
    <s v="Webcam HD"/>
    <x v="0"/>
    <n v="8"/>
    <n v="438.49"/>
    <n v="3507.92"/>
    <n v="2329.06"/>
    <n v="1178.8600000000001"/>
    <n v="0.33605669456544052"/>
    <d v="2025-07-01T00:00:00"/>
    <s v="Jul"/>
  </r>
  <r>
    <s v="ORD0334"/>
    <d v="2025-05-26T00:00:00"/>
    <x v="3"/>
    <x v="0"/>
    <s v="S. Jacobs"/>
    <s v="Laptop Pro 14"/>
    <x v="0"/>
    <n v="4"/>
    <n v="16428.12"/>
    <n v="65712.479999999996"/>
    <n v="48323.06"/>
    <n v="17389.419999999998"/>
    <n v="0.26462888023705694"/>
    <d v="2025-05-01T00:00:00"/>
    <s v="May"/>
  </r>
  <r>
    <s v="ORD0335"/>
    <d v="2025-09-20T00:00:00"/>
    <x v="0"/>
    <x v="1"/>
    <s v="T. Dlamini"/>
    <s v="Laptop Pro 14"/>
    <x v="0"/>
    <n v="3"/>
    <n v="22426.07"/>
    <n v="67278.209999999992"/>
    <n v="48727.86"/>
    <n v="18550.349999999991"/>
    <n v="0.27572597427904211"/>
    <d v="2025-09-01T00:00:00"/>
    <s v="Sep"/>
  </r>
  <r>
    <s v="ORD0336"/>
    <d v="2025-11-08T00:00:00"/>
    <x v="3"/>
    <x v="0"/>
    <s v="T. Dlamini"/>
    <s v="Ergonomic Chair"/>
    <x v="1"/>
    <n v="7"/>
    <n v="22130.95"/>
    <n v="154916.65"/>
    <n v="106917.2"/>
    <n v="47999.45"/>
    <n v="0.30984048518993923"/>
    <d v="2025-11-01T00:00:00"/>
    <s v="Nov"/>
  </r>
  <r>
    <s v="ORD0337"/>
    <d v="2025-12-13T00:00:00"/>
    <x v="2"/>
    <x v="0"/>
    <s v="T. Dlamini"/>
    <s v="Desk Lamp"/>
    <x v="1"/>
    <n v="2"/>
    <n v="764.45"/>
    <n v="1528.9"/>
    <n v="1253.49"/>
    <n v="275.41000000000008"/>
    <n v="0.18013604552292503"/>
    <d v="2025-12-01T00:00:00"/>
    <s v="Dec"/>
  </r>
  <r>
    <s v="ORD0338"/>
    <d v="2025-12-17T00:00:00"/>
    <x v="2"/>
    <x v="0"/>
    <s v="L. Naidoo"/>
    <s v="Wireless Headphones"/>
    <x v="0"/>
    <n v="5"/>
    <n v="1461.99"/>
    <n v="7309.95"/>
    <n v="5751.16"/>
    <n v="1558.79"/>
    <n v="0.21324222463901943"/>
    <d v="2025-12-01T00:00:00"/>
    <s v="Dec"/>
  </r>
  <r>
    <s v="ORD0339"/>
    <d v="2025-03-18T00:00:00"/>
    <x v="1"/>
    <x v="0"/>
    <s v="L. Naidoo"/>
    <s v="Desk Lamp"/>
    <x v="1"/>
    <n v="1"/>
    <n v="1242.53"/>
    <n v="1242.53"/>
    <n v="959.94"/>
    <n v="282.58999999999992"/>
    <n v="0.22743112842345853"/>
    <d v="2025-03-01T00:00:00"/>
    <s v="Mar"/>
  </r>
  <r>
    <s v="ORD0340"/>
    <d v="2025-01-14T00:00:00"/>
    <x v="3"/>
    <x v="0"/>
    <s v="L. Naidoo"/>
    <s v="Webcam HD"/>
    <x v="0"/>
    <n v="7"/>
    <n v="1155.52"/>
    <n v="8088.6399999999994"/>
    <n v="6121.61"/>
    <n v="1967.0299999999997"/>
    <n v="0.2431842683071567"/>
    <d v="2025-01-01T00:00:00"/>
    <s v="Jan"/>
  </r>
  <r>
    <s v="ORD0341"/>
    <d v="2025-12-18T00:00:00"/>
    <x v="3"/>
    <x v="0"/>
    <s v="A. Mokoena"/>
    <s v="Desk Lamp"/>
    <x v="1"/>
    <n v="6"/>
    <n v="1179.72"/>
    <n v="7078.32"/>
    <n v="5541.62"/>
    <n v="1536.6999999999998"/>
    <n v="0.21709953774341934"/>
    <d v="2025-12-01T00:00:00"/>
    <s v="Dec"/>
  </r>
  <r>
    <s v="ORD0342"/>
    <d v="2025-08-30T00:00:00"/>
    <x v="0"/>
    <x v="1"/>
    <s v="T. Dlamini"/>
    <s v="Office Monitor 24"/>
    <x v="0"/>
    <n v="3"/>
    <n v="3287.76"/>
    <n v="9863.2800000000007"/>
    <n v="7850.2"/>
    <n v="2013.0800000000008"/>
    <n v="0.20409843378673229"/>
    <d v="2025-08-01T00:00:00"/>
    <s v="Aug"/>
  </r>
  <r>
    <s v="ORD0343"/>
    <d v="2025-04-25T00:00:00"/>
    <x v="0"/>
    <x v="0"/>
    <s v="A. Mokoena"/>
    <s v="Ergonomic Chair"/>
    <x v="1"/>
    <n v="5"/>
    <n v="16160.93"/>
    <n v="80804.649999999994"/>
    <n v="55860.46"/>
    <n v="24944.189999999995"/>
    <n v="0.30869745738642512"/>
    <d v="2025-04-01T00:00:00"/>
    <s v="Apr"/>
  </r>
  <r>
    <s v="ORD0344"/>
    <d v="2025-11-21T00:00:00"/>
    <x v="1"/>
    <x v="0"/>
    <s v="S. Jacobs"/>
    <s v="External SSD 1TB"/>
    <x v="0"/>
    <n v="4"/>
    <n v="1483.14"/>
    <n v="5932.56"/>
    <n v="4676.04"/>
    <n v="1256.5200000000004"/>
    <n v="0.21180063918443309"/>
    <d v="2025-11-01T00:00:00"/>
    <s v="Nov"/>
  </r>
  <r>
    <s v="ORD0345"/>
    <d v="2025-01-28T00:00:00"/>
    <x v="1"/>
    <x v="1"/>
    <s v="T. Dlamini"/>
    <s v="Office Monitor 24"/>
    <x v="0"/>
    <n v="7"/>
    <n v="2787.49"/>
    <n v="19512.43"/>
    <n v="15498.39"/>
    <n v="4014.0400000000009"/>
    <n v="0.20571707368072562"/>
    <d v="2025-01-01T00:00:00"/>
    <s v="Jan"/>
  </r>
  <r>
    <s v="ORD0346"/>
    <d v="2025-04-03T00:00:00"/>
    <x v="1"/>
    <x v="0"/>
    <s v="L. Naidoo"/>
    <s v="Wireless Headphones"/>
    <x v="0"/>
    <n v="3"/>
    <n v="3488.76"/>
    <n v="10466.280000000001"/>
    <n v="6216.17"/>
    <n v="4250.1100000000006"/>
    <n v="0.40607646651914531"/>
    <d v="2025-04-01T00:00:00"/>
    <s v="Apr"/>
  </r>
  <r>
    <s v="ORD0347"/>
    <d v="2025-03-28T00:00:00"/>
    <x v="1"/>
    <x v="0"/>
    <s v="S. Jacobs"/>
    <s v="External SSD 1TB"/>
    <x v="0"/>
    <n v="2"/>
    <n v="2034.16"/>
    <n v="4068.32"/>
    <n v="2783.1"/>
    <n v="1285.2200000000003"/>
    <n v="0.31590926967396865"/>
    <d v="2025-03-01T00:00:00"/>
    <s v="Mar"/>
  </r>
  <r>
    <s v="ORD0348"/>
    <d v="2025-09-02T00:00:00"/>
    <x v="2"/>
    <x v="1"/>
    <s v="A. Mokoena"/>
    <s v="USB-C Hub"/>
    <x v="2"/>
    <n v="4"/>
    <n v="832.72"/>
    <n v="3330.88"/>
    <n v="2691.41"/>
    <n v="639.47000000000025"/>
    <n v="0.1919822989720435"/>
    <d v="2025-09-01T00:00:00"/>
    <s v="Sep"/>
  </r>
  <r>
    <s v="ORD0349"/>
    <d v="2025-12-13T00:00:00"/>
    <x v="2"/>
    <x v="1"/>
    <s v="A. Mokoena"/>
    <s v="Laptop Pro 14"/>
    <x v="0"/>
    <n v="6"/>
    <n v="18542.919999999998"/>
    <n v="111257.51999999999"/>
    <n v="67271.86"/>
    <n v="43985.659999999989"/>
    <n v="0.39534999521830066"/>
    <d v="2025-12-01T00:00:00"/>
    <s v="Dec"/>
  </r>
  <r>
    <s v="ORD0350"/>
    <d v="2025-01-24T00:00:00"/>
    <x v="3"/>
    <x v="0"/>
    <s v="S. Jacobs"/>
    <s v="Ergonomic Chair"/>
    <x v="1"/>
    <n v="6"/>
    <n v="13581.39"/>
    <n v="81488.34"/>
    <n v="60694.74"/>
    <n v="20793.599999999999"/>
    <n v="0.25517270323582492"/>
    <d v="2025-01-01T00:00:00"/>
    <s v="Jan"/>
  </r>
  <r>
    <s v="ORD0351"/>
    <d v="2025-07-03T00:00:00"/>
    <x v="3"/>
    <x v="1"/>
    <s v="N. Mthembu"/>
    <s v="Mechanical Keyboard"/>
    <x v="2"/>
    <n v="4"/>
    <n v="3972.21"/>
    <n v="15888.84"/>
    <n v="12971.19"/>
    <n v="2917.6499999999996"/>
    <n v="0.18362888669028071"/>
    <d v="2025-07-01T00:00:00"/>
    <s v="Jul"/>
  </r>
  <r>
    <s v="ORD0352"/>
    <d v="2025-09-16T00:00:00"/>
    <x v="0"/>
    <x v="1"/>
    <s v="A. Mokoena"/>
    <s v="Office Monitor 24"/>
    <x v="0"/>
    <n v="1"/>
    <n v="3805.58"/>
    <n v="3805.58"/>
    <n v="2792.07"/>
    <n v="1013.5099999999998"/>
    <n v="0.26632208493843246"/>
    <d v="2025-09-01T00:00:00"/>
    <s v="Sep"/>
  </r>
  <r>
    <s v="ORD0353"/>
    <d v="2025-12-01T00:00:00"/>
    <x v="1"/>
    <x v="1"/>
    <s v="L. Naidoo"/>
    <s v="Laptop Pro 14"/>
    <x v="0"/>
    <n v="8"/>
    <n v="9555.5400000000009"/>
    <n v="76444.320000000007"/>
    <n v="54378.5"/>
    <n v="22065.820000000007"/>
    <n v="0.28865218501518497"/>
    <d v="2025-12-01T00:00:00"/>
    <s v="Dec"/>
  </r>
  <r>
    <s v="ORD0354"/>
    <d v="2025-12-22T00:00:00"/>
    <x v="3"/>
    <x v="0"/>
    <s v="A. Mokoena"/>
    <s v="Laptop Pro 14"/>
    <x v="0"/>
    <n v="2"/>
    <n v="14385.78"/>
    <n v="28771.56"/>
    <n v="18551.740000000002"/>
    <n v="10219.82"/>
    <n v="0.35520562666744521"/>
    <d v="2025-12-01T00:00:00"/>
    <s v="Dec"/>
  </r>
  <r>
    <s v="ORD0355"/>
    <d v="2025-09-19T00:00:00"/>
    <x v="2"/>
    <x v="1"/>
    <s v="T. Dlamini"/>
    <s v="External SSD 1TB"/>
    <x v="0"/>
    <n v="2"/>
    <n v="3213.55"/>
    <n v="6427.1"/>
    <n v="4667.1099999999997"/>
    <n v="1759.9900000000007"/>
    <n v="0.27383890090398477"/>
    <d v="2025-09-01T00:00:00"/>
    <s v="Sep"/>
  </r>
  <r>
    <s v="ORD0356"/>
    <d v="2025-12-27T00:00:00"/>
    <x v="1"/>
    <x v="0"/>
    <s v="L. Naidoo"/>
    <s v="USB-C Hub"/>
    <x v="2"/>
    <n v="8"/>
    <n v="313.8"/>
    <n v="2510.4"/>
    <n v="1870.67"/>
    <n v="639.73"/>
    <n v="0.25483189929891653"/>
    <d v="2025-12-01T00:00:00"/>
    <s v="Dec"/>
  </r>
  <r>
    <s v="ORD0357"/>
    <d v="2025-01-02T00:00:00"/>
    <x v="3"/>
    <x v="1"/>
    <s v="N. Mthembu"/>
    <s v="Laptop Pro 14"/>
    <x v="0"/>
    <n v="2"/>
    <n v="21345.200000000001"/>
    <n v="42690.400000000001"/>
    <n v="31615.03"/>
    <n v="11075.370000000003"/>
    <n v="0.25943467383767782"/>
    <d v="2025-01-01T00:00:00"/>
    <s v="Jan"/>
  </r>
  <r>
    <s v="ORD0358"/>
    <d v="2025-02-08T00:00:00"/>
    <x v="3"/>
    <x v="1"/>
    <s v="T. Dlamini"/>
    <s v="Wireless Headphones"/>
    <x v="0"/>
    <n v="5"/>
    <n v="2661.24"/>
    <n v="13306.199999999999"/>
    <n v="7877.53"/>
    <n v="5428.6699999999992"/>
    <n v="0.4079804902977559"/>
    <d v="2025-02-01T00:00:00"/>
    <s v="Feb"/>
  </r>
  <r>
    <s v="ORD0359"/>
    <d v="2025-07-04T00:00:00"/>
    <x v="3"/>
    <x v="0"/>
    <s v="T. Dlamini"/>
    <s v="Standing Desk"/>
    <x v="1"/>
    <n v="1"/>
    <n v="14412.01"/>
    <n v="14412.01"/>
    <n v="8837.66"/>
    <n v="5574.35"/>
    <n v="0.38678504941364877"/>
    <d v="2025-07-01T00:00:00"/>
    <s v="Jul"/>
  </r>
  <r>
    <s v="ORD0360"/>
    <d v="2025-08-13T00:00:00"/>
    <x v="1"/>
    <x v="0"/>
    <s v="S. Jacobs"/>
    <s v="External SSD 1TB"/>
    <x v="0"/>
    <n v="6"/>
    <n v="1555.65"/>
    <n v="9333.9000000000015"/>
    <n v="6311.46"/>
    <n v="3022.4400000000014"/>
    <n v="0.32381319705589312"/>
    <d v="2025-08-01T00:00:00"/>
    <s v="Aug"/>
  </r>
  <r>
    <s v="ORD0361"/>
    <d v="2025-12-20T00:00:00"/>
    <x v="3"/>
    <x v="1"/>
    <s v="S. Jacobs"/>
    <s v="Webcam HD"/>
    <x v="0"/>
    <n v="3"/>
    <n v="379.32"/>
    <n v="1137.96"/>
    <n v="676.03"/>
    <n v="461.93000000000006"/>
    <n v="0.40592815213188516"/>
    <d v="2025-12-01T00:00:00"/>
    <s v="Dec"/>
  </r>
  <r>
    <s v="ORD0362"/>
    <d v="2025-10-30T00:00:00"/>
    <x v="3"/>
    <x v="0"/>
    <s v="S. Jacobs"/>
    <s v="Webcam HD"/>
    <x v="0"/>
    <n v="7"/>
    <n v="459.29"/>
    <n v="3215.03"/>
    <n v="2336.4499999999998"/>
    <n v="878.58000000000038"/>
    <n v="0.27327272218299686"/>
    <d v="2025-10-01T00:00:00"/>
    <s v="Oct"/>
  </r>
  <r>
    <s v="ORD0363"/>
    <d v="2025-02-27T00:00:00"/>
    <x v="3"/>
    <x v="0"/>
    <s v="N. Mthembu"/>
    <s v="USB-C Hub"/>
    <x v="2"/>
    <n v="5"/>
    <n v="323.73"/>
    <n v="1618.65"/>
    <n v="943.62"/>
    <n v="675.03000000000009"/>
    <n v="0.41703271244555651"/>
    <d v="2025-02-01T00:00:00"/>
    <s v="Feb"/>
  </r>
  <r>
    <s v="ORD0364"/>
    <d v="2025-09-25T00:00:00"/>
    <x v="1"/>
    <x v="1"/>
    <s v="N. Mthembu"/>
    <s v="External SSD 1TB"/>
    <x v="0"/>
    <n v="4"/>
    <n v="4428.9399999999996"/>
    <n v="17715.759999999998"/>
    <n v="13097.09"/>
    <n v="4618.6699999999983"/>
    <n v="0.26070967319494048"/>
    <d v="2025-09-01T00:00:00"/>
    <s v="Sep"/>
  </r>
  <r>
    <s v="ORD0365"/>
    <d v="2025-11-10T00:00:00"/>
    <x v="0"/>
    <x v="0"/>
    <s v="T. Dlamini"/>
    <s v="Laptop Pro 14"/>
    <x v="0"/>
    <n v="8"/>
    <n v="9836.74"/>
    <n v="78693.919999999998"/>
    <n v="62062.73"/>
    <n v="16631.189999999995"/>
    <n v="0.21134021535590036"/>
    <d v="2025-11-01T00:00:00"/>
    <s v="Nov"/>
  </r>
  <r>
    <s v="ORD0366"/>
    <d v="2025-05-04T00:00:00"/>
    <x v="3"/>
    <x v="1"/>
    <s v="S. Jacobs"/>
    <s v="Standing Desk"/>
    <x v="1"/>
    <n v="4"/>
    <n v="13693.91"/>
    <n v="54775.64"/>
    <n v="36747.5"/>
    <n v="18028.14"/>
    <n v="0.32912696227739191"/>
    <d v="2025-05-01T00:00:00"/>
    <s v="May"/>
  </r>
  <r>
    <s v="ORD0367"/>
    <d v="2025-08-16T00:00:00"/>
    <x v="1"/>
    <x v="1"/>
    <s v="A. Mokoena"/>
    <s v="External SSD 1TB"/>
    <x v="0"/>
    <n v="8"/>
    <n v="1603.84"/>
    <n v="12830.72"/>
    <n v="7807.36"/>
    <n v="5023.3599999999997"/>
    <n v="0.39151037509976055"/>
    <d v="2025-08-01T00:00:00"/>
    <s v="Aug"/>
  </r>
  <r>
    <s v="ORD0368"/>
    <d v="2025-07-26T00:00:00"/>
    <x v="2"/>
    <x v="1"/>
    <s v="S. Jacobs"/>
    <s v="USB-C Hub"/>
    <x v="2"/>
    <n v="2"/>
    <n v="1158.9000000000001"/>
    <n v="2317.8000000000002"/>
    <n v="1880.11"/>
    <n v="437.69000000000028"/>
    <n v="0.18883855380101833"/>
    <d v="2025-07-01T00:00:00"/>
    <s v="Jul"/>
  </r>
  <r>
    <s v="ORD0369"/>
    <d v="2025-06-24T00:00:00"/>
    <x v="1"/>
    <x v="0"/>
    <s v="S. Jacobs"/>
    <s v="Standing Desk"/>
    <x v="1"/>
    <n v="8"/>
    <n v="9556.68"/>
    <n v="76453.440000000002"/>
    <n v="58424.18"/>
    <n v="18029.260000000002"/>
    <n v="0.23582012791052961"/>
    <d v="2025-06-01T00:00:00"/>
    <s v="Jun"/>
  </r>
  <r>
    <s v="ORD0370"/>
    <d v="2025-02-28T00:00:00"/>
    <x v="2"/>
    <x v="0"/>
    <s v="A. Mokoena"/>
    <s v="Wireless Headphones"/>
    <x v="0"/>
    <n v="6"/>
    <n v="2637.31"/>
    <n v="15823.86"/>
    <n v="11584.31"/>
    <n v="4239.5500000000011"/>
    <n v="0.2679213542081389"/>
    <d v="2025-02-01T00:00:00"/>
    <s v="Feb"/>
  </r>
  <r>
    <s v="ORD0371"/>
    <d v="2025-01-24T00:00:00"/>
    <x v="3"/>
    <x v="1"/>
    <s v="S. Jacobs"/>
    <s v="Office Monitor 24"/>
    <x v="0"/>
    <n v="7"/>
    <n v="1888.85"/>
    <n v="13221.949999999999"/>
    <n v="9607.1299999999992"/>
    <n v="3614.8199999999997"/>
    <n v="0.27339537662750202"/>
    <d v="2025-01-01T00:00:00"/>
    <s v="Jan"/>
  </r>
  <r>
    <s v="ORD0372"/>
    <d v="2025-04-21T00:00:00"/>
    <x v="0"/>
    <x v="0"/>
    <s v="S. Jacobs"/>
    <s v="Webcam HD"/>
    <x v="0"/>
    <n v="6"/>
    <n v="905.89"/>
    <n v="5435.34"/>
    <n v="3693.17"/>
    <n v="1742.17"/>
    <n v="0.3205264068117174"/>
    <d v="2025-04-01T00:00:00"/>
    <s v="Apr"/>
  </r>
  <r>
    <s v="ORD0373"/>
    <d v="2025-12-04T00:00:00"/>
    <x v="1"/>
    <x v="0"/>
    <s v="N. Mthembu"/>
    <s v="External SSD 1TB"/>
    <x v="0"/>
    <n v="1"/>
    <n v="2014.16"/>
    <n v="2014.16"/>
    <n v="1191.69"/>
    <n v="822.47"/>
    <n v="0.40834392501092265"/>
    <d v="2025-12-01T00:00:00"/>
    <s v="Dec"/>
  </r>
  <r>
    <s v="ORD0374"/>
    <d v="2025-04-01T00:00:00"/>
    <x v="2"/>
    <x v="0"/>
    <s v="S. Jacobs"/>
    <s v="External SSD 1TB"/>
    <x v="0"/>
    <n v="7"/>
    <n v="2012.47"/>
    <n v="14087.29"/>
    <n v="10220.030000000001"/>
    <n v="3867.26"/>
    <n v="0.27452121735266327"/>
    <d v="2025-04-01T00:00:00"/>
    <s v="Apr"/>
  </r>
  <r>
    <s v="ORD0375"/>
    <d v="2025-11-08T00:00:00"/>
    <x v="1"/>
    <x v="0"/>
    <s v="N. Mthembu"/>
    <s v="Mechanical Keyboard"/>
    <x v="2"/>
    <n v="5"/>
    <n v="4119.78"/>
    <n v="20598.899999999998"/>
    <n v="12606.72"/>
    <n v="7992.1799999999985"/>
    <n v="0.38799062085839531"/>
    <d v="2025-11-01T00:00:00"/>
    <s v="Nov"/>
  </r>
  <r>
    <s v="ORD0376"/>
    <d v="2025-06-10T00:00:00"/>
    <x v="2"/>
    <x v="1"/>
    <s v="L. Naidoo"/>
    <s v="Desk Lamp"/>
    <x v="1"/>
    <n v="4"/>
    <n v="466.3"/>
    <n v="1865.2"/>
    <n v="1211.8900000000001"/>
    <n v="653.30999999999995"/>
    <n v="0.35026270641218094"/>
    <d v="2025-06-01T00:00:00"/>
    <s v="Jun"/>
  </r>
  <r>
    <s v="ORD0377"/>
    <d v="2025-09-15T00:00:00"/>
    <x v="1"/>
    <x v="0"/>
    <s v="S. Jacobs"/>
    <s v="Desk Lamp"/>
    <x v="1"/>
    <n v="2"/>
    <n v="1027.96"/>
    <n v="2055.92"/>
    <n v="1469.87"/>
    <n v="586.05000000000018"/>
    <n v="0.28505486594809143"/>
    <d v="2025-09-01T00:00:00"/>
    <s v="Sep"/>
  </r>
  <r>
    <s v="ORD0378"/>
    <d v="2025-01-07T00:00:00"/>
    <x v="2"/>
    <x v="1"/>
    <s v="T. Dlamini"/>
    <s v="Desk Lamp"/>
    <x v="1"/>
    <n v="3"/>
    <n v="582.79"/>
    <n v="1748.37"/>
    <n v="1037.81"/>
    <n v="710.56"/>
    <n v="0.40641283023616281"/>
    <d v="2025-01-01T00:00:00"/>
    <s v="Jan"/>
  </r>
  <r>
    <s v="ORD0379"/>
    <d v="2025-12-16T00:00:00"/>
    <x v="2"/>
    <x v="0"/>
    <s v="A. Mokoena"/>
    <s v="Ergonomic Chair"/>
    <x v="1"/>
    <n v="5"/>
    <n v="10724.18"/>
    <n v="53620.9"/>
    <n v="38064.47"/>
    <n v="15556.43"/>
    <n v="0.29011877831218796"/>
    <d v="2025-12-01T00:00:00"/>
    <s v="Dec"/>
  </r>
  <r>
    <s v="ORD0380"/>
    <d v="2025-11-12T00:00:00"/>
    <x v="1"/>
    <x v="0"/>
    <s v="S. Jacobs"/>
    <s v="Desk Lamp"/>
    <x v="1"/>
    <n v="5"/>
    <n v="512.02"/>
    <n v="2560.1"/>
    <n v="1513.72"/>
    <n v="1046.3799999999999"/>
    <n v="0.40872622163196748"/>
    <d v="2025-11-01T00:00:00"/>
    <s v="Nov"/>
  </r>
  <r>
    <s v="ORD0381"/>
    <d v="2025-12-17T00:00:00"/>
    <x v="1"/>
    <x v="1"/>
    <s v="T. Dlamini"/>
    <s v="Standing Desk"/>
    <x v="1"/>
    <n v="5"/>
    <n v="16974.38"/>
    <n v="84871.900000000009"/>
    <n v="66923.53"/>
    <n v="17948.37000000001"/>
    <n v="0.21147600089075427"/>
    <d v="2025-12-01T00:00:00"/>
    <s v="Dec"/>
  </r>
  <r>
    <s v="ORD0382"/>
    <d v="2025-10-29T00:00:00"/>
    <x v="0"/>
    <x v="1"/>
    <s v="L. Naidoo"/>
    <s v="Desk Lamp"/>
    <x v="1"/>
    <n v="4"/>
    <n v="1001.02"/>
    <n v="4004.08"/>
    <n v="2492.87"/>
    <n v="1511.21"/>
    <n v="0.37741753411520251"/>
    <d v="2025-10-01T00:00:00"/>
    <s v="Oct"/>
  </r>
  <r>
    <s v="ORD0383"/>
    <d v="2025-09-21T00:00:00"/>
    <x v="2"/>
    <x v="1"/>
    <s v="T. Dlamini"/>
    <s v="Wireless Headphones"/>
    <x v="0"/>
    <n v="5"/>
    <n v="1245.95"/>
    <n v="6229.75"/>
    <n v="3807.72"/>
    <n v="2422.0300000000002"/>
    <n v="0.38878446165576469"/>
    <d v="2025-09-01T00:00:00"/>
    <s v="Sep"/>
  </r>
  <r>
    <s v="ORD0384"/>
    <d v="2025-08-27T00:00:00"/>
    <x v="2"/>
    <x v="0"/>
    <s v="N. Mthembu"/>
    <s v="Office Monitor 24"/>
    <x v="0"/>
    <n v="6"/>
    <n v="2200.83"/>
    <n v="13204.98"/>
    <n v="10110.77"/>
    <n v="3094.2099999999991"/>
    <n v="0.23432144539408611"/>
    <d v="2025-08-01T00:00:00"/>
    <s v="Aug"/>
  </r>
  <r>
    <s v="ORD0385"/>
    <d v="2025-10-09T00:00:00"/>
    <x v="3"/>
    <x v="0"/>
    <s v="N. Mthembu"/>
    <s v="Standing Desk"/>
    <x v="1"/>
    <n v="4"/>
    <n v="11125.71"/>
    <n v="44502.84"/>
    <n v="31372.080000000002"/>
    <n v="13130.759999999995"/>
    <n v="0.29505442798706771"/>
    <d v="2025-10-01T00:00:00"/>
    <s v="Oct"/>
  </r>
  <r>
    <s v="ORD0386"/>
    <d v="2025-10-02T00:00:00"/>
    <x v="2"/>
    <x v="1"/>
    <s v="N. Mthembu"/>
    <s v="USB-C Hub"/>
    <x v="2"/>
    <n v="4"/>
    <n v="491.55"/>
    <n v="1966.2"/>
    <n v="1296.6199999999999"/>
    <n v="669.58000000000015"/>
    <n v="0.3405452141186045"/>
    <d v="2025-10-01T00:00:00"/>
    <s v="Oct"/>
  </r>
  <r>
    <s v="ORD0387"/>
    <d v="2025-09-29T00:00:00"/>
    <x v="3"/>
    <x v="1"/>
    <s v="T. Dlamini"/>
    <s v="Webcam HD"/>
    <x v="0"/>
    <n v="6"/>
    <n v="363.01"/>
    <n v="2178.06"/>
    <n v="1736.09"/>
    <n v="441.97"/>
    <n v="0.2029191115028971"/>
    <d v="2025-09-01T00:00:00"/>
    <s v="Sep"/>
  </r>
  <r>
    <s v="ORD0388"/>
    <d v="2025-07-15T00:00:00"/>
    <x v="2"/>
    <x v="0"/>
    <s v="S. Jacobs"/>
    <s v="Wireless Headphones"/>
    <x v="0"/>
    <n v="5"/>
    <n v="2715.73"/>
    <n v="13578.65"/>
    <n v="9560.0300000000007"/>
    <n v="4018.619999999999"/>
    <n v="0.29595136482640022"/>
    <d v="2025-07-01T00:00:00"/>
    <s v="Jul"/>
  </r>
  <r>
    <s v="ORD0389"/>
    <d v="2025-01-23T00:00:00"/>
    <x v="0"/>
    <x v="1"/>
    <s v="L. Naidoo"/>
    <s v="Ergonomic Chair"/>
    <x v="1"/>
    <n v="2"/>
    <n v="21437.62"/>
    <n v="42875.24"/>
    <n v="26590.14"/>
    <n v="16285.099999999999"/>
    <n v="0.37982527911214026"/>
    <d v="2025-01-01T00:00:00"/>
    <s v="Jan"/>
  </r>
  <r>
    <s v="ORD0390"/>
    <d v="2025-12-10T00:00:00"/>
    <x v="1"/>
    <x v="1"/>
    <s v="L. Naidoo"/>
    <s v="Mechanical Keyboard"/>
    <x v="2"/>
    <n v="2"/>
    <n v="4117.38"/>
    <n v="8234.76"/>
    <n v="6414.05"/>
    <n v="1820.71"/>
    <n v="0.22110055423594616"/>
    <d v="2025-12-01T00:00:00"/>
    <s v="Dec"/>
  </r>
  <r>
    <s v="ORD0391"/>
    <d v="2025-01-13T00:00:00"/>
    <x v="2"/>
    <x v="1"/>
    <s v="N. Mthembu"/>
    <s v="Webcam HD"/>
    <x v="0"/>
    <n v="2"/>
    <n v="263.42"/>
    <n v="526.84"/>
    <n v="328.07"/>
    <n v="198.77000000000004"/>
    <n v="0.37728722192696079"/>
    <d v="2025-01-01T00:00:00"/>
    <s v="Jan"/>
  </r>
  <r>
    <s v="ORD0392"/>
    <d v="2025-04-27T00:00:00"/>
    <x v="0"/>
    <x v="1"/>
    <s v="N. Mthembu"/>
    <s v="Ergonomic Chair"/>
    <x v="1"/>
    <n v="7"/>
    <n v="15467.99"/>
    <n v="108275.93"/>
    <n v="63238.97"/>
    <n v="45036.959999999992"/>
    <n v="0.41594618490000496"/>
    <d v="2025-04-01T00:00:00"/>
    <s v="Apr"/>
  </r>
  <r>
    <s v="ORD0393"/>
    <d v="2025-02-02T00:00:00"/>
    <x v="0"/>
    <x v="0"/>
    <s v="S. Jacobs"/>
    <s v="External SSD 1TB"/>
    <x v="0"/>
    <n v="2"/>
    <n v="1431.2"/>
    <n v="2862.4"/>
    <n v="2131.37"/>
    <n v="731.0300000000002"/>
    <n v="0.2553905813303522"/>
    <d v="2025-02-01T00:00:00"/>
    <s v="Feb"/>
  </r>
  <r>
    <s v="ORD0394"/>
    <d v="2025-07-15T00:00:00"/>
    <x v="1"/>
    <x v="0"/>
    <s v="L. Naidoo"/>
    <s v="USB-C Hub"/>
    <x v="2"/>
    <n v="3"/>
    <n v="739.92"/>
    <n v="2219.7599999999998"/>
    <n v="1360.12"/>
    <n v="859.63999999999987"/>
    <n v="0.38726709193786713"/>
    <d v="2025-07-01T00:00:00"/>
    <s v="Jul"/>
  </r>
  <r>
    <s v="ORD0395"/>
    <d v="2025-06-02T00:00:00"/>
    <x v="0"/>
    <x v="0"/>
    <s v="L. Naidoo"/>
    <s v="Standing Desk"/>
    <x v="1"/>
    <n v="1"/>
    <n v="8273.0400000000009"/>
    <n v="8273.0400000000009"/>
    <n v="5983.04"/>
    <n v="2290.0000000000009"/>
    <n v="0.27680272306189752"/>
    <d v="2025-06-01T00:00:00"/>
    <s v="Jun"/>
  </r>
  <r>
    <s v="ORD0396"/>
    <d v="2025-06-26T00:00:00"/>
    <x v="3"/>
    <x v="1"/>
    <s v="L. Naidoo"/>
    <s v="Mechanical Keyboard"/>
    <x v="2"/>
    <n v="3"/>
    <n v="1950.63"/>
    <n v="5851.89"/>
    <n v="4566.46"/>
    <n v="1285.4300000000003"/>
    <n v="0.21966065664255482"/>
    <d v="2025-06-01T00:00:00"/>
    <s v="Jun"/>
  </r>
  <r>
    <s v="ORD0397"/>
    <d v="2025-12-10T00:00:00"/>
    <x v="0"/>
    <x v="1"/>
    <s v="N. Mthembu"/>
    <s v="External SSD 1TB"/>
    <x v="0"/>
    <n v="2"/>
    <n v="4482.13"/>
    <n v="8964.26"/>
    <n v="5344.2"/>
    <n v="3620.0600000000004"/>
    <n v="0.40383255282644637"/>
    <d v="2025-12-01T00:00:00"/>
    <s v="Dec"/>
  </r>
  <r>
    <s v="ORD0398"/>
    <d v="2025-09-07T00:00:00"/>
    <x v="3"/>
    <x v="0"/>
    <s v="S. Jacobs"/>
    <s v="Standing Desk"/>
    <x v="1"/>
    <n v="4"/>
    <n v="13663.05"/>
    <n v="54652.2"/>
    <n v="39824.17"/>
    <n v="14828.029999999999"/>
    <n v="0.27131625076392168"/>
    <d v="2025-09-01T00:00:00"/>
    <s v="Sep"/>
  </r>
  <r>
    <s v="ORD0399"/>
    <d v="2025-08-19T00:00:00"/>
    <x v="2"/>
    <x v="0"/>
    <s v="L. Naidoo"/>
    <s v="Standing Desk"/>
    <x v="1"/>
    <n v="3"/>
    <n v="19348.38"/>
    <n v="58045.14"/>
    <n v="38743.879999999997"/>
    <n v="19301.260000000002"/>
    <n v="0.33252155133056793"/>
    <d v="2025-08-01T00:00:00"/>
    <s v="Aug"/>
  </r>
  <r>
    <s v="ORD0400"/>
    <d v="2025-01-03T00:00:00"/>
    <x v="2"/>
    <x v="0"/>
    <s v="S. Jacobs"/>
    <s v="Standing Desk"/>
    <x v="1"/>
    <n v="7"/>
    <n v="12450.89"/>
    <n v="87156.23"/>
    <n v="58070.16"/>
    <n v="29086.069999999992"/>
    <n v="0.33372336091177868"/>
    <d v="2025-01-01T00:00:00"/>
    <s v="Jan"/>
  </r>
  <r>
    <s v="ORD0401"/>
    <d v="2025-08-17T00:00:00"/>
    <x v="2"/>
    <x v="1"/>
    <s v="N. Mthembu"/>
    <s v="Standing Desk"/>
    <x v="1"/>
    <n v="2"/>
    <n v="20286.3"/>
    <n v="40572.6"/>
    <n v="29439.1"/>
    <n v="11133.5"/>
    <n v="0.27440933043482546"/>
    <d v="2025-08-01T00:00:00"/>
    <s v="Aug"/>
  </r>
  <r>
    <s v="ORD0402"/>
    <d v="2025-04-11T00:00:00"/>
    <x v="0"/>
    <x v="0"/>
    <s v="N. Mthembu"/>
    <s v="Ergonomic Chair"/>
    <x v="1"/>
    <n v="2"/>
    <n v="22666.25"/>
    <n v="45332.5"/>
    <n v="35536.19"/>
    <n v="9796.3099999999977"/>
    <n v="0.21609904593834439"/>
    <d v="2025-04-01T00:00:00"/>
    <s v="Apr"/>
  </r>
  <r>
    <s v="ORD0403"/>
    <d v="2025-04-19T00:00:00"/>
    <x v="1"/>
    <x v="1"/>
    <s v="N. Mthembu"/>
    <s v="Laptop Pro 14"/>
    <x v="0"/>
    <n v="8"/>
    <n v="18592.21"/>
    <n v="148737.68"/>
    <n v="91573.61"/>
    <n v="57164.069999999992"/>
    <n v="0.38432810031728337"/>
    <d v="2025-04-01T00:00:00"/>
    <s v="Apr"/>
  </r>
  <r>
    <s v="ORD0404"/>
    <d v="2025-05-29T00:00:00"/>
    <x v="3"/>
    <x v="1"/>
    <s v="S. Jacobs"/>
    <s v="Office Monitor 24"/>
    <x v="0"/>
    <n v="6"/>
    <n v="1641.71"/>
    <n v="9850.26"/>
    <n v="7279.76"/>
    <n v="2570.5"/>
    <n v="0.26095757878472242"/>
    <d v="2025-05-01T00:00:00"/>
    <s v="May"/>
  </r>
  <r>
    <s v="ORD0405"/>
    <d v="2025-03-23T00:00:00"/>
    <x v="1"/>
    <x v="1"/>
    <s v="A. Mokoena"/>
    <s v="Office Monitor 24"/>
    <x v="0"/>
    <n v="8"/>
    <n v="2281.19"/>
    <n v="18249.52"/>
    <n v="10761.76"/>
    <n v="7487.76"/>
    <n v="0.4102990106041145"/>
    <d v="2025-03-01T00:00:00"/>
    <s v="Mar"/>
  </r>
  <r>
    <s v="ORD0406"/>
    <d v="2025-05-16T00:00:00"/>
    <x v="1"/>
    <x v="0"/>
    <s v="S. Jacobs"/>
    <s v="Standing Desk"/>
    <x v="1"/>
    <n v="4"/>
    <n v="12879.91"/>
    <n v="51519.64"/>
    <n v="39667.57"/>
    <n v="11852.07"/>
    <n v="0.2300495500356757"/>
    <d v="2025-05-01T00:00:00"/>
    <s v="May"/>
  </r>
  <r>
    <s v="ORD0407"/>
    <d v="2025-01-24T00:00:00"/>
    <x v="3"/>
    <x v="0"/>
    <s v="S. Jacobs"/>
    <s v="Laptop Pro 14"/>
    <x v="0"/>
    <n v="5"/>
    <n v="20939.37"/>
    <n v="104696.84999999999"/>
    <n v="67340.58"/>
    <n v="37356.26999999999"/>
    <n v="0.35680414453729975"/>
    <d v="2025-01-01T00:00:00"/>
    <s v="Jan"/>
  </r>
  <r>
    <s v="ORD0408"/>
    <d v="2025-07-07T00:00:00"/>
    <x v="1"/>
    <x v="0"/>
    <s v="T. Dlamini"/>
    <s v="External SSD 1TB"/>
    <x v="0"/>
    <n v="5"/>
    <n v="1498.98"/>
    <n v="7494.9"/>
    <n v="5978.97"/>
    <n v="1515.9299999999994"/>
    <n v="0.20226153784573503"/>
    <d v="2025-07-01T00:00:00"/>
    <s v="Jul"/>
  </r>
  <r>
    <s v="ORD0409"/>
    <d v="2025-09-07T00:00:00"/>
    <x v="2"/>
    <x v="1"/>
    <s v="L. Naidoo"/>
    <s v="Webcam HD"/>
    <x v="0"/>
    <n v="3"/>
    <n v="753.83"/>
    <n v="2261.4900000000002"/>
    <n v="1436.49"/>
    <n v="825.00000000000023"/>
    <n v="0.36480373559025253"/>
    <d v="2025-09-01T00:00:00"/>
    <s v="Sep"/>
  </r>
  <r>
    <s v="ORD0410"/>
    <d v="2025-04-06T00:00:00"/>
    <x v="0"/>
    <x v="0"/>
    <s v="S. Jacobs"/>
    <s v="Office Monitor 24"/>
    <x v="0"/>
    <n v="4"/>
    <n v="1837.08"/>
    <n v="7348.32"/>
    <n v="4844.41"/>
    <n v="2503.91"/>
    <n v="0.34074591199076792"/>
    <d v="2025-04-01T00:00:00"/>
    <s v="Apr"/>
  </r>
  <r>
    <s v="ORD0411"/>
    <d v="2025-09-03T00:00:00"/>
    <x v="3"/>
    <x v="1"/>
    <s v="N. Mthembu"/>
    <s v="Mechanical Keyboard"/>
    <x v="2"/>
    <n v="7"/>
    <n v="2007.97"/>
    <n v="14055.79"/>
    <n v="8297.9"/>
    <n v="5757.8900000000012"/>
    <n v="0.40964542014358502"/>
    <d v="2025-09-01T00:00:00"/>
    <s v="Sep"/>
  </r>
  <r>
    <s v="ORD0412"/>
    <d v="2025-01-21T00:00:00"/>
    <x v="1"/>
    <x v="1"/>
    <s v="T. Dlamini"/>
    <s v="External SSD 1TB"/>
    <x v="0"/>
    <n v="5"/>
    <n v="1472.74"/>
    <n v="7363.7"/>
    <n v="5184"/>
    <n v="2179.6999999999998"/>
    <n v="0.2960060838980404"/>
    <d v="2025-01-01T00:00:00"/>
    <s v="Jan"/>
  </r>
  <r>
    <s v="ORD0413"/>
    <d v="2025-02-13T00:00:00"/>
    <x v="3"/>
    <x v="1"/>
    <s v="N. Mthembu"/>
    <s v="Mechanical Keyboard"/>
    <x v="2"/>
    <n v="8"/>
    <n v="4447.3100000000004"/>
    <n v="35578.480000000003"/>
    <n v="27725.86"/>
    <n v="7852.6200000000026"/>
    <n v="0.22071263302985406"/>
    <d v="2025-02-01T00:00:00"/>
    <s v="Feb"/>
  </r>
  <r>
    <s v="ORD0414"/>
    <d v="2025-12-04T00:00:00"/>
    <x v="0"/>
    <x v="1"/>
    <s v="S. Jacobs"/>
    <s v="Desk Lamp"/>
    <x v="1"/>
    <n v="6"/>
    <n v="1074.71"/>
    <n v="6448.26"/>
    <n v="4663.18"/>
    <n v="1785.08"/>
    <n v="0.27683126921060874"/>
    <d v="2025-12-01T00:00:00"/>
    <s v="Dec"/>
  </r>
  <r>
    <s v="ORD0415"/>
    <d v="2025-07-17T00:00:00"/>
    <x v="3"/>
    <x v="0"/>
    <s v="N. Mthembu"/>
    <s v="Office Monitor 24"/>
    <x v="0"/>
    <n v="7"/>
    <n v="1102.5899999999999"/>
    <n v="7718.1299999999992"/>
    <n v="5598.13"/>
    <n v="2119.9999999999991"/>
    <n v="0.27467793364454851"/>
    <d v="2025-07-01T00:00:00"/>
    <s v="Jul"/>
  </r>
  <r>
    <s v="ORD0416"/>
    <d v="2025-11-04T00:00:00"/>
    <x v="0"/>
    <x v="0"/>
    <s v="N. Mthembu"/>
    <s v="Laptop Pro 14"/>
    <x v="0"/>
    <n v="8"/>
    <n v="22538.29"/>
    <n v="180306.32"/>
    <n v="143609.72"/>
    <n v="36696.600000000006"/>
    <n v="0.20352364797861774"/>
    <d v="2025-11-01T00:00:00"/>
    <s v="Nov"/>
  </r>
  <r>
    <s v="ORD0417"/>
    <d v="2025-08-04T00:00:00"/>
    <x v="0"/>
    <x v="0"/>
    <s v="L. Naidoo"/>
    <s v="Standing Desk"/>
    <x v="1"/>
    <n v="8"/>
    <n v="10273.370000000001"/>
    <n v="82186.960000000006"/>
    <n v="55188.28"/>
    <n v="26998.680000000008"/>
    <n v="0.32850320780814873"/>
    <d v="2025-08-01T00:00:00"/>
    <s v="Aug"/>
  </r>
  <r>
    <s v="ORD0418"/>
    <d v="2025-05-11T00:00:00"/>
    <x v="1"/>
    <x v="0"/>
    <s v="L. Naidoo"/>
    <s v="Webcam HD"/>
    <x v="0"/>
    <n v="2"/>
    <n v="1129.81"/>
    <n v="2259.62"/>
    <n v="1786.06"/>
    <n v="473.55999999999995"/>
    <n v="0.20957506129349182"/>
    <d v="2025-05-01T00:00:00"/>
    <s v="May"/>
  </r>
  <r>
    <s v="ORD0419"/>
    <d v="2025-01-03T00:00:00"/>
    <x v="2"/>
    <x v="0"/>
    <s v="T. Dlamini"/>
    <s v="Laptop Pro 14"/>
    <x v="0"/>
    <n v="1"/>
    <n v="18007.39"/>
    <n v="18007.39"/>
    <n v="11332.06"/>
    <n v="6675.33"/>
    <n v="0.3706994739381998"/>
    <d v="2025-01-01T00:00:00"/>
    <s v="Jan"/>
  </r>
  <r>
    <s v="ORD0420"/>
    <d v="2025-02-24T00:00:00"/>
    <x v="1"/>
    <x v="1"/>
    <s v="S. Jacobs"/>
    <s v="Office Monitor 24"/>
    <x v="0"/>
    <n v="7"/>
    <n v="3015.5"/>
    <n v="21108.5"/>
    <n v="15342.74"/>
    <n v="5765.76"/>
    <n v="0.27314873155363956"/>
    <d v="2025-02-01T00:00:00"/>
    <s v="Feb"/>
  </r>
  <r>
    <s v="ORD0421"/>
    <d v="2025-10-10T00:00:00"/>
    <x v="2"/>
    <x v="0"/>
    <s v="L. Naidoo"/>
    <s v="Desk Lamp"/>
    <x v="1"/>
    <n v="8"/>
    <n v="598.03"/>
    <n v="4784.24"/>
    <n v="3126.96"/>
    <n v="1657.2799999999997"/>
    <n v="0.34640402655385177"/>
    <d v="2025-10-01T00:00:00"/>
    <s v="Oct"/>
  </r>
  <r>
    <s v="ORD0422"/>
    <d v="2025-12-04T00:00:00"/>
    <x v="2"/>
    <x v="1"/>
    <s v="L. Naidoo"/>
    <s v="Wireless Headphones"/>
    <x v="0"/>
    <n v="3"/>
    <n v="2559.6"/>
    <n v="7678.7999999999993"/>
    <n v="5390.54"/>
    <n v="2288.2599999999993"/>
    <n v="0.2979970828775329"/>
    <d v="2025-12-01T00:00:00"/>
    <s v="Dec"/>
  </r>
  <r>
    <s v="ORD0423"/>
    <d v="2025-07-19T00:00:00"/>
    <x v="2"/>
    <x v="1"/>
    <s v="N. Mthembu"/>
    <s v="Laptop Pro 14"/>
    <x v="0"/>
    <n v="7"/>
    <n v="9627.75"/>
    <n v="67394.25"/>
    <n v="43344.08"/>
    <n v="24050.17"/>
    <n v="0.35685789217922892"/>
    <d v="2025-07-01T00:00:00"/>
    <s v="Jul"/>
  </r>
  <r>
    <s v="ORD0424"/>
    <d v="2025-01-20T00:00:00"/>
    <x v="1"/>
    <x v="0"/>
    <s v="A. Mokoena"/>
    <s v="USB-C Hub"/>
    <x v="2"/>
    <n v="1"/>
    <n v="1065.18"/>
    <n v="1065.18"/>
    <n v="827.49"/>
    <n v="237.69000000000005"/>
    <n v="0.22314538387878108"/>
    <d v="2025-01-01T00:00:00"/>
    <s v="Jan"/>
  </r>
  <r>
    <s v="ORD0425"/>
    <d v="2025-04-14T00:00:00"/>
    <x v="2"/>
    <x v="1"/>
    <s v="A. Mokoena"/>
    <s v="Desk Lamp"/>
    <x v="1"/>
    <n v="4"/>
    <n v="290.54000000000002"/>
    <n v="1162.1600000000001"/>
    <n v="862.05"/>
    <n v="300.11000000000013"/>
    <n v="0.25823466648310051"/>
    <d v="2025-04-01T00:00:00"/>
    <s v="Apr"/>
  </r>
  <r>
    <s v="ORD0426"/>
    <d v="2025-03-22T00:00:00"/>
    <x v="0"/>
    <x v="1"/>
    <s v="A. Mokoena"/>
    <s v="Wireless Headphones"/>
    <x v="0"/>
    <n v="7"/>
    <n v="4093.11"/>
    <n v="28651.77"/>
    <n v="17995.45"/>
    <n v="10656.32"/>
    <n v="0.3719253644713747"/>
    <d v="2025-03-01T00:00:00"/>
    <s v="Mar"/>
  </r>
  <r>
    <s v="ORD0427"/>
    <d v="2025-10-09T00:00:00"/>
    <x v="1"/>
    <x v="0"/>
    <s v="N. Mthembu"/>
    <s v="Ergonomic Chair"/>
    <x v="1"/>
    <n v="5"/>
    <n v="19753.080000000002"/>
    <n v="98765.400000000009"/>
    <n v="80111.95"/>
    <n v="18653.450000000012"/>
    <n v="0.18886624263152896"/>
    <d v="2025-10-01T00:00:00"/>
    <s v="Oct"/>
  </r>
  <r>
    <s v="ORD0428"/>
    <d v="2025-01-03T00:00:00"/>
    <x v="2"/>
    <x v="1"/>
    <s v="N. Mthembu"/>
    <s v="Ergonomic Chair"/>
    <x v="1"/>
    <n v="2"/>
    <n v="12006.15"/>
    <n v="24012.3"/>
    <n v="16826.87"/>
    <n v="7185.43"/>
    <n v="0.29923955639401478"/>
    <d v="2025-01-01T00:00:00"/>
    <s v="Jan"/>
  </r>
  <r>
    <s v="ORD0429"/>
    <d v="2025-05-12T00:00:00"/>
    <x v="3"/>
    <x v="0"/>
    <s v="S. Jacobs"/>
    <s v="Desk Lamp"/>
    <x v="1"/>
    <n v="8"/>
    <n v="1049.48"/>
    <n v="8395.84"/>
    <n v="6004.37"/>
    <n v="2391.4700000000003"/>
    <n v="0.28483987308000153"/>
    <d v="2025-05-01T00:00:00"/>
    <s v="May"/>
  </r>
  <r>
    <s v="ORD0430"/>
    <d v="2025-12-15T00:00:00"/>
    <x v="3"/>
    <x v="1"/>
    <s v="T. Dlamini"/>
    <s v="Webcam HD"/>
    <x v="0"/>
    <n v="2"/>
    <n v="707.01"/>
    <n v="1414.02"/>
    <n v="950"/>
    <n v="464.02"/>
    <n v="0.32815660315978556"/>
    <d v="2025-12-01T00:00:00"/>
    <s v="Dec"/>
  </r>
  <r>
    <s v="ORD0431"/>
    <d v="2025-07-31T00:00:00"/>
    <x v="2"/>
    <x v="1"/>
    <s v="N. Mthembu"/>
    <s v="Standing Desk"/>
    <x v="1"/>
    <n v="5"/>
    <n v="16582.810000000001"/>
    <n v="82914.05"/>
    <n v="49940.98"/>
    <n v="32973.07"/>
    <n v="0.39767771565856447"/>
    <d v="2025-07-01T00:00:00"/>
    <s v="Jul"/>
  </r>
  <r>
    <s v="ORD0432"/>
    <d v="2025-04-02T00:00:00"/>
    <x v="3"/>
    <x v="0"/>
    <s v="L. Naidoo"/>
    <s v="Webcam HD"/>
    <x v="0"/>
    <n v="5"/>
    <n v="442.99"/>
    <n v="2214.9499999999998"/>
    <n v="1681.32"/>
    <n v="533.62999999999988"/>
    <n v="0.24092191697329507"/>
    <d v="2025-04-01T00:00:00"/>
    <s v="Apr"/>
  </r>
  <r>
    <s v="ORD0433"/>
    <d v="2025-05-01T00:00:00"/>
    <x v="2"/>
    <x v="1"/>
    <s v="A. Mokoena"/>
    <s v="Mechanical Keyboard"/>
    <x v="2"/>
    <n v="4"/>
    <n v="2766.7"/>
    <n v="11066.8"/>
    <n v="8640.08"/>
    <n v="2426.7199999999993"/>
    <n v="0.21927928579173742"/>
    <d v="2025-05-01T00:00:00"/>
    <s v="May"/>
  </r>
  <r>
    <s v="ORD0434"/>
    <d v="2025-03-03T00:00:00"/>
    <x v="0"/>
    <x v="0"/>
    <s v="T. Dlamini"/>
    <s v="Wireless Headphones"/>
    <x v="0"/>
    <n v="1"/>
    <n v="5195.8100000000004"/>
    <n v="5195.8100000000004"/>
    <n v="3688.78"/>
    <n v="1507.0300000000002"/>
    <n v="0.2900471726256349"/>
    <d v="2025-03-01T00:00:00"/>
    <s v="Mar"/>
  </r>
  <r>
    <s v="ORD0435"/>
    <d v="2025-11-14T00:00:00"/>
    <x v="2"/>
    <x v="0"/>
    <s v="L. Naidoo"/>
    <s v="Standing Desk"/>
    <x v="1"/>
    <n v="3"/>
    <n v="18719.34"/>
    <n v="56158.020000000004"/>
    <n v="44917.52"/>
    <n v="11240.500000000007"/>
    <n v="0.20015841014337768"/>
    <d v="2025-11-01T00:00:00"/>
    <s v="Nov"/>
  </r>
  <r>
    <s v="ORD0436"/>
    <d v="2025-10-23T00:00:00"/>
    <x v="3"/>
    <x v="0"/>
    <s v="A. Mokoena"/>
    <s v="Office Monitor 24"/>
    <x v="0"/>
    <n v="1"/>
    <n v="4368.16"/>
    <n v="4368.16"/>
    <n v="2946.29"/>
    <n v="1421.87"/>
    <n v="0.32550776528332293"/>
    <d v="2025-10-01T00:00:00"/>
    <s v="Oct"/>
  </r>
  <r>
    <s v="ORD0437"/>
    <d v="2025-12-24T00:00:00"/>
    <x v="0"/>
    <x v="0"/>
    <s v="T. Dlamini"/>
    <s v="Desk Lamp"/>
    <x v="1"/>
    <n v="1"/>
    <n v="861.76"/>
    <n v="861.76"/>
    <n v="543.41"/>
    <n v="318.35000000000002"/>
    <n v="0.36941839955440031"/>
    <d v="2025-12-01T00:00:00"/>
    <s v="Dec"/>
  </r>
  <r>
    <s v="ORD0438"/>
    <d v="2025-11-10T00:00:00"/>
    <x v="2"/>
    <x v="1"/>
    <s v="S. Jacobs"/>
    <s v="Ergonomic Chair"/>
    <x v="1"/>
    <n v="5"/>
    <n v="11996.85"/>
    <n v="59984.25"/>
    <n v="43616.959999999999"/>
    <n v="16367.29"/>
    <n v="0.27285979236216173"/>
    <d v="2025-11-01T00:00:00"/>
    <s v="Nov"/>
  </r>
  <r>
    <s v="ORD0439"/>
    <d v="2025-08-06T00:00:00"/>
    <x v="3"/>
    <x v="1"/>
    <s v="A. Mokoena"/>
    <s v="Mechanical Keyboard"/>
    <x v="2"/>
    <n v="7"/>
    <n v="3774.95"/>
    <n v="26424.649999999998"/>
    <n v="16467.14"/>
    <n v="9957.5099999999984"/>
    <n v="0.37682656156278321"/>
    <d v="2025-08-01T00:00:00"/>
    <s v="Aug"/>
  </r>
  <r>
    <s v="ORD0440"/>
    <d v="2025-05-19T00:00:00"/>
    <x v="3"/>
    <x v="0"/>
    <s v="A. Mokoena"/>
    <s v="Mechanical Keyboard"/>
    <x v="2"/>
    <n v="7"/>
    <n v="4170.1000000000004"/>
    <n v="29190.700000000004"/>
    <n v="22535.48"/>
    <n v="6655.2200000000048"/>
    <n v="0.22799110675660411"/>
    <d v="2025-05-01T00:00:00"/>
    <s v="May"/>
  </r>
  <r>
    <s v="ORD0441"/>
    <d v="2025-04-01T00:00:00"/>
    <x v="0"/>
    <x v="0"/>
    <s v="A. Mokoena"/>
    <s v="USB-C Hub"/>
    <x v="2"/>
    <n v="6"/>
    <n v="1230.43"/>
    <n v="7382.58"/>
    <n v="4813.5"/>
    <n v="2569.08"/>
    <n v="0.34799216534057198"/>
    <d v="2025-04-01T00:00:00"/>
    <s v="Apr"/>
  </r>
  <r>
    <s v="ORD0442"/>
    <d v="2025-12-20T00:00:00"/>
    <x v="1"/>
    <x v="0"/>
    <s v="T. Dlamini"/>
    <s v="Office Monitor 24"/>
    <x v="0"/>
    <n v="5"/>
    <n v="2652.5"/>
    <n v="13262.5"/>
    <n v="9697.1"/>
    <n v="3565.3999999999996"/>
    <n v="0.26883317624882186"/>
    <d v="2025-12-01T00:00:00"/>
    <s v="Dec"/>
  </r>
  <r>
    <s v="ORD0443"/>
    <d v="2025-07-04T00:00:00"/>
    <x v="3"/>
    <x v="1"/>
    <s v="T. Dlamini"/>
    <s v="Standing Desk"/>
    <x v="1"/>
    <n v="1"/>
    <n v="17859.16"/>
    <n v="17859.16"/>
    <n v="11863.16"/>
    <n v="5996"/>
    <n v="0.33573807502704495"/>
    <d v="2025-07-01T00:00:00"/>
    <s v="Jul"/>
  </r>
  <r>
    <s v="ORD0444"/>
    <d v="2025-07-01T00:00:00"/>
    <x v="2"/>
    <x v="0"/>
    <s v="L. Naidoo"/>
    <s v="Standing Desk"/>
    <x v="1"/>
    <n v="8"/>
    <n v="21589.79"/>
    <n v="172718.32"/>
    <n v="115972.93"/>
    <n v="56745.390000000014"/>
    <n v="0.32854297100620256"/>
    <d v="2025-07-01T00:00:00"/>
    <s v="Jul"/>
  </r>
  <r>
    <s v="ORD0445"/>
    <d v="2025-03-27T00:00:00"/>
    <x v="2"/>
    <x v="0"/>
    <s v="T. Dlamini"/>
    <s v="Standing Desk"/>
    <x v="1"/>
    <n v="2"/>
    <n v="14571.65"/>
    <n v="29143.3"/>
    <n v="19306.57"/>
    <n v="9836.73"/>
    <n v="0.33752972381302049"/>
    <d v="2025-03-01T00:00:00"/>
    <s v="Mar"/>
  </r>
  <r>
    <s v="ORD0446"/>
    <d v="2025-12-30T00:00:00"/>
    <x v="1"/>
    <x v="0"/>
    <s v="L. Naidoo"/>
    <s v="Ergonomic Chair"/>
    <x v="1"/>
    <n v="8"/>
    <n v="19981.09"/>
    <n v="159848.72"/>
    <n v="128726.94"/>
    <n v="31121.78"/>
    <n v="0.19469520932041245"/>
    <d v="2025-12-01T00:00:00"/>
    <s v="Dec"/>
  </r>
  <r>
    <s v="ORD0447"/>
    <d v="2025-04-05T00:00:00"/>
    <x v="0"/>
    <x v="1"/>
    <s v="L. Naidoo"/>
    <s v="Laptop Pro 14"/>
    <x v="0"/>
    <n v="5"/>
    <n v="12021.19"/>
    <n v="60105.950000000004"/>
    <n v="44969.3"/>
    <n v="15136.650000000001"/>
    <n v="0.25183280523808377"/>
    <d v="2025-04-01T00:00:00"/>
    <s v="Apr"/>
  </r>
  <r>
    <s v="ORD0448"/>
    <d v="2025-07-23T00:00:00"/>
    <x v="1"/>
    <x v="1"/>
    <s v="A. Mokoena"/>
    <s v="Wireless Headphones"/>
    <x v="0"/>
    <n v="8"/>
    <n v="1435.77"/>
    <n v="11486.16"/>
    <n v="6734.65"/>
    <n v="4751.51"/>
    <n v="0.41367262862436188"/>
    <d v="2025-07-01T00:00:00"/>
    <s v="Jul"/>
  </r>
  <r>
    <s v="ORD0449"/>
    <d v="2025-05-15T00:00:00"/>
    <x v="2"/>
    <x v="0"/>
    <s v="L. Naidoo"/>
    <s v="External SSD 1TB"/>
    <x v="0"/>
    <n v="7"/>
    <n v="1529.38"/>
    <n v="10705.66"/>
    <n v="6844.93"/>
    <n v="3860.7299999999996"/>
    <n v="0.36062512726912677"/>
    <d v="2025-05-01T00:00:00"/>
    <s v="May"/>
  </r>
  <r>
    <s v="ORD0450"/>
    <d v="2025-03-09T00:00:00"/>
    <x v="1"/>
    <x v="0"/>
    <s v="N. Mthembu"/>
    <s v="Desk Lamp"/>
    <x v="1"/>
    <n v="6"/>
    <n v="305.54000000000002"/>
    <n v="1833.2400000000002"/>
    <n v="1206.3599999999999"/>
    <n v="626.88000000000034"/>
    <n v="0.34195195391765415"/>
    <d v="2025-03-01T00:00:00"/>
    <s v="Mar"/>
  </r>
  <r>
    <s v="ORD0451"/>
    <d v="2025-05-20T00:00:00"/>
    <x v="1"/>
    <x v="0"/>
    <s v="T. Dlamini"/>
    <s v="Desk Lamp"/>
    <x v="1"/>
    <n v="3"/>
    <n v="981.51"/>
    <n v="2944.5299999999997"/>
    <n v="2030.46"/>
    <n v="914.06999999999971"/>
    <n v="0.31042984788743866"/>
    <d v="2025-05-01T00:00:00"/>
    <s v="May"/>
  </r>
  <r>
    <s v="ORD0452"/>
    <d v="2025-09-04T00:00:00"/>
    <x v="2"/>
    <x v="1"/>
    <s v="A. Mokoena"/>
    <s v="Desk Lamp"/>
    <x v="1"/>
    <n v="5"/>
    <n v="683.16"/>
    <n v="3415.7999999999997"/>
    <n v="2194.15"/>
    <n v="1221.6499999999996"/>
    <n v="0.35764681772937518"/>
    <d v="2025-09-01T00:00:00"/>
    <s v="Sep"/>
  </r>
  <r>
    <s v="ORD0453"/>
    <d v="2025-09-25T00:00:00"/>
    <x v="1"/>
    <x v="0"/>
    <s v="A. Mokoena"/>
    <s v="Office Monitor 24"/>
    <x v="0"/>
    <n v="1"/>
    <n v="3371.01"/>
    <n v="3371.01"/>
    <n v="2353.1799999999998"/>
    <n v="1017.8300000000004"/>
    <n v="0.3019362149622814"/>
    <d v="2025-09-01T00:00:00"/>
    <s v="Sep"/>
  </r>
  <r>
    <s v="ORD0454"/>
    <d v="2025-08-09T00:00:00"/>
    <x v="1"/>
    <x v="0"/>
    <s v="L. Naidoo"/>
    <s v="Ergonomic Chair"/>
    <x v="1"/>
    <n v="1"/>
    <n v="18962.09"/>
    <n v="18962.09"/>
    <n v="11856.18"/>
    <n v="7105.91"/>
    <n v="0.37474297400761203"/>
    <d v="2025-08-01T00:00:00"/>
    <s v="Aug"/>
  </r>
  <r>
    <s v="ORD0455"/>
    <d v="2025-03-25T00:00:00"/>
    <x v="2"/>
    <x v="0"/>
    <s v="N. Mthembu"/>
    <s v="USB-C Hub"/>
    <x v="2"/>
    <n v="2"/>
    <n v="510.93"/>
    <n v="1021.86"/>
    <n v="651.42999999999995"/>
    <n v="370.43000000000006"/>
    <n v="0.36250562699391314"/>
    <d v="2025-03-01T00:00:00"/>
    <s v="Mar"/>
  </r>
  <r>
    <s v="ORD0456"/>
    <d v="2025-05-18T00:00:00"/>
    <x v="1"/>
    <x v="0"/>
    <s v="N. Mthembu"/>
    <s v="USB-C Hub"/>
    <x v="2"/>
    <n v="3"/>
    <n v="417.65"/>
    <n v="1252.9499999999998"/>
    <n v="918.23"/>
    <n v="334.7199999999998"/>
    <n v="0.26714553653378015"/>
    <d v="2025-05-01T00:00:00"/>
    <s v="May"/>
  </r>
  <r>
    <s v="ORD0457"/>
    <d v="2025-09-09T00:00:00"/>
    <x v="0"/>
    <x v="0"/>
    <s v="T. Dlamini"/>
    <s v="Mechanical Keyboard"/>
    <x v="2"/>
    <n v="1"/>
    <n v="1157.3900000000001"/>
    <n v="1157.3900000000001"/>
    <n v="677.43"/>
    <n v="479.96000000000015"/>
    <n v="0.41469167696282161"/>
    <d v="2025-09-01T00:00:00"/>
    <s v="Sep"/>
  </r>
  <r>
    <s v="ORD0458"/>
    <d v="2025-03-06T00:00:00"/>
    <x v="2"/>
    <x v="0"/>
    <s v="T. Dlamini"/>
    <s v="Webcam HD"/>
    <x v="0"/>
    <n v="2"/>
    <n v="453.91"/>
    <n v="907.82"/>
    <n v="634.08000000000004"/>
    <n v="273.74"/>
    <n v="0.30153554669427862"/>
    <d v="2025-03-01T00:00:00"/>
    <s v="Mar"/>
  </r>
  <r>
    <s v="ORD0459"/>
    <d v="2025-09-13T00:00:00"/>
    <x v="0"/>
    <x v="0"/>
    <s v="S. Jacobs"/>
    <s v="Standing Desk"/>
    <x v="1"/>
    <n v="2"/>
    <n v="17737.37"/>
    <n v="35474.74"/>
    <n v="28677.59"/>
    <n v="6797.1499999999978"/>
    <n v="0.19160535073689047"/>
    <d v="2025-09-01T00:00:00"/>
    <s v="Sep"/>
  </r>
  <r>
    <s v="ORD0460"/>
    <d v="2025-02-06T00:00:00"/>
    <x v="0"/>
    <x v="1"/>
    <s v="S. Jacobs"/>
    <s v="Desk Lamp"/>
    <x v="1"/>
    <n v="5"/>
    <n v="474.3"/>
    <n v="2371.5"/>
    <n v="1846.88"/>
    <n v="524.61999999999989"/>
    <n v="0.22121863799283151"/>
    <d v="2025-02-01T00:00:00"/>
    <s v="Feb"/>
  </r>
  <r>
    <s v="ORD0461"/>
    <d v="2025-08-15T00:00:00"/>
    <x v="3"/>
    <x v="0"/>
    <s v="S. Jacobs"/>
    <s v="Mechanical Keyboard"/>
    <x v="2"/>
    <n v="8"/>
    <n v="1229.25"/>
    <n v="9834"/>
    <n v="5925.48"/>
    <n v="3908.5200000000004"/>
    <n v="0.39744966442953023"/>
    <d v="2025-08-01T00:00:00"/>
    <s v="Aug"/>
  </r>
  <r>
    <s v="ORD0462"/>
    <d v="2025-12-15T00:00:00"/>
    <x v="0"/>
    <x v="0"/>
    <s v="S. Jacobs"/>
    <s v="Ergonomic Chair"/>
    <x v="1"/>
    <n v="1"/>
    <n v="14992.57"/>
    <n v="14992.57"/>
    <n v="10673.2"/>
    <n v="4319.369999999999"/>
    <n v="0.28810070588298065"/>
    <d v="2025-12-01T00:00:00"/>
    <s v="Dec"/>
  </r>
  <r>
    <s v="ORD0463"/>
    <d v="2025-11-23T00:00:00"/>
    <x v="0"/>
    <x v="1"/>
    <s v="S. Jacobs"/>
    <s v="Ergonomic Chair"/>
    <x v="1"/>
    <n v="1"/>
    <n v="13146.32"/>
    <n v="13146.32"/>
    <n v="8312.01"/>
    <n v="4834.3099999999995"/>
    <n v="0.36773104564623404"/>
    <d v="2025-11-01T00:00:00"/>
    <s v="Nov"/>
  </r>
  <r>
    <s v="ORD0464"/>
    <d v="2025-06-16T00:00:00"/>
    <x v="0"/>
    <x v="0"/>
    <s v="N. Mthembu"/>
    <s v="Laptop Pro 14"/>
    <x v="0"/>
    <n v="2"/>
    <n v="11497.32"/>
    <n v="22994.639999999999"/>
    <n v="14678.43"/>
    <n v="8316.2099999999991"/>
    <n v="0.36165863001116777"/>
    <d v="2025-06-01T00:00:00"/>
    <s v="Jun"/>
  </r>
  <r>
    <s v="ORD0465"/>
    <d v="2025-03-21T00:00:00"/>
    <x v="2"/>
    <x v="1"/>
    <s v="A. Mokoena"/>
    <s v="Standing Desk"/>
    <x v="1"/>
    <n v="3"/>
    <n v="21627.65"/>
    <n v="64882.950000000004"/>
    <n v="48313.58"/>
    <n v="16569.370000000003"/>
    <n v="0.2553732529115893"/>
    <d v="2025-03-01T00:00:00"/>
    <s v="Mar"/>
  </r>
  <r>
    <s v="ORD0466"/>
    <d v="2025-07-02T00:00:00"/>
    <x v="2"/>
    <x v="0"/>
    <s v="L. Naidoo"/>
    <s v="Office Monitor 24"/>
    <x v="0"/>
    <n v="8"/>
    <n v="1683.89"/>
    <n v="13471.12"/>
    <n v="10987.07"/>
    <n v="2484.0500000000011"/>
    <n v="0.18439817921598212"/>
    <d v="2025-07-01T00:00:00"/>
    <s v="Jul"/>
  </r>
  <r>
    <s v="ORD0467"/>
    <d v="2025-01-11T00:00:00"/>
    <x v="2"/>
    <x v="0"/>
    <s v="L. Naidoo"/>
    <s v="USB-C Hub"/>
    <x v="2"/>
    <n v="1"/>
    <n v="504.51"/>
    <n v="504.51"/>
    <n v="345.59"/>
    <n v="158.92000000000002"/>
    <n v="0.31499871162117704"/>
    <d v="2025-01-01T00:00:00"/>
    <s v="Jan"/>
  </r>
  <r>
    <s v="ORD0468"/>
    <d v="2025-10-18T00:00:00"/>
    <x v="3"/>
    <x v="1"/>
    <s v="N. Mthembu"/>
    <s v="Office Monitor 24"/>
    <x v="0"/>
    <n v="8"/>
    <n v="3579.58"/>
    <n v="28636.639999999999"/>
    <n v="22322.95"/>
    <n v="6313.6899999999987"/>
    <n v="0.2204759357243028"/>
    <d v="2025-10-01T00:00:00"/>
    <s v="Oct"/>
  </r>
  <r>
    <s v="ORD0469"/>
    <d v="2025-03-21T00:00:00"/>
    <x v="1"/>
    <x v="1"/>
    <s v="A. Mokoena"/>
    <s v="Webcam HD"/>
    <x v="0"/>
    <n v="6"/>
    <n v="796.62"/>
    <n v="4779.72"/>
    <n v="3662.32"/>
    <n v="1117.4000000000001"/>
    <n v="0.23377938456645997"/>
    <d v="2025-03-01T00:00:00"/>
    <s v="Mar"/>
  </r>
  <r>
    <s v="ORD0470"/>
    <d v="2025-11-14T00:00:00"/>
    <x v="1"/>
    <x v="1"/>
    <s v="N. Mthembu"/>
    <s v="Standing Desk"/>
    <x v="1"/>
    <n v="2"/>
    <n v="22401.42"/>
    <n v="44802.84"/>
    <n v="31780.880000000001"/>
    <n v="13021.959999999995"/>
    <n v="0.29065032484547848"/>
    <d v="2025-11-01T00:00:00"/>
    <s v="Nov"/>
  </r>
  <r>
    <s v="ORD0471"/>
    <d v="2025-12-16T00:00:00"/>
    <x v="0"/>
    <x v="1"/>
    <s v="N. Mthembu"/>
    <s v="Webcam HD"/>
    <x v="0"/>
    <n v="5"/>
    <n v="845.88"/>
    <n v="4229.3999999999996"/>
    <n v="3103.61"/>
    <n v="1125.7899999999995"/>
    <n v="0.26618196434482422"/>
    <d v="2025-12-01T00:00:00"/>
    <s v="Dec"/>
  </r>
  <r>
    <s v="ORD0472"/>
    <d v="2025-12-04T00:00:00"/>
    <x v="0"/>
    <x v="1"/>
    <s v="N. Mthembu"/>
    <s v="Wireless Headphones"/>
    <x v="0"/>
    <n v="1"/>
    <n v="1846.04"/>
    <n v="1846.04"/>
    <n v="1285.75"/>
    <n v="560.29"/>
    <n v="0.30350913306320554"/>
    <d v="2025-12-01T00:00:00"/>
    <s v="Dec"/>
  </r>
  <r>
    <s v="ORD0473"/>
    <d v="2025-11-25T00:00:00"/>
    <x v="0"/>
    <x v="1"/>
    <s v="L. Naidoo"/>
    <s v="USB-C Hub"/>
    <x v="2"/>
    <n v="5"/>
    <n v="716.94"/>
    <n v="3584.7000000000003"/>
    <n v="2269.02"/>
    <n v="1315.6800000000003"/>
    <n v="0.36702652941668762"/>
    <d v="2025-11-01T00:00:00"/>
    <s v="Nov"/>
  </r>
  <r>
    <s v="ORD0474"/>
    <d v="2025-12-02T00:00:00"/>
    <x v="1"/>
    <x v="0"/>
    <s v="A. Mokoena"/>
    <s v="Webcam HD"/>
    <x v="0"/>
    <n v="1"/>
    <n v="1040.24"/>
    <n v="1040.24"/>
    <n v="788.95"/>
    <n v="251.28999999999996"/>
    <n v="0.24156925324925013"/>
    <d v="2025-12-01T00:00:00"/>
    <s v="Dec"/>
  </r>
  <r>
    <s v="ORD0475"/>
    <d v="2025-11-12T00:00:00"/>
    <x v="3"/>
    <x v="1"/>
    <s v="A. Mokoena"/>
    <s v="Ergonomic Chair"/>
    <x v="1"/>
    <n v="2"/>
    <n v="18848.77"/>
    <n v="37697.54"/>
    <n v="22569.69"/>
    <n v="15127.850000000002"/>
    <n v="0.40129541609346397"/>
    <d v="2025-11-01T00:00:00"/>
    <s v="Nov"/>
  </r>
  <r>
    <s v="ORD0476"/>
    <d v="2025-04-29T00:00:00"/>
    <x v="1"/>
    <x v="1"/>
    <s v="N. Mthembu"/>
    <s v="Desk Lamp"/>
    <x v="1"/>
    <n v="4"/>
    <n v="453.26"/>
    <n v="1813.04"/>
    <n v="1463.85"/>
    <n v="349.19000000000005"/>
    <n v="0.19259917045404407"/>
    <d v="2025-04-01T00:00:00"/>
    <s v="Apr"/>
  </r>
  <r>
    <s v="ORD0477"/>
    <d v="2025-07-03T00:00:00"/>
    <x v="1"/>
    <x v="0"/>
    <s v="L. Naidoo"/>
    <s v="Webcam HD"/>
    <x v="0"/>
    <n v="2"/>
    <n v="1077.0999999999999"/>
    <n v="2154.1999999999998"/>
    <n v="1342.7"/>
    <n v="811.49999999999977"/>
    <n v="0.3767059697335437"/>
    <d v="2025-07-01T00:00:00"/>
    <s v="Jul"/>
  </r>
  <r>
    <s v="ORD0478"/>
    <d v="2025-10-01T00:00:00"/>
    <x v="2"/>
    <x v="0"/>
    <s v="S. Jacobs"/>
    <s v="External SSD 1TB"/>
    <x v="0"/>
    <n v="6"/>
    <n v="3823.92"/>
    <n v="22943.52"/>
    <n v="18796.34"/>
    <n v="4147.18"/>
    <n v="0.1807560478950048"/>
    <d v="2025-10-01T00:00:00"/>
    <s v="Oct"/>
  </r>
  <r>
    <s v="ORD0479"/>
    <d v="2025-06-15T00:00:00"/>
    <x v="1"/>
    <x v="1"/>
    <s v="A. Mokoena"/>
    <s v="External SSD 1TB"/>
    <x v="0"/>
    <n v="5"/>
    <n v="2577.75"/>
    <n v="12888.75"/>
    <n v="8874.89"/>
    <n v="4013.8600000000006"/>
    <n v="0.31142352827077885"/>
    <d v="2025-06-01T00:00:00"/>
    <s v="Jun"/>
  </r>
  <r>
    <s v="ORD0480"/>
    <d v="2025-05-26T00:00:00"/>
    <x v="3"/>
    <x v="0"/>
    <s v="A. Mokoena"/>
    <s v="External SSD 1TB"/>
    <x v="0"/>
    <n v="5"/>
    <n v="1808.04"/>
    <n v="9040.2000000000007"/>
    <n v="7379.11"/>
    <n v="1661.0900000000011"/>
    <n v="0.18374482865423342"/>
    <d v="2025-05-01T00:00:00"/>
    <s v="May"/>
  </r>
  <r>
    <s v="ORD0481"/>
    <d v="2025-12-20T00:00:00"/>
    <x v="2"/>
    <x v="0"/>
    <s v="N. Mthembu"/>
    <s v="Ergonomic Chair"/>
    <x v="1"/>
    <n v="1"/>
    <n v="17927.77"/>
    <n v="17927.77"/>
    <n v="11069.78"/>
    <n v="6857.99"/>
    <n v="0.38253447026596166"/>
    <d v="2025-12-01T00:00:00"/>
    <s v="Dec"/>
  </r>
  <r>
    <s v="ORD0482"/>
    <d v="2025-05-08T00:00:00"/>
    <x v="0"/>
    <x v="0"/>
    <s v="S. Jacobs"/>
    <s v="Mechanical Keyboard"/>
    <x v="2"/>
    <n v="7"/>
    <n v="3406.41"/>
    <n v="23844.87"/>
    <n v="15074.37"/>
    <n v="8770.4999999999982"/>
    <n v="0.36781496397338287"/>
    <d v="2025-05-01T00:00:00"/>
    <s v="May"/>
  </r>
  <r>
    <s v="ORD0483"/>
    <d v="2025-03-30T00:00:00"/>
    <x v="1"/>
    <x v="1"/>
    <s v="A. Mokoena"/>
    <s v="Webcam HD"/>
    <x v="0"/>
    <n v="5"/>
    <n v="779.52"/>
    <n v="3897.6"/>
    <n v="3016.75"/>
    <n v="880.84999999999991"/>
    <n v="0.22599805008210178"/>
    <d v="2025-03-01T00:00:00"/>
    <s v="Mar"/>
  </r>
  <r>
    <s v="ORD0484"/>
    <d v="2025-06-21T00:00:00"/>
    <x v="0"/>
    <x v="0"/>
    <s v="A. Mokoena"/>
    <s v="Standing Desk"/>
    <x v="1"/>
    <n v="2"/>
    <n v="17306.82"/>
    <n v="34613.64"/>
    <n v="21959.32"/>
    <n v="12654.32"/>
    <n v="0.36558767006301562"/>
    <d v="2025-06-01T00:00:00"/>
    <s v="Jun"/>
  </r>
  <r>
    <s v="ORD0485"/>
    <d v="2025-06-06T00:00:00"/>
    <x v="3"/>
    <x v="1"/>
    <s v="S. Jacobs"/>
    <s v="Desk Lamp"/>
    <x v="1"/>
    <n v="3"/>
    <n v="774.22"/>
    <n v="2322.66"/>
    <n v="1736.11"/>
    <n v="586.54999999999995"/>
    <n v="0.25253373287523789"/>
    <d v="2025-06-01T00:00:00"/>
    <s v="Jun"/>
  </r>
  <r>
    <s v="ORD0486"/>
    <d v="2025-08-17T00:00:00"/>
    <x v="3"/>
    <x v="0"/>
    <s v="A. Mokoena"/>
    <s v="External SSD 1TB"/>
    <x v="0"/>
    <n v="7"/>
    <n v="1568.17"/>
    <n v="10977.19"/>
    <n v="7405.62"/>
    <n v="3571.5700000000006"/>
    <n v="0.32536286608868031"/>
    <d v="2025-08-01T00:00:00"/>
    <s v="Aug"/>
  </r>
  <r>
    <s v="ORD0487"/>
    <d v="2025-09-01T00:00:00"/>
    <x v="1"/>
    <x v="1"/>
    <s v="L. Naidoo"/>
    <s v="External SSD 1TB"/>
    <x v="0"/>
    <n v="7"/>
    <n v="1241.1199999999999"/>
    <n v="8687.84"/>
    <n v="5869.91"/>
    <n v="2817.9300000000003"/>
    <n v="0.32435334904878543"/>
    <d v="2025-09-01T00:00:00"/>
    <s v="Sep"/>
  </r>
  <r>
    <s v="ORD0488"/>
    <d v="2025-09-04T00:00:00"/>
    <x v="3"/>
    <x v="1"/>
    <s v="A. Mokoena"/>
    <s v="Desk Lamp"/>
    <x v="1"/>
    <n v="4"/>
    <n v="662"/>
    <n v="2648"/>
    <n v="2169.5"/>
    <n v="478.5"/>
    <n v="0.180702416918429"/>
    <d v="2025-09-01T00:00:00"/>
    <s v="Sep"/>
  </r>
  <r>
    <s v="ORD0489"/>
    <d v="2025-05-17T00:00:00"/>
    <x v="2"/>
    <x v="0"/>
    <s v="N. Mthembu"/>
    <s v="USB-C Hub"/>
    <x v="2"/>
    <n v="7"/>
    <n v="359.42"/>
    <n v="2515.94"/>
    <n v="1669.56"/>
    <n v="846.38000000000011"/>
    <n v="0.33640706853104607"/>
    <d v="2025-05-01T00:00:00"/>
    <s v="May"/>
  </r>
  <r>
    <s v="ORD0490"/>
    <d v="2025-12-02T00:00:00"/>
    <x v="1"/>
    <x v="1"/>
    <s v="S. Jacobs"/>
    <s v="Laptop Pro 14"/>
    <x v="0"/>
    <n v="6"/>
    <n v="22112.31"/>
    <n v="132673.86000000002"/>
    <n v="108479.22"/>
    <n v="24194.640000000014"/>
    <n v="0.18236177043465843"/>
    <d v="2025-12-01T00:00:00"/>
    <s v="Dec"/>
  </r>
  <r>
    <s v="ORD0491"/>
    <d v="2025-01-23T00:00:00"/>
    <x v="3"/>
    <x v="0"/>
    <s v="A. Mokoena"/>
    <s v="Mechanical Keyboard"/>
    <x v="2"/>
    <n v="2"/>
    <n v="3654.84"/>
    <n v="7309.68"/>
    <n v="4335.29"/>
    <n v="2974.3900000000003"/>
    <n v="0.40691110965185895"/>
    <d v="2025-01-01T00:00:00"/>
    <s v="Jan"/>
  </r>
  <r>
    <s v="ORD0492"/>
    <d v="2025-06-25T00:00:00"/>
    <x v="3"/>
    <x v="1"/>
    <s v="N. Mthembu"/>
    <s v="Wireless Headphones"/>
    <x v="0"/>
    <n v="1"/>
    <n v="4431.8"/>
    <n v="4431.8"/>
    <n v="3357.55"/>
    <n v="1074.25"/>
    <n v="0.24239586623945122"/>
    <d v="2025-06-01T00:00:00"/>
    <s v="Jun"/>
  </r>
  <r>
    <s v="ORD0493"/>
    <d v="2025-09-25T00:00:00"/>
    <x v="1"/>
    <x v="1"/>
    <s v="T. Dlamini"/>
    <s v="Ergonomic Chair"/>
    <x v="1"/>
    <n v="3"/>
    <n v="18692.900000000001"/>
    <n v="56078.700000000004"/>
    <n v="41519.69"/>
    <n v="14559.010000000002"/>
    <n v="0.25961746616808168"/>
    <d v="2025-09-01T00:00:00"/>
    <s v="Sep"/>
  </r>
  <r>
    <s v="ORD0494"/>
    <d v="2025-03-29T00:00:00"/>
    <x v="0"/>
    <x v="1"/>
    <s v="S. Jacobs"/>
    <s v="Laptop Pro 14"/>
    <x v="0"/>
    <n v="5"/>
    <n v="12432.65"/>
    <n v="62163.25"/>
    <n v="45823.14"/>
    <n v="16340.11"/>
    <n v="0.26285803911475031"/>
    <d v="2025-03-01T00:00:00"/>
    <s v="Mar"/>
  </r>
  <r>
    <s v="ORD0495"/>
    <d v="2025-12-05T00:00:00"/>
    <x v="1"/>
    <x v="1"/>
    <s v="S. Jacobs"/>
    <s v="Ergonomic Chair"/>
    <x v="1"/>
    <n v="2"/>
    <n v="17951.59"/>
    <n v="35903.18"/>
    <n v="28298.11"/>
    <n v="7605.07"/>
    <n v="0.21182162694223741"/>
    <d v="2025-12-01T00:00:00"/>
    <s v="Dec"/>
  </r>
  <r>
    <s v="ORD0496"/>
    <d v="2025-09-18T00:00:00"/>
    <x v="1"/>
    <x v="1"/>
    <s v="A. Mokoena"/>
    <s v="Wireless Headphones"/>
    <x v="0"/>
    <n v="2"/>
    <n v="4564.57"/>
    <n v="9129.14"/>
    <n v="6391.82"/>
    <n v="2737.3199999999997"/>
    <n v="0.29984423505390428"/>
    <d v="2025-09-01T00:00:00"/>
    <s v="Sep"/>
  </r>
  <r>
    <s v="ORD0497"/>
    <d v="2025-05-07T00:00:00"/>
    <x v="2"/>
    <x v="0"/>
    <s v="T. Dlamini"/>
    <s v="Desk Lamp"/>
    <x v="1"/>
    <n v="7"/>
    <n v="787.71"/>
    <n v="5513.97"/>
    <n v="3222.42"/>
    <n v="2291.5500000000002"/>
    <n v="0.41558985631042605"/>
    <d v="2025-05-01T00:00:00"/>
    <s v="May"/>
  </r>
  <r>
    <s v="ORD0498"/>
    <d v="2025-05-01T00:00:00"/>
    <x v="0"/>
    <x v="0"/>
    <s v="L. Naidoo"/>
    <s v="Desk Lamp"/>
    <x v="1"/>
    <n v="5"/>
    <n v="957.4"/>
    <n v="4787"/>
    <n v="3799.43"/>
    <n v="987.57000000000016"/>
    <n v="0.20630248589931066"/>
    <d v="2025-05-01T00:00:00"/>
    <s v="May"/>
  </r>
  <r>
    <s v="ORD0499"/>
    <d v="2025-03-19T00:00:00"/>
    <x v="3"/>
    <x v="0"/>
    <s v="L. Naidoo"/>
    <s v="Standing Desk"/>
    <x v="1"/>
    <n v="7"/>
    <n v="15499.96"/>
    <n v="108499.72"/>
    <n v="80584.78"/>
    <n v="27914.940000000002"/>
    <n v="0.25728121694691936"/>
    <d v="2025-03-01T00:00:00"/>
    <s v="Mar"/>
  </r>
  <r>
    <s v="ORD0500"/>
    <d v="2025-10-21T00:00:00"/>
    <x v="3"/>
    <x v="1"/>
    <s v="L. Naidoo"/>
    <s v="Office Monitor 24"/>
    <x v="0"/>
    <n v="6"/>
    <n v="3423.84"/>
    <n v="20543.04"/>
    <n v="12564.64"/>
    <n v="7978.4000000000015"/>
    <n v="0.38837484617661266"/>
    <d v="2025-10-01T00:00:00"/>
    <s v="Oct"/>
  </r>
  <r>
    <s v="ORD0501"/>
    <d v="2025-06-08T00:00:00"/>
    <x v="3"/>
    <x v="0"/>
    <s v="A. Mokoena"/>
    <s v="Desk Lamp"/>
    <x v="1"/>
    <n v="3"/>
    <n v="1216.8699999999999"/>
    <n v="3650.6099999999997"/>
    <n v="2612.2399999999998"/>
    <n v="1038.3699999999999"/>
    <n v="0.28443739539419438"/>
    <d v="2025-06-01T00:00:00"/>
    <s v="Jun"/>
  </r>
  <r>
    <s v="ORD0502"/>
    <d v="2025-10-13T00:00:00"/>
    <x v="0"/>
    <x v="0"/>
    <s v="S. Jacobs"/>
    <s v="Desk Lamp"/>
    <x v="1"/>
    <n v="6"/>
    <n v="467.74"/>
    <n v="2806.44"/>
    <n v="1725.75"/>
    <n v="1080.69"/>
    <n v="0.3850750416898277"/>
    <d v="2025-10-01T00:00:00"/>
    <s v="Oct"/>
  </r>
  <r>
    <s v="ORD0503"/>
    <d v="2025-07-30T00:00:00"/>
    <x v="2"/>
    <x v="1"/>
    <s v="N. Mthembu"/>
    <s v="Ergonomic Chair"/>
    <x v="1"/>
    <n v="4"/>
    <n v="14979.38"/>
    <n v="59917.52"/>
    <n v="37408.85"/>
    <n v="22508.67"/>
    <n v="0.37566090852892442"/>
    <d v="2025-07-01T00:00:00"/>
    <s v="Jul"/>
  </r>
  <r>
    <s v="ORD0504"/>
    <d v="2025-04-29T00:00:00"/>
    <x v="1"/>
    <x v="0"/>
    <s v="L. Naidoo"/>
    <s v="Mechanical Keyboard"/>
    <x v="2"/>
    <n v="2"/>
    <n v="1154.8800000000001"/>
    <n v="2309.7600000000002"/>
    <n v="1603.86"/>
    <n v="705.90000000000032"/>
    <n v="0.30561616791354956"/>
    <d v="2025-04-01T00:00:00"/>
    <s v="Apr"/>
  </r>
  <r>
    <s v="ORD0505"/>
    <d v="2025-07-18T00:00:00"/>
    <x v="0"/>
    <x v="0"/>
    <s v="S. Jacobs"/>
    <s v="Webcam HD"/>
    <x v="0"/>
    <n v="4"/>
    <n v="394.17"/>
    <n v="1576.68"/>
    <n v="1069.0899999999999"/>
    <n v="507.59000000000015"/>
    <n v="0.32193596671486929"/>
    <d v="2025-07-01T00:00:00"/>
    <s v="Jul"/>
  </r>
  <r>
    <s v="ORD0506"/>
    <d v="2025-04-24T00:00:00"/>
    <x v="1"/>
    <x v="0"/>
    <s v="S. Jacobs"/>
    <s v="Mechanical Keyboard"/>
    <x v="2"/>
    <n v="3"/>
    <n v="2794.96"/>
    <n v="8384.880000000001"/>
    <n v="6846.68"/>
    <n v="1538.2000000000007"/>
    <n v="0.18344925628035233"/>
    <d v="2025-04-01T00:00:00"/>
    <s v="Apr"/>
  </r>
  <r>
    <s v="ORD0507"/>
    <d v="2025-05-07T00:00:00"/>
    <x v="0"/>
    <x v="1"/>
    <s v="S. Jacobs"/>
    <s v="USB-C Hub"/>
    <x v="2"/>
    <n v="7"/>
    <n v="910.4"/>
    <n v="6372.8"/>
    <n v="4299.07"/>
    <n v="2073.7300000000005"/>
    <n v="0.32540327642480549"/>
    <d v="2025-05-01T00:00:00"/>
    <s v="May"/>
  </r>
  <r>
    <s v="ORD0508"/>
    <d v="2025-08-22T00:00:00"/>
    <x v="0"/>
    <x v="1"/>
    <s v="T. Dlamini"/>
    <s v="Laptop Pro 14"/>
    <x v="0"/>
    <n v="1"/>
    <n v="13175.31"/>
    <n v="13175.31"/>
    <n v="9273.7099999999991"/>
    <n v="3901.6000000000004"/>
    <n v="0.29612965463431223"/>
    <d v="2025-08-01T00:00:00"/>
    <s v="Aug"/>
  </r>
  <r>
    <s v="ORD0509"/>
    <d v="2025-08-14T00:00:00"/>
    <x v="0"/>
    <x v="1"/>
    <s v="S. Jacobs"/>
    <s v="USB-C Hub"/>
    <x v="2"/>
    <n v="3"/>
    <n v="710.8"/>
    <n v="2132.3999999999996"/>
    <n v="1550.58"/>
    <n v="581.81999999999971"/>
    <n v="0.27284749577940343"/>
    <d v="2025-08-01T00:00:00"/>
    <s v="Aug"/>
  </r>
  <r>
    <s v="ORD0510"/>
    <d v="2025-11-27T00:00:00"/>
    <x v="0"/>
    <x v="1"/>
    <s v="S. Jacobs"/>
    <s v="Webcam HD"/>
    <x v="0"/>
    <n v="3"/>
    <n v="424.72"/>
    <n v="1274.1600000000001"/>
    <n v="837.93"/>
    <n v="436.23000000000013"/>
    <n v="0.34236673573177628"/>
    <d v="2025-11-01T00:00:00"/>
    <s v="Nov"/>
  </r>
  <r>
    <s v="ORD0511"/>
    <d v="2025-10-30T00:00:00"/>
    <x v="3"/>
    <x v="1"/>
    <s v="A. Mokoena"/>
    <s v="Mechanical Keyboard"/>
    <x v="2"/>
    <n v="6"/>
    <n v="1700.81"/>
    <n v="10204.86"/>
    <n v="8140.61"/>
    <n v="2064.2500000000009"/>
    <n v="0.20228106999998047"/>
    <d v="2025-10-01T00:00:00"/>
    <s v="Oct"/>
  </r>
  <r>
    <s v="ORD0512"/>
    <d v="2025-02-28T00:00:00"/>
    <x v="3"/>
    <x v="0"/>
    <s v="N. Mthembu"/>
    <s v="Webcam HD"/>
    <x v="0"/>
    <n v="7"/>
    <n v="352.29"/>
    <n v="2466.0300000000002"/>
    <n v="2007.46"/>
    <n v="458.57000000000016"/>
    <n v="0.18595475318629542"/>
    <d v="2025-02-01T00:00:00"/>
    <s v="Feb"/>
  </r>
  <r>
    <s v="ORD0513"/>
    <d v="2025-07-14T00:00:00"/>
    <x v="3"/>
    <x v="1"/>
    <s v="L. Naidoo"/>
    <s v="Laptop Pro 14"/>
    <x v="0"/>
    <n v="6"/>
    <n v="21869.75"/>
    <n v="131218.5"/>
    <n v="96876.95"/>
    <n v="34341.550000000003"/>
    <n v="0.26171271581370009"/>
    <d v="2025-07-01T00:00:00"/>
    <s v="Jul"/>
  </r>
  <r>
    <s v="ORD0514"/>
    <d v="2025-04-02T00:00:00"/>
    <x v="3"/>
    <x v="1"/>
    <s v="A. Mokoena"/>
    <s v="Laptop Pro 14"/>
    <x v="0"/>
    <n v="8"/>
    <n v="15203.42"/>
    <n v="121627.36"/>
    <n v="75818.490000000005"/>
    <n v="45808.869999999995"/>
    <n v="0.37663293850988788"/>
    <d v="2025-04-01T00:00:00"/>
    <s v="Apr"/>
  </r>
  <r>
    <s v="ORD0515"/>
    <d v="2025-11-15T00:00:00"/>
    <x v="1"/>
    <x v="1"/>
    <s v="L. Naidoo"/>
    <s v="Ergonomic Chair"/>
    <x v="1"/>
    <n v="8"/>
    <n v="9280.0400000000009"/>
    <n v="74240.320000000007"/>
    <n v="43161.85"/>
    <n v="31078.470000000008"/>
    <n v="0.41861982814729254"/>
    <d v="2025-11-01T00:00:00"/>
    <s v="Nov"/>
  </r>
  <r>
    <s v="ORD0516"/>
    <d v="2025-10-29T00:00:00"/>
    <x v="2"/>
    <x v="1"/>
    <s v="A. Mokoena"/>
    <s v="Webcam HD"/>
    <x v="0"/>
    <n v="2"/>
    <n v="716.21"/>
    <n v="1432.42"/>
    <n v="833.06"/>
    <n v="599.36000000000013"/>
    <n v="0.41842476368662829"/>
    <d v="2025-10-01T00:00:00"/>
    <s v="Oct"/>
  </r>
  <r>
    <s v="ORD0517"/>
    <d v="2025-04-05T00:00:00"/>
    <x v="2"/>
    <x v="0"/>
    <s v="A. Mokoena"/>
    <s v="Office Monitor 24"/>
    <x v="0"/>
    <n v="3"/>
    <n v="4025.01"/>
    <n v="12075.03"/>
    <n v="8936.48"/>
    <n v="3138.5500000000011"/>
    <n v="0.25992067928609708"/>
    <d v="2025-04-01T00:00:00"/>
    <s v="Apr"/>
  </r>
  <r>
    <s v="ORD0518"/>
    <d v="2025-01-26T00:00:00"/>
    <x v="3"/>
    <x v="0"/>
    <s v="N. Mthembu"/>
    <s v="Wireless Headphones"/>
    <x v="0"/>
    <n v="5"/>
    <n v="2412.4299999999998"/>
    <n v="12062.15"/>
    <n v="8997.92"/>
    <n v="3064.2299999999996"/>
    <n v="0.25403680106780296"/>
    <d v="2025-01-01T00:00:00"/>
    <s v="Jan"/>
  </r>
  <r>
    <s v="ORD0519"/>
    <d v="2025-07-04T00:00:00"/>
    <x v="1"/>
    <x v="1"/>
    <s v="T. Dlamini"/>
    <s v="Laptop Pro 14"/>
    <x v="0"/>
    <n v="6"/>
    <n v="11361.8"/>
    <n v="68170.799999999988"/>
    <n v="52959.41"/>
    <n v="15211.389999999985"/>
    <n v="0.22313644551626191"/>
    <d v="2025-07-01T00:00:00"/>
    <s v="Jul"/>
  </r>
  <r>
    <s v="ORD0520"/>
    <d v="2025-08-30T00:00:00"/>
    <x v="0"/>
    <x v="1"/>
    <s v="N. Mthembu"/>
    <s v="Office Monitor 24"/>
    <x v="0"/>
    <n v="7"/>
    <n v="3163.52"/>
    <n v="22144.639999999999"/>
    <n v="16542.03"/>
    <n v="5602.6100000000006"/>
    <n v="0.25300072613508284"/>
    <d v="2025-08-01T00:00:00"/>
    <s v="Aug"/>
  </r>
  <r>
    <s v="ORD0521"/>
    <d v="2025-11-19T00:00:00"/>
    <x v="2"/>
    <x v="0"/>
    <s v="L. Naidoo"/>
    <s v="Desk Lamp"/>
    <x v="1"/>
    <n v="5"/>
    <n v="976.54"/>
    <n v="4882.7"/>
    <n v="3825.46"/>
    <n v="1057.2399999999998"/>
    <n v="0.21652774079914797"/>
    <d v="2025-11-01T00:00:00"/>
    <s v="Nov"/>
  </r>
  <r>
    <s v="ORD0522"/>
    <d v="2025-11-11T00:00:00"/>
    <x v="2"/>
    <x v="1"/>
    <s v="A. Mokoena"/>
    <s v="External SSD 1TB"/>
    <x v="0"/>
    <n v="3"/>
    <n v="5358.9"/>
    <n v="16076.699999999999"/>
    <n v="10222.42"/>
    <n v="5854.2799999999988"/>
    <n v="0.36414687093744358"/>
    <d v="2025-11-01T00:00:00"/>
    <s v="Nov"/>
  </r>
  <r>
    <s v="ORD0523"/>
    <d v="2025-03-02T00:00:00"/>
    <x v="1"/>
    <x v="1"/>
    <s v="T. Dlamini"/>
    <s v="Laptop Pro 14"/>
    <x v="0"/>
    <n v="4"/>
    <n v="17611.509999999998"/>
    <n v="70446.039999999994"/>
    <n v="57748.63"/>
    <n v="12697.409999999996"/>
    <n v="0.18024306263347092"/>
    <d v="2025-03-01T00:00:00"/>
    <s v="Mar"/>
  </r>
  <r>
    <s v="ORD0524"/>
    <d v="2025-06-29T00:00:00"/>
    <x v="0"/>
    <x v="0"/>
    <s v="T. Dlamini"/>
    <s v="Desk Lamp"/>
    <x v="1"/>
    <n v="4"/>
    <n v="270.92"/>
    <n v="1083.68"/>
    <n v="694.7"/>
    <n v="388.98"/>
    <n v="0.35894359958659383"/>
    <d v="2025-06-01T00:00:00"/>
    <s v="Jun"/>
  </r>
  <r>
    <s v="ORD0525"/>
    <d v="2025-09-17T00:00:00"/>
    <x v="0"/>
    <x v="1"/>
    <s v="L. Naidoo"/>
    <s v="Desk Lamp"/>
    <x v="1"/>
    <n v="6"/>
    <n v="354.39"/>
    <n v="2126.34"/>
    <n v="1602.95"/>
    <n v="523.3900000000001"/>
    <n v="0.24614595972422099"/>
    <d v="2025-09-01T00:00:00"/>
    <s v="Sep"/>
  </r>
  <r>
    <s v="ORD0526"/>
    <d v="2025-06-19T00:00:00"/>
    <x v="1"/>
    <x v="1"/>
    <s v="S. Jacobs"/>
    <s v="Standing Desk"/>
    <x v="1"/>
    <n v="8"/>
    <n v="21207.03"/>
    <n v="169656.24"/>
    <n v="124689.96"/>
    <n v="44966.279999999984"/>
    <n v="0.26504347850689125"/>
    <d v="2025-06-01T00:00:00"/>
    <s v="Jun"/>
  </r>
  <r>
    <s v="ORD0527"/>
    <d v="2025-10-02T00:00:00"/>
    <x v="2"/>
    <x v="1"/>
    <s v="L. Naidoo"/>
    <s v="Standing Desk"/>
    <x v="1"/>
    <n v="1"/>
    <n v="17688.009999999998"/>
    <n v="17688.009999999998"/>
    <n v="11529.8"/>
    <n v="6158.2099999999991"/>
    <n v="0.34815731108247899"/>
    <d v="2025-10-01T00:00:00"/>
    <s v="Oct"/>
  </r>
  <r>
    <s v="ORD0528"/>
    <d v="2025-10-23T00:00:00"/>
    <x v="1"/>
    <x v="1"/>
    <s v="N. Mthembu"/>
    <s v="Standing Desk"/>
    <x v="1"/>
    <n v="5"/>
    <n v="15801.11"/>
    <n v="79005.55"/>
    <n v="52254"/>
    <n v="26751.550000000003"/>
    <n v="0.33860342722758086"/>
    <d v="2025-10-01T00:00:00"/>
    <s v="Oct"/>
  </r>
  <r>
    <s v="ORD0529"/>
    <d v="2025-11-07T00:00:00"/>
    <x v="0"/>
    <x v="0"/>
    <s v="S. Jacobs"/>
    <s v="USB-C Hub"/>
    <x v="2"/>
    <n v="5"/>
    <n v="1181.5999999999999"/>
    <n v="5908"/>
    <n v="3872.57"/>
    <n v="2035.4299999999998"/>
    <n v="0.34452098849018276"/>
    <d v="2025-11-01T00:00:00"/>
    <s v="Nov"/>
  </r>
  <r>
    <s v="ORD0530"/>
    <d v="2025-02-14T00:00:00"/>
    <x v="0"/>
    <x v="0"/>
    <s v="A. Mokoena"/>
    <s v="Webcam HD"/>
    <x v="0"/>
    <n v="5"/>
    <n v="671.58"/>
    <n v="3357.9"/>
    <n v="2191.2199999999998"/>
    <n v="1166.6800000000003"/>
    <n v="0.34744334256529386"/>
    <d v="2025-02-01T00:00:00"/>
    <s v="Feb"/>
  </r>
  <r>
    <s v="ORD0531"/>
    <d v="2025-04-14T00:00:00"/>
    <x v="2"/>
    <x v="0"/>
    <s v="N. Mthembu"/>
    <s v="Wireless Headphones"/>
    <x v="0"/>
    <n v="8"/>
    <n v="1193.4100000000001"/>
    <n v="9547.2800000000007"/>
    <n v="5890.47"/>
    <n v="3656.8100000000004"/>
    <n v="0.38302113272052357"/>
    <d v="2025-04-01T00:00:00"/>
    <s v="Apr"/>
  </r>
  <r>
    <s v="ORD0532"/>
    <d v="2025-06-08T00:00:00"/>
    <x v="1"/>
    <x v="1"/>
    <s v="A. Mokoena"/>
    <s v="Standing Desk"/>
    <x v="1"/>
    <n v="3"/>
    <n v="10677.95"/>
    <n v="32033.850000000002"/>
    <n v="18860.650000000001"/>
    <n v="13173.2"/>
    <n v="0.4112274984118362"/>
    <d v="2025-06-01T00:00:00"/>
    <s v="Jun"/>
  </r>
  <r>
    <s v="ORD0533"/>
    <d v="2025-06-09T00:00:00"/>
    <x v="2"/>
    <x v="1"/>
    <s v="N. Mthembu"/>
    <s v="Laptop Pro 14"/>
    <x v="0"/>
    <n v="8"/>
    <n v="21832.67"/>
    <n v="174661.36"/>
    <n v="105625.53"/>
    <n v="69035.829999999987"/>
    <n v="0.39525531004682429"/>
    <d v="2025-06-01T00:00:00"/>
    <s v="Jun"/>
  </r>
  <r>
    <s v="ORD0534"/>
    <d v="2025-06-09T00:00:00"/>
    <x v="1"/>
    <x v="1"/>
    <s v="T. Dlamini"/>
    <s v="Mechanical Keyboard"/>
    <x v="2"/>
    <n v="5"/>
    <n v="2428.4499999999998"/>
    <n v="12142.25"/>
    <n v="7972.55"/>
    <n v="4169.7"/>
    <n v="0.34340422903498113"/>
    <d v="2025-06-01T00:00:00"/>
    <s v="Jun"/>
  </r>
  <r>
    <s v="ORD0535"/>
    <d v="2025-03-18T00:00:00"/>
    <x v="2"/>
    <x v="0"/>
    <s v="L. Naidoo"/>
    <s v="Office Monitor 24"/>
    <x v="0"/>
    <n v="2"/>
    <n v="1729.2"/>
    <n v="3458.4"/>
    <n v="2296.64"/>
    <n v="1161.7600000000002"/>
    <n v="0.3359241267638215"/>
    <d v="2025-03-01T00:00:00"/>
    <s v="Mar"/>
  </r>
  <r>
    <s v="ORD0536"/>
    <d v="2025-12-27T00:00:00"/>
    <x v="1"/>
    <x v="1"/>
    <s v="L. Naidoo"/>
    <s v="Ergonomic Chair"/>
    <x v="1"/>
    <n v="2"/>
    <n v="17710.68"/>
    <n v="35421.360000000001"/>
    <n v="28129.46"/>
    <n v="7291.9000000000015"/>
    <n v="0.20586166087355204"/>
    <d v="2025-12-01T00:00:00"/>
    <s v="Dec"/>
  </r>
  <r>
    <s v="ORD0537"/>
    <d v="2025-01-15T00:00:00"/>
    <x v="3"/>
    <x v="0"/>
    <s v="N. Mthembu"/>
    <s v="Webcam HD"/>
    <x v="0"/>
    <n v="7"/>
    <n v="326.05"/>
    <n v="2282.35"/>
    <n v="1557.37"/>
    <n v="724.98"/>
    <n v="0.31764628562665675"/>
    <d v="2025-01-01T00:00:00"/>
    <s v="Jan"/>
  </r>
  <r>
    <s v="ORD0538"/>
    <d v="2025-07-02T00:00:00"/>
    <x v="1"/>
    <x v="1"/>
    <s v="A. Mokoena"/>
    <s v="Ergonomic Chair"/>
    <x v="1"/>
    <n v="2"/>
    <n v="15812.37"/>
    <n v="31624.74"/>
    <n v="24078.39"/>
    <n v="7546.3500000000022"/>
    <n v="0.23862172463710379"/>
    <d v="2025-07-01T00:00:00"/>
    <s v="Jul"/>
  </r>
  <r>
    <s v="ORD0539"/>
    <d v="2025-12-24T00:00:00"/>
    <x v="3"/>
    <x v="0"/>
    <s v="T. Dlamini"/>
    <s v="Webcam HD"/>
    <x v="0"/>
    <n v="8"/>
    <n v="563.66"/>
    <n v="4509.28"/>
    <n v="3640.74"/>
    <n v="868.54"/>
    <n v="0.19261168080048258"/>
    <d v="2025-12-01T00:00:00"/>
    <s v="Dec"/>
  </r>
  <r>
    <s v="ORD0540"/>
    <d v="2025-07-20T00:00:00"/>
    <x v="1"/>
    <x v="1"/>
    <s v="T. Dlamini"/>
    <s v="Office Monitor 24"/>
    <x v="0"/>
    <n v="6"/>
    <n v="3572.31"/>
    <n v="21433.86"/>
    <n v="12587.32"/>
    <n v="8846.5400000000009"/>
    <n v="0.4127366699231963"/>
    <d v="2025-07-01T00:00:00"/>
    <s v="Jul"/>
  </r>
  <r>
    <s v="ORD0541"/>
    <d v="2025-09-03T00:00:00"/>
    <x v="0"/>
    <x v="0"/>
    <s v="A. Mokoena"/>
    <s v="Webcam HD"/>
    <x v="0"/>
    <n v="6"/>
    <n v="1057.6400000000001"/>
    <n v="6345.84"/>
    <n v="3874.61"/>
    <n v="2471.23"/>
    <n v="0.38942519824010691"/>
    <d v="2025-09-01T00:00:00"/>
    <s v="Sep"/>
  </r>
  <r>
    <s v="ORD0542"/>
    <d v="2025-06-16T00:00:00"/>
    <x v="1"/>
    <x v="1"/>
    <s v="N. Mthembu"/>
    <s v="Desk Lamp"/>
    <x v="1"/>
    <n v="5"/>
    <n v="1067.95"/>
    <n v="5339.75"/>
    <n v="3610.72"/>
    <n v="1729.0300000000002"/>
    <n v="0.32380354885528351"/>
    <d v="2025-06-01T00:00:00"/>
    <s v="Jun"/>
  </r>
  <r>
    <s v="ORD0543"/>
    <d v="2025-05-05T00:00:00"/>
    <x v="1"/>
    <x v="0"/>
    <s v="N. Mthembu"/>
    <s v="Desk Lamp"/>
    <x v="1"/>
    <n v="2"/>
    <n v="622.52"/>
    <n v="1245.04"/>
    <n v="965.33"/>
    <n v="279.70999999999992"/>
    <n v="0.22465944869241145"/>
    <d v="2025-05-01T00:00:00"/>
    <s v="May"/>
  </r>
  <r>
    <s v="ORD0544"/>
    <d v="2025-06-25T00:00:00"/>
    <x v="1"/>
    <x v="1"/>
    <s v="N. Mthembu"/>
    <s v="Desk Lamp"/>
    <x v="1"/>
    <n v="2"/>
    <n v="447.44"/>
    <n v="894.88"/>
    <n v="671.93"/>
    <n v="222.95000000000005"/>
    <n v="0.24913954943679606"/>
    <d v="2025-06-01T00:00:00"/>
    <s v="Jun"/>
  </r>
  <r>
    <s v="ORD0545"/>
    <d v="2025-11-02T00:00:00"/>
    <x v="0"/>
    <x v="1"/>
    <s v="N. Mthembu"/>
    <s v="Webcam HD"/>
    <x v="0"/>
    <n v="8"/>
    <n v="1020.34"/>
    <n v="8162.72"/>
    <n v="6607"/>
    <n v="1555.7200000000003"/>
    <n v="0.19058843130721134"/>
    <d v="2025-11-01T00:00:00"/>
    <s v="Nov"/>
  </r>
  <r>
    <s v="ORD0546"/>
    <d v="2025-07-14T00:00:00"/>
    <x v="0"/>
    <x v="1"/>
    <s v="L. Naidoo"/>
    <s v="Standing Desk"/>
    <x v="1"/>
    <n v="4"/>
    <n v="18182.13"/>
    <n v="72728.52"/>
    <n v="57669.55"/>
    <n v="15058.970000000001"/>
    <n v="0.2070572864675371"/>
    <d v="2025-07-01T00:00:00"/>
    <s v="Jul"/>
  </r>
  <r>
    <s v="ORD0547"/>
    <d v="2025-08-20T00:00:00"/>
    <x v="2"/>
    <x v="0"/>
    <s v="N. Mthembu"/>
    <s v="Desk Lamp"/>
    <x v="1"/>
    <n v="8"/>
    <n v="826.44"/>
    <n v="6611.52"/>
    <n v="4916.09"/>
    <n v="1695.4300000000003"/>
    <n v="0.25643573641159678"/>
    <d v="2025-08-01T00:00:00"/>
    <s v="Aug"/>
  </r>
  <r>
    <s v="ORD0548"/>
    <d v="2025-12-14T00:00:00"/>
    <x v="3"/>
    <x v="0"/>
    <s v="A. Mokoena"/>
    <s v="Ergonomic Chair"/>
    <x v="1"/>
    <n v="1"/>
    <n v="16481.490000000002"/>
    <n v="16481.490000000002"/>
    <n v="11578.28"/>
    <n v="4903.2100000000009"/>
    <n v="0.29749798106845926"/>
    <d v="2025-12-01T00:00:00"/>
    <s v="Dec"/>
  </r>
  <r>
    <s v="ORD0549"/>
    <d v="2025-07-09T00:00:00"/>
    <x v="0"/>
    <x v="1"/>
    <s v="S. Jacobs"/>
    <s v="Desk Lamp"/>
    <x v="1"/>
    <n v="6"/>
    <n v="894.28"/>
    <n v="5365.68"/>
    <n v="3475.51"/>
    <n v="1890.17"/>
    <n v="0.35227035529513501"/>
    <d v="2025-07-01T00:00:00"/>
    <s v="Jul"/>
  </r>
  <r>
    <s v="ORD0550"/>
    <d v="2025-12-26T00:00:00"/>
    <x v="3"/>
    <x v="1"/>
    <s v="S. Jacobs"/>
    <s v="External SSD 1TB"/>
    <x v="0"/>
    <n v="7"/>
    <n v="3440.11"/>
    <n v="24080.77"/>
    <n v="16481.98"/>
    <n v="7598.7900000000009"/>
    <n v="0.3155542783723278"/>
    <d v="2025-12-01T00:00:00"/>
    <s v="Dec"/>
  </r>
  <r>
    <s v="ORD0551"/>
    <d v="2025-03-13T00:00:00"/>
    <x v="3"/>
    <x v="1"/>
    <s v="A. Mokoena"/>
    <s v="Mechanical Keyboard"/>
    <x v="2"/>
    <n v="6"/>
    <n v="4325.37"/>
    <n v="25952.22"/>
    <n v="16013.15"/>
    <n v="9939.0700000000015"/>
    <n v="0.38297571460167956"/>
    <d v="2025-03-01T00:00:00"/>
    <s v="Mar"/>
  </r>
  <r>
    <s v="ORD0552"/>
    <d v="2025-02-06T00:00:00"/>
    <x v="3"/>
    <x v="0"/>
    <s v="S. Jacobs"/>
    <s v="Laptop Pro 14"/>
    <x v="0"/>
    <n v="7"/>
    <n v="12438.05"/>
    <n v="87066.349999999991"/>
    <n v="53335.64"/>
    <n v="33730.709999999992"/>
    <n v="0.38741385162005754"/>
    <d v="2025-02-01T00:00:00"/>
    <s v="Feb"/>
  </r>
  <r>
    <s v="ORD0553"/>
    <d v="2025-12-23T00:00:00"/>
    <x v="2"/>
    <x v="1"/>
    <s v="L. Naidoo"/>
    <s v="External SSD 1TB"/>
    <x v="0"/>
    <n v="7"/>
    <n v="2396.69"/>
    <n v="16776.830000000002"/>
    <n v="11542.64"/>
    <n v="5234.1900000000023"/>
    <n v="0.31198921369531679"/>
    <d v="2025-12-01T00:00:00"/>
    <s v="Dec"/>
  </r>
  <r>
    <s v="ORD0554"/>
    <d v="2025-08-06T00:00:00"/>
    <x v="2"/>
    <x v="1"/>
    <s v="A. Mokoena"/>
    <s v="External SSD 1TB"/>
    <x v="0"/>
    <n v="4"/>
    <n v="5191.28"/>
    <n v="20765.12"/>
    <n v="13385.61"/>
    <n v="7379.5099999999984"/>
    <n v="0.35538007967206542"/>
    <d v="2025-08-01T00:00:00"/>
    <s v="Aug"/>
  </r>
  <r>
    <s v="ORD0555"/>
    <d v="2025-10-18T00:00:00"/>
    <x v="2"/>
    <x v="0"/>
    <s v="N. Mthembu"/>
    <s v="Webcam HD"/>
    <x v="0"/>
    <n v="8"/>
    <n v="398.71"/>
    <n v="3189.68"/>
    <n v="1911.3"/>
    <n v="1278.3799999999999"/>
    <n v="0.40078628577161346"/>
    <d v="2025-10-01T00:00:00"/>
    <s v="Oct"/>
  </r>
  <r>
    <s v="ORD0556"/>
    <d v="2025-02-10T00:00:00"/>
    <x v="0"/>
    <x v="0"/>
    <s v="N. Mthembu"/>
    <s v="Desk Lamp"/>
    <x v="1"/>
    <n v="8"/>
    <n v="514.09"/>
    <n v="4112.72"/>
    <n v="3040.52"/>
    <n v="1072.2000000000003"/>
    <n v="0.26070337878581579"/>
    <d v="2025-02-01T00:00:00"/>
    <s v="Feb"/>
  </r>
  <r>
    <s v="ORD0557"/>
    <d v="2025-01-28T00:00:00"/>
    <x v="2"/>
    <x v="0"/>
    <s v="T. Dlamini"/>
    <s v="Standing Desk"/>
    <x v="1"/>
    <n v="8"/>
    <n v="17809.990000000002"/>
    <n v="142479.92000000001"/>
    <n v="98683.839999999997"/>
    <n v="43796.080000000016"/>
    <n v="0.3073842264931087"/>
    <d v="2025-01-01T00:00:00"/>
    <s v="Jan"/>
  </r>
  <r>
    <s v="ORD0558"/>
    <d v="2025-05-31T00:00:00"/>
    <x v="0"/>
    <x v="0"/>
    <s v="N. Mthembu"/>
    <s v="Ergonomic Chair"/>
    <x v="1"/>
    <n v="5"/>
    <n v="12277.11"/>
    <n v="61385.55"/>
    <n v="43908.44"/>
    <n v="17477.11"/>
    <n v="0.28471048968364704"/>
    <d v="2025-05-01T00:00:00"/>
    <s v="May"/>
  </r>
  <r>
    <s v="ORD0559"/>
    <d v="2025-03-28T00:00:00"/>
    <x v="0"/>
    <x v="0"/>
    <s v="T. Dlamini"/>
    <s v="External SSD 1TB"/>
    <x v="0"/>
    <n v="1"/>
    <n v="3149.72"/>
    <n v="3149.72"/>
    <n v="1889.21"/>
    <n v="1260.5099999999998"/>
    <n v="0.40019747787104881"/>
    <d v="2025-03-01T00:00:00"/>
    <s v="Mar"/>
  </r>
  <r>
    <s v="ORD0560"/>
    <d v="2025-03-09T00:00:00"/>
    <x v="3"/>
    <x v="1"/>
    <s v="S. Jacobs"/>
    <s v="External SSD 1TB"/>
    <x v="0"/>
    <n v="5"/>
    <n v="2847.56"/>
    <n v="14237.8"/>
    <n v="8639.1"/>
    <n v="5598.6999999999989"/>
    <n v="0.39322788633075328"/>
    <d v="2025-03-01T00:00:00"/>
    <s v="Mar"/>
  </r>
  <r>
    <s v="ORD0561"/>
    <d v="2025-07-09T00:00:00"/>
    <x v="2"/>
    <x v="1"/>
    <s v="L. Naidoo"/>
    <s v="Office Monitor 24"/>
    <x v="0"/>
    <n v="3"/>
    <n v="3003.68"/>
    <n v="9011.0399999999991"/>
    <n v="7090.64"/>
    <n v="1920.3999999999987"/>
    <n v="0.21311635504891766"/>
    <d v="2025-07-01T00:00:00"/>
    <s v="Jul"/>
  </r>
  <r>
    <s v="ORD0562"/>
    <d v="2025-11-01T00:00:00"/>
    <x v="3"/>
    <x v="1"/>
    <s v="N. Mthembu"/>
    <s v="Office Monitor 24"/>
    <x v="0"/>
    <n v="7"/>
    <n v="4057.58"/>
    <n v="28403.059999999998"/>
    <n v="19474.400000000001"/>
    <n v="8928.6599999999962"/>
    <n v="0.31435556591437674"/>
    <d v="2025-11-01T00:00:00"/>
    <s v="Nov"/>
  </r>
  <r>
    <s v="ORD0563"/>
    <d v="2025-06-26T00:00:00"/>
    <x v="1"/>
    <x v="0"/>
    <s v="S. Jacobs"/>
    <s v="Laptop Pro 14"/>
    <x v="0"/>
    <n v="2"/>
    <n v="17774.87"/>
    <n v="35549.74"/>
    <n v="24577.8"/>
    <n v="10971.939999999999"/>
    <n v="0.30863629382380853"/>
    <d v="2025-06-01T00:00:00"/>
    <s v="Jun"/>
  </r>
  <r>
    <s v="ORD0564"/>
    <d v="2025-09-30T00:00:00"/>
    <x v="0"/>
    <x v="0"/>
    <s v="S. Jacobs"/>
    <s v="Mechanical Keyboard"/>
    <x v="2"/>
    <n v="5"/>
    <n v="3804.38"/>
    <n v="19021.900000000001"/>
    <n v="15005.74"/>
    <n v="4016.1600000000017"/>
    <n v="0.21113348298540111"/>
    <d v="2025-09-01T00:00:00"/>
    <s v="Sep"/>
  </r>
  <r>
    <s v="ORD0565"/>
    <d v="2025-07-15T00:00:00"/>
    <x v="2"/>
    <x v="0"/>
    <s v="T. Dlamini"/>
    <s v="Standing Desk"/>
    <x v="1"/>
    <n v="6"/>
    <n v="19300.7"/>
    <n v="115804.20000000001"/>
    <n v="79167.06"/>
    <n v="36637.140000000014"/>
    <n v="0.3163714269430643"/>
    <d v="2025-07-01T00:00:00"/>
    <s v="Jul"/>
  </r>
  <r>
    <s v="ORD0566"/>
    <d v="2025-05-17T00:00:00"/>
    <x v="3"/>
    <x v="0"/>
    <s v="L. Naidoo"/>
    <s v="Wireless Headphones"/>
    <x v="0"/>
    <n v="4"/>
    <n v="4296.32"/>
    <n v="17185.28"/>
    <n v="12395.64"/>
    <n v="4789.6399999999994"/>
    <n v="0.27870596231193207"/>
    <d v="2025-05-01T00:00:00"/>
    <s v="May"/>
  </r>
  <r>
    <s v="ORD0567"/>
    <d v="2025-06-10T00:00:00"/>
    <x v="0"/>
    <x v="0"/>
    <s v="T. Dlamini"/>
    <s v="Desk Lamp"/>
    <x v="1"/>
    <n v="2"/>
    <n v="993.53"/>
    <n v="1987.06"/>
    <n v="1199.0899999999999"/>
    <n v="787.97"/>
    <n v="0.39655068291848261"/>
    <d v="2025-06-01T00:00:00"/>
    <s v="Jun"/>
  </r>
  <r>
    <s v="ORD0568"/>
    <d v="2025-04-23T00:00:00"/>
    <x v="3"/>
    <x v="1"/>
    <s v="A. Mokoena"/>
    <s v="Ergonomic Chair"/>
    <x v="1"/>
    <n v="1"/>
    <n v="13440.47"/>
    <n v="13440.47"/>
    <n v="7978.96"/>
    <n v="5461.5099999999993"/>
    <n v="0.40634814109923234"/>
    <d v="2025-04-01T00:00:00"/>
    <s v="Apr"/>
  </r>
  <r>
    <s v="ORD0569"/>
    <d v="2025-02-14T00:00:00"/>
    <x v="2"/>
    <x v="0"/>
    <s v="S. Jacobs"/>
    <s v="External SSD 1TB"/>
    <x v="0"/>
    <n v="3"/>
    <n v="4294.1400000000003"/>
    <n v="12882.420000000002"/>
    <n v="9622.61"/>
    <n v="3259.8100000000013"/>
    <n v="0.25304329466047537"/>
    <d v="2025-02-01T00:00:00"/>
    <s v="Feb"/>
  </r>
  <r>
    <s v="ORD0570"/>
    <d v="2025-12-05T00:00:00"/>
    <x v="2"/>
    <x v="0"/>
    <s v="L. Naidoo"/>
    <s v="Wireless Headphones"/>
    <x v="0"/>
    <n v="5"/>
    <n v="4862.5600000000004"/>
    <n v="24312.800000000003"/>
    <n v="18140.59"/>
    <n v="6172.2100000000028"/>
    <n v="0.2538666875061697"/>
    <d v="2025-12-01T00:00:00"/>
    <s v="Dec"/>
  </r>
  <r>
    <s v="ORD0571"/>
    <d v="2025-02-07T00:00:00"/>
    <x v="2"/>
    <x v="1"/>
    <s v="S. Jacobs"/>
    <s v="Ergonomic Chair"/>
    <x v="1"/>
    <n v="7"/>
    <n v="21004.65"/>
    <n v="147032.55000000002"/>
    <n v="87398.22"/>
    <n v="59634.330000000016"/>
    <n v="0.40558590597796207"/>
    <d v="2025-02-01T00:00:00"/>
    <s v="Feb"/>
  </r>
  <r>
    <s v="ORD0572"/>
    <d v="2025-02-05T00:00:00"/>
    <x v="1"/>
    <x v="1"/>
    <s v="N. Mthembu"/>
    <s v="Webcam HD"/>
    <x v="0"/>
    <n v="8"/>
    <n v="398.17"/>
    <n v="3185.36"/>
    <n v="2260.81"/>
    <n v="924.55000000000018"/>
    <n v="0.29024976768716887"/>
    <d v="2025-02-01T00:00:00"/>
    <s v="Feb"/>
  </r>
  <r>
    <s v="ORD0573"/>
    <d v="2025-11-26T00:00:00"/>
    <x v="2"/>
    <x v="0"/>
    <s v="A. Mokoena"/>
    <s v="Wireless Headphones"/>
    <x v="0"/>
    <n v="1"/>
    <n v="2762.96"/>
    <n v="2762.96"/>
    <n v="1981.38"/>
    <n v="781.57999999999993"/>
    <n v="0.28287778324695251"/>
    <d v="2025-11-01T00:00:00"/>
    <s v="Nov"/>
  </r>
  <r>
    <s v="ORD0574"/>
    <d v="2025-09-12T00:00:00"/>
    <x v="1"/>
    <x v="1"/>
    <s v="N. Mthembu"/>
    <s v="Office Monitor 24"/>
    <x v="0"/>
    <n v="7"/>
    <n v="864.63"/>
    <n v="6052.41"/>
    <n v="4527.28"/>
    <n v="1525.13"/>
    <n v="0.25198722492362546"/>
    <d v="2025-09-01T00:00:00"/>
    <s v="Sep"/>
  </r>
  <r>
    <s v="ORD0575"/>
    <d v="2025-12-29T00:00:00"/>
    <x v="1"/>
    <x v="1"/>
    <s v="N. Mthembu"/>
    <s v="Webcam HD"/>
    <x v="0"/>
    <n v="2"/>
    <n v="668.32"/>
    <n v="1336.64"/>
    <n v="776.31"/>
    <n v="560.33000000000015"/>
    <n v="0.41920786449604985"/>
    <d v="2025-12-01T00:00:00"/>
    <s v="Dec"/>
  </r>
  <r>
    <s v="ORD0576"/>
    <d v="2025-10-02T00:00:00"/>
    <x v="0"/>
    <x v="0"/>
    <s v="N. Mthembu"/>
    <s v="Standing Desk"/>
    <x v="1"/>
    <n v="1"/>
    <n v="14845.61"/>
    <n v="14845.61"/>
    <n v="12026.69"/>
    <n v="2818.92"/>
    <n v="0.18988239621005806"/>
    <d v="2025-10-01T00:00:00"/>
    <s v="Oct"/>
  </r>
  <r>
    <s v="ORD0577"/>
    <d v="2025-06-24T00:00:00"/>
    <x v="1"/>
    <x v="1"/>
    <s v="T. Dlamini"/>
    <s v="Wireless Headphones"/>
    <x v="0"/>
    <n v="4"/>
    <n v="3063.18"/>
    <n v="12252.72"/>
    <n v="7222.24"/>
    <n v="5030.4799999999996"/>
    <n v="0.41056026743449614"/>
    <d v="2025-06-01T00:00:00"/>
    <s v="Jun"/>
  </r>
  <r>
    <s v="ORD0578"/>
    <d v="2025-12-23T00:00:00"/>
    <x v="3"/>
    <x v="1"/>
    <s v="A. Mokoena"/>
    <s v="USB-C Hub"/>
    <x v="2"/>
    <n v="2"/>
    <n v="805.63"/>
    <n v="1611.26"/>
    <n v="1103.9000000000001"/>
    <n v="507.3599999999999"/>
    <n v="0.31488400382309489"/>
    <d v="2025-12-01T00:00:00"/>
    <s v="Dec"/>
  </r>
  <r>
    <s v="ORD0579"/>
    <d v="2025-04-09T00:00:00"/>
    <x v="2"/>
    <x v="0"/>
    <s v="N. Mthembu"/>
    <s v="Laptop Pro 14"/>
    <x v="0"/>
    <n v="7"/>
    <n v="18974.75"/>
    <n v="132823.25"/>
    <n v="94268.98"/>
    <n v="38554.270000000004"/>
    <n v="0.29026747952636306"/>
    <d v="2025-04-01T00:00:00"/>
    <s v="Apr"/>
  </r>
  <r>
    <s v="ORD0580"/>
    <d v="2025-08-19T00:00:00"/>
    <x v="0"/>
    <x v="1"/>
    <s v="N. Mthembu"/>
    <s v="Laptop Pro 14"/>
    <x v="0"/>
    <n v="6"/>
    <n v="10158.879999999999"/>
    <n v="60953.279999999999"/>
    <n v="35979.230000000003"/>
    <n v="24974.049999999996"/>
    <n v="0.40972446437665039"/>
    <d v="2025-08-01T00:00:00"/>
    <s v="Aug"/>
  </r>
  <r>
    <s v="ORD0581"/>
    <d v="2025-08-23T00:00:00"/>
    <x v="0"/>
    <x v="0"/>
    <s v="N. Mthembu"/>
    <s v="Desk Lamp"/>
    <x v="1"/>
    <n v="2"/>
    <n v="1086.1300000000001"/>
    <n v="2172.2600000000002"/>
    <n v="1333.73"/>
    <n v="838.5300000000002"/>
    <n v="0.38601732757588875"/>
    <d v="2025-08-01T00:00:00"/>
    <s v="Aug"/>
  </r>
  <r>
    <s v="ORD0582"/>
    <d v="2025-01-24T00:00:00"/>
    <x v="0"/>
    <x v="0"/>
    <s v="N. Mthembu"/>
    <s v="Mechanical Keyboard"/>
    <x v="2"/>
    <n v="3"/>
    <n v="2021.24"/>
    <n v="6063.72"/>
    <n v="4833.51"/>
    <n v="1230.21"/>
    <n v="0.2028804100453187"/>
    <d v="2025-01-01T00:00:00"/>
    <s v="Jan"/>
  </r>
  <r>
    <s v="ORD0583"/>
    <d v="2025-03-29T00:00:00"/>
    <x v="0"/>
    <x v="1"/>
    <s v="S. Jacobs"/>
    <s v="External SSD 1TB"/>
    <x v="0"/>
    <n v="8"/>
    <n v="1804.64"/>
    <n v="14437.12"/>
    <n v="10506.63"/>
    <n v="3930.4900000000016"/>
    <n v="0.27224889728699364"/>
    <d v="2025-03-01T00:00:00"/>
    <s v="Mar"/>
  </r>
  <r>
    <s v="ORD0584"/>
    <d v="2025-06-22T00:00:00"/>
    <x v="3"/>
    <x v="1"/>
    <s v="N. Mthembu"/>
    <s v="USB-C Hub"/>
    <x v="2"/>
    <n v="3"/>
    <n v="916.1"/>
    <n v="2748.3"/>
    <n v="2230.3200000000002"/>
    <n v="517.98"/>
    <n v="0.18847287414037769"/>
    <d v="2025-06-01T00:00:00"/>
    <s v="Jun"/>
  </r>
  <r>
    <s v="ORD0585"/>
    <d v="2025-03-30T00:00:00"/>
    <x v="2"/>
    <x v="1"/>
    <s v="S. Jacobs"/>
    <s v="Standing Desk"/>
    <x v="1"/>
    <n v="3"/>
    <n v="10551.9"/>
    <n v="31655.699999999997"/>
    <n v="19637.05"/>
    <n v="12018.649999999998"/>
    <n v="0.37966780074362594"/>
    <d v="2025-03-01T00:00:00"/>
    <s v="Mar"/>
  </r>
  <r>
    <s v="ORD0586"/>
    <d v="2025-05-05T00:00:00"/>
    <x v="1"/>
    <x v="1"/>
    <s v="A. Mokoena"/>
    <s v="External SSD 1TB"/>
    <x v="0"/>
    <n v="7"/>
    <n v="2102.62"/>
    <n v="14718.34"/>
    <n v="8591.85"/>
    <n v="6126.49"/>
    <n v="0.41624870739499154"/>
    <d v="2025-05-01T00:00:00"/>
    <s v="May"/>
  </r>
  <r>
    <s v="ORD0587"/>
    <d v="2025-01-04T00:00:00"/>
    <x v="2"/>
    <x v="0"/>
    <s v="S. Jacobs"/>
    <s v="Office Monitor 24"/>
    <x v="0"/>
    <n v="8"/>
    <n v="3348.03"/>
    <n v="26784.240000000002"/>
    <n v="16860.099999999999"/>
    <n v="9924.1400000000031"/>
    <n v="0.37052162017664131"/>
    <d v="2025-01-01T00:00:00"/>
    <s v="Jan"/>
  </r>
  <r>
    <s v="ORD0588"/>
    <d v="2025-05-03T00:00:00"/>
    <x v="0"/>
    <x v="0"/>
    <s v="T. Dlamini"/>
    <s v="Office Monitor 24"/>
    <x v="0"/>
    <n v="3"/>
    <n v="1260.48"/>
    <n v="3781.44"/>
    <n v="2748.7"/>
    <n v="1032.7400000000002"/>
    <n v="0.27310759922146066"/>
    <d v="2025-05-01T00:00:00"/>
    <s v="May"/>
  </r>
  <r>
    <s v="ORD0589"/>
    <d v="2025-08-03T00:00:00"/>
    <x v="2"/>
    <x v="1"/>
    <s v="S. Jacobs"/>
    <s v="Laptop Pro 14"/>
    <x v="0"/>
    <n v="2"/>
    <n v="19902.11"/>
    <n v="39804.22"/>
    <n v="32417.75"/>
    <n v="7386.4700000000012"/>
    <n v="0.18557002247500393"/>
    <d v="2025-08-01T00:00:00"/>
    <s v="Aug"/>
  </r>
  <r>
    <s v="ORD0590"/>
    <d v="2025-11-17T00:00:00"/>
    <x v="1"/>
    <x v="0"/>
    <s v="L. Naidoo"/>
    <s v="Mechanical Keyboard"/>
    <x v="2"/>
    <n v="2"/>
    <n v="1413.14"/>
    <n v="2826.28"/>
    <n v="2104.0500000000002"/>
    <n v="722.23"/>
    <n v="0.25554085228639767"/>
    <d v="2025-11-01T00:00:00"/>
    <s v="Nov"/>
  </r>
  <r>
    <s v="ORD0591"/>
    <d v="2025-03-23T00:00:00"/>
    <x v="1"/>
    <x v="1"/>
    <s v="A. Mokoena"/>
    <s v="Laptop Pro 14"/>
    <x v="0"/>
    <n v="4"/>
    <n v="9755.85"/>
    <n v="39023.4"/>
    <n v="25764.45"/>
    <n v="13258.95"/>
    <n v="0.33976921539384064"/>
    <d v="2025-03-01T00:00:00"/>
    <s v="Mar"/>
  </r>
  <r>
    <s v="ORD0592"/>
    <d v="2025-01-27T00:00:00"/>
    <x v="3"/>
    <x v="0"/>
    <s v="N. Mthembu"/>
    <s v="Desk Lamp"/>
    <x v="1"/>
    <n v="1"/>
    <n v="1050.8499999999999"/>
    <n v="1050.8499999999999"/>
    <n v="638.77"/>
    <n v="412.07999999999993"/>
    <n v="0.39213969643621827"/>
    <d v="2025-01-01T00:00:00"/>
    <s v="Jan"/>
  </r>
  <r>
    <s v="ORD0593"/>
    <d v="2025-10-24T00:00:00"/>
    <x v="3"/>
    <x v="1"/>
    <s v="L. Naidoo"/>
    <s v="Standing Desk"/>
    <x v="1"/>
    <n v="6"/>
    <n v="15008.49"/>
    <n v="90050.94"/>
    <n v="54609.760000000002"/>
    <n v="35441.18"/>
    <n v="0.39356812932768942"/>
    <d v="2025-10-01T00:00:00"/>
    <s v="Oct"/>
  </r>
  <r>
    <s v="ORD0594"/>
    <d v="2025-07-31T00:00:00"/>
    <x v="1"/>
    <x v="1"/>
    <s v="L. Naidoo"/>
    <s v="Mechanical Keyboard"/>
    <x v="2"/>
    <n v="8"/>
    <n v="2753.07"/>
    <n v="22024.560000000001"/>
    <n v="13061.48"/>
    <n v="8963.0800000000017"/>
    <n v="0.40695841369816249"/>
    <d v="2025-07-01T00:00:00"/>
    <s v="Jul"/>
  </r>
  <r>
    <s v="ORD0595"/>
    <d v="2025-11-09T00:00:00"/>
    <x v="2"/>
    <x v="0"/>
    <s v="L. Naidoo"/>
    <s v="Webcam HD"/>
    <x v="0"/>
    <n v="3"/>
    <n v="626.66"/>
    <n v="1879.98"/>
    <n v="1177.99"/>
    <n v="701.99"/>
    <n v="0.37340290854158026"/>
    <d v="2025-11-01T00:00:00"/>
    <s v="Nov"/>
  </r>
  <r>
    <s v="ORD0596"/>
    <d v="2025-06-21T00:00:00"/>
    <x v="1"/>
    <x v="1"/>
    <s v="T. Dlamini"/>
    <s v="Office Monitor 24"/>
    <x v="0"/>
    <n v="3"/>
    <n v="1280.04"/>
    <n v="3840.12"/>
    <n v="2656.32"/>
    <n v="1183.7999999999997"/>
    <n v="0.30827161651198393"/>
    <d v="2025-06-01T00:00:00"/>
    <s v="Jun"/>
  </r>
  <r>
    <s v="ORD0597"/>
    <d v="2025-04-23T00:00:00"/>
    <x v="3"/>
    <x v="1"/>
    <s v="S. Jacobs"/>
    <s v="Ergonomic Chair"/>
    <x v="1"/>
    <n v="3"/>
    <n v="19184.13"/>
    <n v="57552.39"/>
    <n v="41015.360000000001"/>
    <n v="16537.03"/>
    <n v="0.28733871868744287"/>
    <d v="2025-04-01T00:00:00"/>
    <s v="Apr"/>
  </r>
  <r>
    <s v="ORD0598"/>
    <d v="2025-09-25T00:00:00"/>
    <x v="3"/>
    <x v="1"/>
    <s v="T. Dlamini"/>
    <s v="Webcam HD"/>
    <x v="0"/>
    <n v="8"/>
    <n v="1058.1099999999999"/>
    <n v="8464.8799999999992"/>
    <n v="6392.71"/>
    <n v="2072.1699999999992"/>
    <n v="0.24479614595835963"/>
    <d v="2025-09-01T00:00:00"/>
    <s v="Sep"/>
  </r>
  <r>
    <s v="ORD0599"/>
    <d v="2025-08-11T00:00:00"/>
    <x v="1"/>
    <x v="1"/>
    <s v="S. Jacobs"/>
    <s v="External SSD 1TB"/>
    <x v="0"/>
    <n v="1"/>
    <n v="2085.14"/>
    <n v="2085.14"/>
    <n v="1231.51"/>
    <n v="853.62999999999988"/>
    <n v="0.40938737926470165"/>
    <d v="2025-08-01T00:00:00"/>
    <s v="Aug"/>
  </r>
  <r>
    <s v="ORD0600"/>
    <d v="2025-09-29T00:00:00"/>
    <x v="0"/>
    <x v="0"/>
    <s v="L. Naidoo"/>
    <s v="USB-C Hub"/>
    <x v="2"/>
    <n v="8"/>
    <n v="676"/>
    <n v="5408"/>
    <n v="3861.51"/>
    <n v="1546.4899999999998"/>
    <n v="0.28596338757396444"/>
    <d v="2025-09-01T00:00:00"/>
    <s v="Sep"/>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42BE62-774F-4B3C-92EE-5DB7A7D399F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H7" firstHeaderRow="0" firstDataRow="1" firstDataCol="1"/>
  <pivotFields count="15">
    <pivotField showAll="0"/>
    <pivotField numFmtId="164" showAll="0"/>
    <pivotField showAll="0"/>
    <pivotField showAll="0"/>
    <pivotField showAll="0"/>
    <pivotField showAll="0"/>
    <pivotField axis="axisRow" showAll="0">
      <items count="4">
        <item x="2"/>
        <item x="0"/>
        <item x="1"/>
        <item t="default"/>
      </items>
    </pivotField>
    <pivotField showAll="0"/>
    <pivotField showAll="0"/>
    <pivotField dataField="1" showAll="0"/>
    <pivotField showAll="0"/>
    <pivotField dataField="1" showAll="0"/>
    <pivotField numFmtId="165" showAll="0"/>
    <pivotField numFmtId="166" showAll="0"/>
    <pivotField showAll="0"/>
  </pivotFields>
  <rowFields count="1">
    <field x="6"/>
  </rowFields>
  <rowItems count="4">
    <i>
      <x/>
    </i>
    <i>
      <x v="1"/>
    </i>
    <i>
      <x v="2"/>
    </i>
    <i t="grand">
      <x/>
    </i>
  </rowItems>
  <colFields count="1">
    <field x="-2"/>
  </colFields>
  <colItems count="2">
    <i>
      <x/>
    </i>
    <i i="1">
      <x v="1"/>
    </i>
  </colItems>
  <dataFields count="2">
    <dataField name="Sum of Revenue" fld="9" baseField="0" baseItem="0"/>
    <dataField name="Sum of Profit" fld="11" baseField="0" baseItem="0"/>
  </dataFields>
  <formats count="8">
    <format dxfId="35">
      <pivotArea type="all" dataOnly="0" outline="0" fieldPosition="0"/>
    </format>
    <format dxfId="34">
      <pivotArea outline="0" collapsedLevelsAreSubtotals="1" fieldPosition="0"/>
    </format>
    <format dxfId="33">
      <pivotArea field="6" type="button" dataOnly="0" labelOnly="1" outline="0" axis="axisRow" fieldPosition="0"/>
    </format>
    <format dxfId="32">
      <pivotArea dataOnly="0" labelOnly="1" fieldPosition="0">
        <references count="1">
          <reference field="6" count="0"/>
        </references>
      </pivotArea>
    </format>
    <format dxfId="31">
      <pivotArea dataOnly="0" labelOnly="1" grandRow="1" outline="0" fieldPosition="0"/>
    </format>
    <format dxfId="30">
      <pivotArea dataOnly="0" labelOnly="1" outline="0" fieldPosition="0">
        <references count="1">
          <reference field="4294967294" count="2">
            <x v="0"/>
            <x v="1"/>
          </reference>
        </references>
      </pivotArea>
    </format>
    <format dxfId="10">
      <pivotArea dataOnly="0" outline="0" fieldPosition="0">
        <references count="1">
          <reference field="4294967294" count="1">
            <x v="0"/>
          </reference>
        </references>
      </pivotArea>
    </format>
    <format dxfId="7">
      <pivotArea dataOnly="0"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DFFA76-CE12-49ED-BCCF-79EA93D4465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8" firstHeaderRow="0" firstDataRow="1" firstDataCol="1"/>
  <pivotFields count="15">
    <pivotField showAll="0"/>
    <pivotField numFmtId="164" showAll="0"/>
    <pivotField axis="axisRow" showAll="0">
      <items count="5">
        <item x="1"/>
        <item x="0"/>
        <item x="2"/>
        <item x="3"/>
        <item t="default"/>
      </items>
    </pivotField>
    <pivotField showAll="0"/>
    <pivotField showAll="0"/>
    <pivotField showAll="0"/>
    <pivotField showAll="0"/>
    <pivotField dataField="1" showAll="0"/>
    <pivotField showAll="0"/>
    <pivotField dataField="1" showAll="0"/>
    <pivotField showAll="0"/>
    <pivotField dataField="1" showAll="0"/>
    <pivotField numFmtId="165" showAll="0"/>
    <pivotField numFmtId="166" showAll="0"/>
    <pivotField showAll="0"/>
  </pivotFields>
  <rowFields count="1">
    <field x="2"/>
  </rowFields>
  <rowItems count="5">
    <i>
      <x/>
    </i>
    <i>
      <x v="1"/>
    </i>
    <i>
      <x v="2"/>
    </i>
    <i>
      <x v="3"/>
    </i>
    <i t="grand">
      <x/>
    </i>
  </rowItems>
  <colFields count="1">
    <field x="-2"/>
  </colFields>
  <colItems count="3">
    <i>
      <x/>
    </i>
    <i i="1">
      <x v="1"/>
    </i>
    <i i="2">
      <x v="2"/>
    </i>
  </colItems>
  <dataFields count="3">
    <dataField name="Sum of Profit" fld="11" baseField="0" baseItem="0"/>
    <dataField name="Sum of Units" fld="7" baseField="0" baseItem="0"/>
    <dataField name="Sum of Revenue" fld="9" baseField="0" baseItem="0"/>
  </dataFields>
  <formats count="8">
    <format dxfId="41">
      <pivotArea type="all" dataOnly="0" outline="0" fieldPosition="0"/>
    </format>
    <format dxfId="40">
      <pivotArea outline="0" collapsedLevelsAreSubtotals="1" fieldPosition="0"/>
    </format>
    <format dxfId="39">
      <pivotArea field="2" type="button" dataOnly="0" labelOnly="1" outline="0" axis="axisRow" fieldPosition="0"/>
    </format>
    <format dxfId="38">
      <pivotArea dataOnly="0" labelOnly="1" fieldPosition="0">
        <references count="1">
          <reference field="2" count="0"/>
        </references>
      </pivotArea>
    </format>
    <format dxfId="37">
      <pivotArea dataOnly="0" labelOnly="1" grandRow="1" outline="0" fieldPosition="0"/>
    </format>
    <format dxfId="36">
      <pivotArea dataOnly="0" labelOnly="1" outline="0" fieldPosition="0">
        <references count="1">
          <reference field="4294967294" count="3">
            <x v="0"/>
            <x v="1"/>
            <x v="2"/>
          </reference>
        </references>
      </pivotArea>
    </format>
    <format dxfId="16">
      <pivotArea dataOnly="0" outline="0" fieldPosition="0">
        <references count="1">
          <reference field="4294967294" count="1">
            <x v="2"/>
          </reference>
        </references>
      </pivotArea>
    </format>
    <format dxfId="13">
      <pivotArea dataOnly="0"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3DDBA3-CD30-428D-AE74-23640FC9DB9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L6" firstHeaderRow="0" firstDataRow="1" firstDataCol="1"/>
  <pivotFields count="15">
    <pivotField showAll="0"/>
    <pivotField numFmtId="164" showAll="0"/>
    <pivotField showAll="0"/>
    <pivotField axis="axisRow" showAll="0">
      <items count="3">
        <item x="1"/>
        <item x="0"/>
        <item t="default"/>
      </items>
    </pivotField>
    <pivotField showAll="0"/>
    <pivotField showAll="0"/>
    <pivotField showAll="0"/>
    <pivotField showAll="0"/>
    <pivotField showAll="0"/>
    <pivotField dataField="1" showAll="0"/>
    <pivotField showAll="0"/>
    <pivotField dataField="1" showAll="0"/>
    <pivotField numFmtId="165" showAll="0"/>
    <pivotField numFmtId="166" showAll="0"/>
    <pivotField showAll="0"/>
  </pivotFields>
  <rowFields count="1">
    <field x="3"/>
  </rowFields>
  <rowItems count="3">
    <i>
      <x/>
    </i>
    <i>
      <x v="1"/>
    </i>
    <i t="grand">
      <x/>
    </i>
  </rowItems>
  <colFields count="1">
    <field x="-2"/>
  </colFields>
  <colItems count="2">
    <i>
      <x/>
    </i>
    <i i="1">
      <x v="1"/>
    </i>
  </colItems>
  <dataFields count="2">
    <dataField name="Sum of Revenue" fld="9" baseField="0" baseItem="0"/>
    <dataField name="Sum of Profit" fld="11" baseField="0" baseItem="0"/>
  </dataFields>
  <formats count="8">
    <format dxfId="47">
      <pivotArea type="all" dataOnly="0" outline="0" fieldPosition="0"/>
    </format>
    <format dxfId="46">
      <pivotArea outline="0" collapsedLevelsAreSubtotals="1" fieldPosition="0"/>
    </format>
    <format dxfId="45">
      <pivotArea field="3" type="button" dataOnly="0" labelOnly="1" outline="0" axis="axisRow" fieldPosition="0"/>
    </format>
    <format dxfId="44">
      <pivotArea dataOnly="0" labelOnly="1" fieldPosition="0">
        <references count="1">
          <reference field="3" count="0"/>
        </references>
      </pivotArea>
    </format>
    <format dxfId="43">
      <pivotArea dataOnly="0" labelOnly="1" grandRow="1" outline="0" fieldPosition="0"/>
    </format>
    <format dxfId="42">
      <pivotArea dataOnly="0" labelOnly="1" outline="0" fieldPosition="0">
        <references count="1">
          <reference field="4294967294" count="2">
            <x v="0"/>
            <x v="1"/>
          </reference>
        </references>
      </pivotArea>
    </format>
    <format dxfId="4">
      <pivotArea dataOnly="0" outline="0" fieldPosition="0">
        <references count="1">
          <reference field="4294967294" count="1">
            <x v="0"/>
          </reference>
        </references>
      </pivotArea>
    </format>
    <format dxfId="1">
      <pivotArea dataOnly="0"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DF31131-0B07-47BD-8CFD-6264809A9A0A}" sourceName="Region">
  <pivotTables>
    <pivotTable tabId="6" name="PivotTable4"/>
  </pivotTables>
  <data>
    <tabular pivotCacheId="1415880525">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CF4A695-F9F4-4612-BF54-EA2B86347692}" sourceName="Category">
  <pivotTables>
    <pivotTable tabId="6" name="PivotTable5"/>
  </pivotTables>
  <data>
    <tabular pivotCacheId="1415880525">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3207F657-506D-4DDC-8ABF-75244227196F}" sourceName="Channel">
  <pivotTables>
    <pivotTable tabId="6" name="PivotTable7"/>
  </pivotTables>
  <data>
    <tabular pivotCacheId="141588052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D1C26D6-EDF4-4C17-AEEE-92E194146DD5}" cache="Slicer_Region" caption="Region" rowHeight="241300"/>
  <slicer name="Category" xr10:uid="{BB15F83D-C8AB-4919-B6FD-99D612DCCAE2}" cache="Slicer_Category" caption="Category" rowHeight="241300"/>
  <slicer name="Channel" xr10:uid="{CC355BEB-E445-4485-A6B9-E0E3F383D8F0}" cache="Slicer_Channel" caption="Channel" rowHeight="24130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01"/>
  <sheetViews>
    <sheetView zoomScaleNormal="100" workbookViewId="0">
      <pane ySplit="1" topLeftCell="A2" activePane="bottomLeft" state="frozen"/>
      <selection pane="bottomLeft" activeCell="H2" sqref="H2"/>
    </sheetView>
  </sheetViews>
  <sheetFormatPr defaultColWidth="8.7109375" defaultRowHeight="15" customHeight="1" x14ac:dyDescent="0.25"/>
  <cols>
    <col min="1" max="1" width="10" customWidth="1"/>
    <col min="2" max="2" width="12" customWidth="1"/>
    <col min="3" max="3" width="15" customWidth="1"/>
    <col min="4" max="4" width="10" customWidth="1"/>
    <col min="5" max="5" width="13" customWidth="1"/>
    <col min="6" max="6" width="21" customWidth="1"/>
    <col min="7" max="7" width="13" customWidth="1"/>
    <col min="8" max="8" width="10" customWidth="1"/>
    <col min="9" max="9" width="14.140625" style="18" customWidth="1"/>
    <col min="10" max="10" width="16.5703125" style="18" customWidth="1"/>
    <col min="11" max="11" width="15.85546875" style="18" customWidth="1"/>
    <col min="12" max="12" width="15" style="18" customWidth="1"/>
    <col min="13" max="13" width="23" customWidth="1"/>
    <col min="14" max="14" width="24" customWidth="1"/>
    <col min="15" max="15" width="19" customWidth="1"/>
  </cols>
  <sheetData>
    <row r="1" spans="1:15" ht="15" customHeight="1" x14ac:dyDescent="0.25">
      <c r="A1" s="1" t="s">
        <v>0</v>
      </c>
      <c r="B1" s="1" t="s">
        <v>1</v>
      </c>
      <c r="C1" s="1" t="s">
        <v>2</v>
      </c>
      <c r="D1" s="1" t="s">
        <v>3</v>
      </c>
      <c r="E1" s="1" t="s">
        <v>4</v>
      </c>
      <c r="F1" s="1" t="s">
        <v>5</v>
      </c>
      <c r="G1" s="1" t="s">
        <v>6</v>
      </c>
      <c r="H1" s="1" t="s">
        <v>7</v>
      </c>
      <c r="I1" s="17" t="s">
        <v>8</v>
      </c>
      <c r="J1" s="17" t="s">
        <v>9</v>
      </c>
      <c r="K1" s="17" t="s">
        <v>10</v>
      </c>
      <c r="L1" s="17" t="s">
        <v>11</v>
      </c>
      <c r="M1" s="1" t="s">
        <v>12</v>
      </c>
      <c r="N1" s="1" t="s">
        <v>13</v>
      </c>
      <c r="O1" s="1" t="s">
        <v>14</v>
      </c>
    </row>
    <row r="2" spans="1:15" ht="15" customHeight="1" x14ac:dyDescent="0.25">
      <c r="A2" t="s">
        <v>15</v>
      </c>
      <c r="B2" s="2">
        <v>45985</v>
      </c>
      <c r="C2" t="s">
        <v>16</v>
      </c>
      <c r="D2" t="s">
        <v>17</v>
      </c>
      <c r="E2" t="s">
        <v>18</v>
      </c>
      <c r="F2" t="s">
        <v>19</v>
      </c>
      <c r="G2" t="s">
        <v>20</v>
      </c>
      <c r="H2">
        <v>4</v>
      </c>
      <c r="I2" s="18">
        <v>2925.69</v>
      </c>
      <c r="J2" s="18">
        <f t="shared" ref="J2:J65" si="0">H2*I2</f>
        <v>11702.76</v>
      </c>
      <c r="K2" s="18">
        <v>7075.48</v>
      </c>
      <c r="L2" s="18">
        <f t="shared" ref="L2:L65" si="1">J2-K2</f>
        <v>4627.2800000000007</v>
      </c>
      <c r="M2" s="3">
        <f t="shared" ref="M2:M65" si="2">IFERROR(L2/J2,0)</f>
        <v>0.39540074307257439</v>
      </c>
      <c r="N2" s="4">
        <f t="shared" ref="N2:N65" si="3">DATE(YEAR(B2),MONTH(B2),1)</f>
        <v>45962</v>
      </c>
      <c r="O2" t="str">
        <f t="shared" ref="O2:O65" si="4">TEXT(N2,"mmm")</f>
        <v>Nov</v>
      </c>
    </row>
    <row r="3" spans="1:15" ht="15" customHeight="1" x14ac:dyDescent="0.25">
      <c r="A3" t="s">
        <v>21</v>
      </c>
      <c r="B3" s="2">
        <v>45673</v>
      </c>
      <c r="C3" t="s">
        <v>22</v>
      </c>
      <c r="D3" t="s">
        <v>23</v>
      </c>
      <c r="E3" t="s">
        <v>24</v>
      </c>
      <c r="F3" t="s">
        <v>19</v>
      </c>
      <c r="G3" t="s">
        <v>20</v>
      </c>
      <c r="H3">
        <v>1</v>
      </c>
      <c r="I3" s="18">
        <v>2839.36</v>
      </c>
      <c r="J3" s="18">
        <f t="shared" si="0"/>
        <v>2839.36</v>
      </c>
      <c r="K3" s="18">
        <v>2134.7600000000002</v>
      </c>
      <c r="L3" s="18">
        <f t="shared" si="1"/>
        <v>704.59999999999991</v>
      </c>
      <c r="M3" s="3">
        <f t="shared" si="2"/>
        <v>0.24815451369322661</v>
      </c>
      <c r="N3" s="4">
        <f t="shared" si="3"/>
        <v>45658</v>
      </c>
      <c r="O3" t="str">
        <f t="shared" si="4"/>
        <v>Jan</v>
      </c>
    </row>
    <row r="4" spans="1:15" ht="15" customHeight="1" x14ac:dyDescent="0.25">
      <c r="A4" t="s">
        <v>25</v>
      </c>
      <c r="B4" s="2">
        <v>45959</v>
      </c>
      <c r="C4" t="s">
        <v>26</v>
      </c>
      <c r="D4" t="s">
        <v>23</v>
      </c>
      <c r="E4" t="s">
        <v>18</v>
      </c>
      <c r="F4" t="s">
        <v>27</v>
      </c>
      <c r="G4" t="s">
        <v>28</v>
      </c>
      <c r="H4">
        <v>7</v>
      </c>
      <c r="I4" s="18">
        <v>8815.06</v>
      </c>
      <c r="J4" s="18">
        <f t="shared" si="0"/>
        <v>61705.42</v>
      </c>
      <c r="K4" s="18">
        <v>38091.69</v>
      </c>
      <c r="L4" s="18">
        <f t="shared" si="1"/>
        <v>23613.729999999996</v>
      </c>
      <c r="M4" s="3">
        <f t="shared" si="2"/>
        <v>0.38268485977406841</v>
      </c>
      <c r="N4" s="4">
        <f t="shared" si="3"/>
        <v>45931</v>
      </c>
      <c r="O4" t="str">
        <f t="shared" si="4"/>
        <v>Oct</v>
      </c>
    </row>
    <row r="5" spans="1:15" ht="15" customHeight="1" x14ac:dyDescent="0.25">
      <c r="A5" t="s">
        <v>29</v>
      </c>
      <c r="B5" s="2">
        <v>45852</v>
      </c>
      <c r="C5" t="s">
        <v>16</v>
      </c>
      <c r="D5" t="s">
        <v>17</v>
      </c>
      <c r="E5" t="s">
        <v>18</v>
      </c>
      <c r="F5" t="s">
        <v>19</v>
      </c>
      <c r="G5" t="s">
        <v>20</v>
      </c>
      <c r="H5">
        <v>5</v>
      </c>
      <c r="I5" s="18">
        <v>3945.32</v>
      </c>
      <c r="J5" s="18">
        <f t="shared" si="0"/>
        <v>19726.600000000002</v>
      </c>
      <c r="K5" s="18">
        <v>14896.26</v>
      </c>
      <c r="L5" s="18">
        <f t="shared" si="1"/>
        <v>4830.340000000002</v>
      </c>
      <c r="M5" s="3">
        <f t="shared" si="2"/>
        <v>0.24486429491143946</v>
      </c>
      <c r="N5" s="4">
        <f t="shared" si="3"/>
        <v>45839</v>
      </c>
      <c r="O5" t="str">
        <f t="shared" si="4"/>
        <v>Jul</v>
      </c>
    </row>
    <row r="6" spans="1:15" ht="15" customHeight="1" x14ac:dyDescent="0.25">
      <c r="A6" t="s">
        <v>30</v>
      </c>
      <c r="B6" s="2">
        <v>45940</v>
      </c>
      <c r="C6" t="s">
        <v>31</v>
      </c>
      <c r="D6" t="s">
        <v>17</v>
      </c>
      <c r="E6" t="s">
        <v>18</v>
      </c>
      <c r="F6" t="s">
        <v>27</v>
      </c>
      <c r="G6" t="s">
        <v>28</v>
      </c>
      <c r="H6">
        <v>4</v>
      </c>
      <c r="I6" s="18">
        <v>20088.61</v>
      </c>
      <c r="J6" s="18">
        <f t="shared" si="0"/>
        <v>80354.44</v>
      </c>
      <c r="K6" s="18">
        <v>47489.3</v>
      </c>
      <c r="L6" s="18">
        <f t="shared" si="1"/>
        <v>32865.14</v>
      </c>
      <c r="M6" s="3">
        <f t="shared" si="2"/>
        <v>0.40900216590396249</v>
      </c>
      <c r="N6" s="4">
        <f t="shared" si="3"/>
        <v>45931</v>
      </c>
      <c r="O6" t="str">
        <f t="shared" si="4"/>
        <v>Oct</v>
      </c>
    </row>
    <row r="7" spans="1:15" ht="15" customHeight="1" x14ac:dyDescent="0.25">
      <c r="A7" t="s">
        <v>32</v>
      </c>
      <c r="B7" s="2">
        <v>45777</v>
      </c>
      <c r="C7" t="s">
        <v>26</v>
      </c>
      <c r="D7" t="s">
        <v>23</v>
      </c>
      <c r="E7" t="s">
        <v>33</v>
      </c>
      <c r="F7" t="s">
        <v>19</v>
      </c>
      <c r="G7" t="s">
        <v>20</v>
      </c>
      <c r="H7">
        <v>6</v>
      </c>
      <c r="I7" s="18">
        <v>2962.65</v>
      </c>
      <c r="J7" s="18">
        <f t="shared" si="0"/>
        <v>17775.900000000001</v>
      </c>
      <c r="K7" s="18">
        <v>11825.68</v>
      </c>
      <c r="L7" s="18">
        <f t="shared" si="1"/>
        <v>5950.2200000000012</v>
      </c>
      <c r="M7" s="3">
        <f t="shared" si="2"/>
        <v>0.33473523140881761</v>
      </c>
      <c r="N7" s="4">
        <f t="shared" si="3"/>
        <v>45748</v>
      </c>
      <c r="O7" t="str">
        <f t="shared" si="4"/>
        <v>Apr</v>
      </c>
    </row>
    <row r="8" spans="1:15" ht="15" customHeight="1" x14ac:dyDescent="0.25">
      <c r="A8" t="s">
        <v>34</v>
      </c>
      <c r="B8" s="2">
        <v>45983</v>
      </c>
      <c r="C8" t="s">
        <v>31</v>
      </c>
      <c r="D8" t="s">
        <v>17</v>
      </c>
      <c r="E8" t="s">
        <v>18</v>
      </c>
      <c r="F8" t="s">
        <v>35</v>
      </c>
      <c r="G8" t="s">
        <v>20</v>
      </c>
      <c r="H8">
        <v>8</v>
      </c>
      <c r="I8" s="18">
        <v>2834.96</v>
      </c>
      <c r="J8" s="18">
        <f t="shared" si="0"/>
        <v>22679.68</v>
      </c>
      <c r="K8" s="18">
        <v>18540.310000000001</v>
      </c>
      <c r="L8" s="18">
        <f t="shared" si="1"/>
        <v>4139.369999999999</v>
      </c>
      <c r="M8" s="3">
        <f t="shared" si="2"/>
        <v>0.18251447992211525</v>
      </c>
      <c r="N8" s="4">
        <f t="shared" si="3"/>
        <v>45962</v>
      </c>
      <c r="O8" t="str">
        <f t="shared" si="4"/>
        <v>Nov</v>
      </c>
    </row>
    <row r="9" spans="1:15" ht="15" customHeight="1" x14ac:dyDescent="0.25">
      <c r="A9" t="s">
        <v>36</v>
      </c>
      <c r="B9" s="2">
        <v>45775</v>
      </c>
      <c r="C9" t="s">
        <v>26</v>
      </c>
      <c r="D9" t="s">
        <v>23</v>
      </c>
      <c r="E9" t="s">
        <v>24</v>
      </c>
      <c r="F9" t="s">
        <v>37</v>
      </c>
      <c r="G9" t="s">
        <v>20</v>
      </c>
      <c r="H9">
        <v>2</v>
      </c>
      <c r="I9" s="18">
        <v>13349.04</v>
      </c>
      <c r="J9" s="18">
        <f t="shared" si="0"/>
        <v>26698.080000000002</v>
      </c>
      <c r="K9" s="18">
        <v>21526.62</v>
      </c>
      <c r="L9" s="18">
        <f t="shared" si="1"/>
        <v>5171.4600000000028</v>
      </c>
      <c r="M9" s="3">
        <f t="shared" si="2"/>
        <v>0.19370156955106893</v>
      </c>
      <c r="N9" s="4">
        <f t="shared" si="3"/>
        <v>45748</v>
      </c>
      <c r="O9" t="str">
        <f t="shared" si="4"/>
        <v>Apr</v>
      </c>
    </row>
    <row r="10" spans="1:15" ht="15" customHeight="1" x14ac:dyDescent="0.25">
      <c r="A10" t="s">
        <v>38</v>
      </c>
      <c r="B10" s="2">
        <v>45860</v>
      </c>
      <c r="C10" t="s">
        <v>22</v>
      </c>
      <c r="D10" t="s">
        <v>17</v>
      </c>
      <c r="E10" t="s">
        <v>39</v>
      </c>
      <c r="F10" t="s">
        <v>40</v>
      </c>
      <c r="G10" t="s">
        <v>20</v>
      </c>
      <c r="H10">
        <v>4</v>
      </c>
      <c r="I10" s="18">
        <v>411.21</v>
      </c>
      <c r="J10" s="18">
        <f t="shared" si="0"/>
        <v>1644.84</v>
      </c>
      <c r="K10" s="18">
        <v>1166.77</v>
      </c>
      <c r="L10" s="18">
        <f t="shared" si="1"/>
        <v>478.06999999999994</v>
      </c>
      <c r="M10" s="3">
        <f t="shared" si="2"/>
        <v>0.29064833053670869</v>
      </c>
      <c r="N10" s="4">
        <f t="shared" si="3"/>
        <v>45839</v>
      </c>
      <c r="O10" t="str">
        <f t="shared" si="4"/>
        <v>Jul</v>
      </c>
    </row>
    <row r="11" spans="1:15" ht="15" customHeight="1" x14ac:dyDescent="0.25">
      <c r="A11" t="s">
        <v>41</v>
      </c>
      <c r="B11" s="2">
        <v>45770</v>
      </c>
      <c r="C11" t="s">
        <v>31</v>
      </c>
      <c r="D11" t="s">
        <v>17</v>
      </c>
      <c r="E11" t="s">
        <v>33</v>
      </c>
      <c r="F11" t="s">
        <v>35</v>
      </c>
      <c r="G11" t="s">
        <v>20</v>
      </c>
      <c r="H11">
        <v>1</v>
      </c>
      <c r="I11" s="18">
        <v>5298.91</v>
      </c>
      <c r="J11" s="18">
        <f t="shared" si="0"/>
        <v>5298.91</v>
      </c>
      <c r="K11" s="18">
        <v>3267.74</v>
      </c>
      <c r="L11" s="18">
        <f t="shared" si="1"/>
        <v>2031.17</v>
      </c>
      <c r="M11" s="3">
        <f t="shared" si="2"/>
        <v>0.38331845605983117</v>
      </c>
      <c r="N11" s="4">
        <f t="shared" si="3"/>
        <v>45748</v>
      </c>
      <c r="O11" t="str">
        <f t="shared" si="4"/>
        <v>Apr</v>
      </c>
    </row>
    <row r="12" spans="1:15" ht="15" customHeight="1" x14ac:dyDescent="0.25">
      <c r="A12" t="s">
        <v>42</v>
      </c>
      <c r="B12" s="2">
        <v>45690</v>
      </c>
      <c r="C12" t="s">
        <v>16</v>
      </c>
      <c r="D12" t="s">
        <v>23</v>
      </c>
      <c r="E12" t="s">
        <v>33</v>
      </c>
      <c r="F12" t="s">
        <v>43</v>
      </c>
      <c r="G12" t="s">
        <v>44</v>
      </c>
      <c r="H12">
        <v>5</v>
      </c>
      <c r="I12" s="18">
        <v>865.52</v>
      </c>
      <c r="J12" s="18">
        <f t="shared" si="0"/>
        <v>4327.6000000000004</v>
      </c>
      <c r="K12" s="18">
        <v>3404.03</v>
      </c>
      <c r="L12" s="18">
        <f t="shared" si="1"/>
        <v>923.57000000000016</v>
      </c>
      <c r="M12" s="3">
        <f t="shared" si="2"/>
        <v>0.21341390146963676</v>
      </c>
      <c r="N12" s="4">
        <f t="shared" si="3"/>
        <v>45689</v>
      </c>
      <c r="O12" t="str">
        <f t="shared" si="4"/>
        <v>Feb</v>
      </c>
    </row>
    <row r="13" spans="1:15" ht="15" customHeight="1" x14ac:dyDescent="0.25">
      <c r="A13" t="s">
        <v>45</v>
      </c>
      <c r="B13" s="2">
        <v>45794</v>
      </c>
      <c r="C13" t="s">
        <v>26</v>
      </c>
      <c r="D13" t="s">
        <v>23</v>
      </c>
      <c r="E13" t="s">
        <v>33</v>
      </c>
      <c r="F13" t="s">
        <v>46</v>
      </c>
      <c r="G13" t="s">
        <v>28</v>
      </c>
      <c r="H13">
        <v>3</v>
      </c>
      <c r="I13" s="18">
        <v>10726.79</v>
      </c>
      <c r="J13" s="18">
        <f t="shared" si="0"/>
        <v>32180.370000000003</v>
      </c>
      <c r="K13" s="18">
        <v>26031.21</v>
      </c>
      <c r="L13" s="18">
        <f t="shared" si="1"/>
        <v>6149.1600000000035</v>
      </c>
      <c r="M13" s="3">
        <f t="shared" si="2"/>
        <v>0.19108419200897947</v>
      </c>
      <c r="N13" s="4">
        <f t="shared" si="3"/>
        <v>45778</v>
      </c>
      <c r="O13" t="str">
        <f t="shared" si="4"/>
        <v>May</v>
      </c>
    </row>
    <row r="14" spans="1:15" ht="15" customHeight="1" x14ac:dyDescent="0.25">
      <c r="A14" t="s">
        <v>47</v>
      </c>
      <c r="B14" s="2">
        <v>45712</v>
      </c>
      <c r="C14" t="s">
        <v>16</v>
      </c>
      <c r="D14" t="s">
        <v>17</v>
      </c>
      <c r="E14" t="s">
        <v>24</v>
      </c>
      <c r="F14" t="s">
        <v>27</v>
      </c>
      <c r="G14" t="s">
        <v>28</v>
      </c>
      <c r="H14">
        <v>6</v>
      </c>
      <c r="I14" s="18">
        <v>20490.11</v>
      </c>
      <c r="J14" s="18">
        <f t="shared" si="0"/>
        <v>122940.66</v>
      </c>
      <c r="K14" s="18">
        <v>87220.37</v>
      </c>
      <c r="L14" s="18">
        <f t="shared" si="1"/>
        <v>35720.290000000008</v>
      </c>
      <c r="M14" s="3">
        <f t="shared" si="2"/>
        <v>0.29054903398110932</v>
      </c>
      <c r="N14" s="4">
        <f t="shared" si="3"/>
        <v>45689</v>
      </c>
      <c r="O14" t="str">
        <f t="shared" si="4"/>
        <v>Feb</v>
      </c>
    </row>
    <row r="15" spans="1:15" ht="15" customHeight="1" x14ac:dyDescent="0.25">
      <c r="A15" t="s">
        <v>48</v>
      </c>
      <c r="B15" s="2">
        <v>45667</v>
      </c>
      <c r="C15" t="s">
        <v>16</v>
      </c>
      <c r="D15" t="s">
        <v>23</v>
      </c>
      <c r="E15" t="s">
        <v>24</v>
      </c>
      <c r="F15" t="s">
        <v>19</v>
      </c>
      <c r="G15" t="s">
        <v>20</v>
      </c>
      <c r="H15">
        <v>1</v>
      </c>
      <c r="I15" s="18">
        <v>3241.81</v>
      </c>
      <c r="J15" s="18">
        <f t="shared" si="0"/>
        <v>3241.81</v>
      </c>
      <c r="K15" s="18">
        <v>2321.67</v>
      </c>
      <c r="L15" s="18">
        <f t="shared" si="1"/>
        <v>920.13999999999987</v>
      </c>
      <c r="M15" s="3">
        <f t="shared" si="2"/>
        <v>0.28383526486746596</v>
      </c>
      <c r="N15" s="4">
        <f t="shared" si="3"/>
        <v>45658</v>
      </c>
      <c r="O15" t="str">
        <f t="shared" si="4"/>
        <v>Jan</v>
      </c>
    </row>
    <row r="16" spans="1:15" ht="15" customHeight="1" x14ac:dyDescent="0.25">
      <c r="A16" t="s">
        <v>49</v>
      </c>
      <c r="B16" s="2">
        <v>45693</v>
      </c>
      <c r="C16" t="s">
        <v>22</v>
      </c>
      <c r="D16" t="s">
        <v>23</v>
      </c>
      <c r="E16" t="s">
        <v>33</v>
      </c>
      <c r="F16" t="s">
        <v>50</v>
      </c>
      <c r="G16" t="s">
        <v>28</v>
      </c>
      <c r="H16">
        <v>8</v>
      </c>
      <c r="I16" s="18">
        <v>415.05</v>
      </c>
      <c r="J16" s="18">
        <f t="shared" si="0"/>
        <v>3320.4</v>
      </c>
      <c r="K16" s="18">
        <v>2057.42</v>
      </c>
      <c r="L16" s="18">
        <f t="shared" si="1"/>
        <v>1262.98</v>
      </c>
      <c r="M16" s="3">
        <f t="shared" si="2"/>
        <v>0.38036983495964344</v>
      </c>
      <c r="N16" s="4">
        <f t="shared" si="3"/>
        <v>45689</v>
      </c>
      <c r="O16" t="str">
        <f t="shared" si="4"/>
        <v>Feb</v>
      </c>
    </row>
    <row r="17" spans="1:15" ht="15" customHeight="1" x14ac:dyDescent="0.25">
      <c r="A17" t="s">
        <v>51</v>
      </c>
      <c r="B17" s="2">
        <v>46011</v>
      </c>
      <c r="C17" t="s">
        <v>16</v>
      </c>
      <c r="D17" t="s">
        <v>23</v>
      </c>
      <c r="E17" t="s">
        <v>52</v>
      </c>
      <c r="F17" t="s">
        <v>53</v>
      </c>
      <c r="G17" t="s">
        <v>44</v>
      </c>
      <c r="H17">
        <v>6</v>
      </c>
      <c r="I17" s="18">
        <v>3410.25</v>
      </c>
      <c r="J17" s="18">
        <f t="shared" si="0"/>
        <v>20461.5</v>
      </c>
      <c r="K17" s="18">
        <v>14409.36</v>
      </c>
      <c r="L17" s="18">
        <f t="shared" si="1"/>
        <v>6052.1399999999994</v>
      </c>
      <c r="M17" s="3">
        <f t="shared" si="2"/>
        <v>0.29578183417637999</v>
      </c>
      <c r="N17" s="4">
        <f t="shared" si="3"/>
        <v>45992</v>
      </c>
      <c r="O17" t="str">
        <f t="shared" si="4"/>
        <v>Dec</v>
      </c>
    </row>
    <row r="18" spans="1:15" ht="15" customHeight="1" x14ac:dyDescent="0.25">
      <c r="A18" t="s">
        <v>54</v>
      </c>
      <c r="B18" s="2">
        <v>45690</v>
      </c>
      <c r="C18" t="s">
        <v>16</v>
      </c>
      <c r="D18" t="s">
        <v>23</v>
      </c>
      <c r="E18" t="s">
        <v>18</v>
      </c>
      <c r="F18" t="s">
        <v>46</v>
      </c>
      <c r="G18" t="s">
        <v>28</v>
      </c>
      <c r="H18">
        <v>4</v>
      </c>
      <c r="I18" s="18">
        <v>8423.0400000000009</v>
      </c>
      <c r="J18" s="18">
        <f t="shared" si="0"/>
        <v>33692.160000000003</v>
      </c>
      <c r="K18" s="18">
        <v>25265.14</v>
      </c>
      <c r="L18" s="18">
        <f t="shared" si="1"/>
        <v>8427.0200000000041</v>
      </c>
      <c r="M18" s="3">
        <f t="shared" si="2"/>
        <v>0.25011812837170438</v>
      </c>
      <c r="N18" s="4">
        <f t="shared" si="3"/>
        <v>45689</v>
      </c>
      <c r="O18" t="str">
        <f t="shared" si="4"/>
        <v>Feb</v>
      </c>
    </row>
    <row r="19" spans="1:15" ht="15" customHeight="1" x14ac:dyDescent="0.25">
      <c r="A19" t="s">
        <v>55</v>
      </c>
      <c r="B19" s="2">
        <v>45674</v>
      </c>
      <c r="C19" t="s">
        <v>22</v>
      </c>
      <c r="D19" t="s">
        <v>23</v>
      </c>
      <c r="E19" t="s">
        <v>24</v>
      </c>
      <c r="F19" t="s">
        <v>46</v>
      </c>
      <c r="G19" t="s">
        <v>28</v>
      </c>
      <c r="H19">
        <v>8</v>
      </c>
      <c r="I19" s="18">
        <v>9579.33</v>
      </c>
      <c r="J19" s="18">
        <f t="shared" si="0"/>
        <v>76634.64</v>
      </c>
      <c r="K19" s="18">
        <v>46881.61</v>
      </c>
      <c r="L19" s="18">
        <f t="shared" si="1"/>
        <v>29753.03</v>
      </c>
      <c r="M19" s="3">
        <f t="shared" si="2"/>
        <v>0.38824518520606344</v>
      </c>
      <c r="N19" s="4">
        <f t="shared" si="3"/>
        <v>45658</v>
      </c>
      <c r="O19" t="str">
        <f t="shared" si="4"/>
        <v>Jan</v>
      </c>
    </row>
    <row r="20" spans="1:15" ht="15" customHeight="1" x14ac:dyDescent="0.25">
      <c r="A20" t="s">
        <v>56</v>
      </c>
      <c r="B20" s="2">
        <v>45866</v>
      </c>
      <c r="C20" t="s">
        <v>16</v>
      </c>
      <c r="D20" t="s">
        <v>23</v>
      </c>
      <c r="E20" t="s">
        <v>18</v>
      </c>
      <c r="F20" t="s">
        <v>53</v>
      </c>
      <c r="G20" t="s">
        <v>44</v>
      </c>
      <c r="H20">
        <v>7</v>
      </c>
      <c r="I20" s="18">
        <v>1644.64</v>
      </c>
      <c r="J20" s="18">
        <f t="shared" si="0"/>
        <v>11512.480000000001</v>
      </c>
      <c r="K20" s="18">
        <v>7813.11</v>
      </c>
      <c r="L20" s="18">
        <f t="shared" si="1"/>
        <v>3699.3700000000017</v>
      </c>
      <c r="M20" s="3">
        <f t="shared" si="2"/>
        <v>0.32133562881325323</v>
      </c>
      <c r="N20" s="4">
        <f t="shared" si="3"/>
        <v>45839</v>
      </c>
      <c r="O20" t="str">
        <f t="shared" si="4"/>
        <v>Jul</v>
      </c>
    </row>
    <row r="21" spans="1:15" ht="15" customHeight="1" x14ac:dyDescent="0.25">
      <c r="A21" t="s">
        <v>57</v>
      </c>
      <c r="B21" s="2">
        <v>45864</v>
      </c>
      <c r="C21" t="s">
        <v>31</v>
      </c>
      <c r="D21" t="s">
        <v>17</v>
      </c>
      <c r="E21" t="s">
        <v>24</v>
      </c>
      <c r="F21" t="s">
        <v>46</v>
      </c>
      <c r="G21" t="s">
        <v>28</v>
      </c>
      <c r="H21">
        <v>4</v>
      </c>
      <c r="I21" s="18">
        <v>10868.3</v>
      </c>
      <c r="J21" s="18">
        <f t="shared" si="0"/>
        <v>43473.2</v>
      </c>
      <c r="K21" s="18">
        <v>26677.06</v>
      </c>
      <c r="L21" s="18">
        <f t="shared" si="1"/>
        <v>16796.139999999996</v>
      </c>
      <c r="M21" s="3">
        <f t="shared" si="2"/>
        <v>0.3863561918607325</v>
      </c>
      <c r="N21" s="4">
        <f t="shared" si="3"/>
        <v>45839</v>
      </c>
      <c r="O21" t="str">
        <f t="shared" si="4"/>
        <v>Jul</v>
      </c>
    </row>
    <row r="22" spans="1:15" ht="15" customHeight="1" x14ac:dyDescent="0.25">
      <c r="A22" t="s">
        <v>58</v>
      </c>
      <c r="B22" s="2">
        <v>45785</v>
      </c>
      <c r="C22" t="s">
        <v>31</v>
      </c>
      <c r="D22" t="s">
        <v>23</v>
      </c>
      <c r="E22" t="s">
        <v>24</v>
      </c>
      <c r="F22" t="s">
        <v>19</v>
      </c>
      <c r="G22" t="s">
        <v>20</v>
      </c>
      <c r="H22">
        <v>1</v>
      </c>
      <c r="I22" s="18">
        <v>1861.65</v>
      </c>
      <c r="J22" s="18">
        <f t="shared" si="0"/>
        <v>1861.65</v>
      </c>
      <c r="K22" s="18">
        <v>1493.65</v>
      </c>
      <c r="L22" s="18">
        <f t="shared" si="1"/>
        <v>368</v>
      </c>
      <c r="M22" s="3">
        <f t="shared" si="2"/>
        <v>0.19767410630354793</v>
      </c>
      <c r="N22" s="4">
        <f t="shared" si="3"/>
        <v>45778</v>
      </c>
      <c r="O22" t="str">
        <f t="shared" si="4"/>
        <v>May</v>
      </c>
    </row>
    <row r="23" spans="1:15" ht="15" customHeight="1" x14ac:dyDescent="0.25">
      <c r="A23" t="s">
        <v>59</v>
      </c>
      <c r="B23" s="2">
        <v>45906</v>
      </c>
      <c r="C23" t="s">
        <v>22</v>
      </c>
      <c r="D23" t="s">
        <v>17</v>
      </c>
      <c r="E23" t="s">
        <v>24</v>
      </c>
      <c r="F23" t="s">
        <v>40</v>
      </c>
      <c r="G23" t="s">
        <v>20</v>
      </c>
      <c r="H23">
        <v>1</v>
      </c>
      <c r="I23" s="18">
        <v>1095.26</v>
      </c>
      <c r="J23" s="18">
        <f t="shared" si="0"/>
        <v>1095.26</v>
      </c>
      <c r="K23" s="18">
        <v>635.82000000000005</v>
      </c>
      <c r="L23" s="18">
        <f t="shared" si="1"/>
        <v>459.43999999999994</v>
      </c>
      <c r="M23" s="3">
        <f t="shared" si="2"/>
        <v>0.41948030604605296</v>
      </c>
      <c r="N23" s="4">
        <f t="shared" si="3"/>
        <v>45901</v>
      </c>
      <c r="O23" t="str">
        <f t="shared" si="4"/>
        <v>Sep</v>
      </c>
    </row>
    <row r="24" spans="1:15" ht="15" customHeight="1" x14ac:dyDescent="0.25">
      <c r="A24" t="s">
        <v>60</v>
      </c>
      <c r="B24" s="2">
        <v>45804</v>
      </c>
      <c r="C24" t="s">
        <v>16</v>
      </c>
      <c r="D24" t="s">
        <v>17</v>
      </c>
      <c r="E24" t="s">
        <v>18</v>
      </c>
      <c r="F24" t="s">
        <v>43</v>
      </c>
      <c r="G24" t="s">
        <v>44</v>
      </c>
      <c r="H24">
        <v>4</v>
      </c>
      <c r="I24" s="18">
        <v>391.41</v>
      </c>
      <c r="J24" s="18">
        <f t="shared" si="0"/>
        <v>1565.64</v>
      </c>
      <c r="K24" s="18">
        <v>1272.07</v>
      </c>
      <c r="L24" s="18">
        <f t="shared" si="1"/>
        <v>293.57000000000016</v>
      </c>
      <c r="M24" s="3">
        <f t="shared" si="2"/>
        <v>0.18750798395544324</v>
      </c>
      <c r="N24" s="4">
        <f t="shared" si="3"/>
        <v>45778</v>
      </c>
      <c r="O24" t="str">
        <f t="shared" si="4"/>
        <v>May</v>
      </c>
    </row>
    <row r="25" spans="1:15" ht="15" customHeight="1" x14ac:dyDescent="0.25">
      <c r="A25" t="s">
        <v>61</v>
      </c>
      <c r="B25" s="2">
        <v>45683</v>
      </c>
      <c r="C25" t="s">
        <v>16</v>
      </c>
      <c r="D25" t="s">
        <v>23</v>
      </c>
      <c r="E25" t="s">
        <v>24</v>
      </c>
      <c r="F25" t="s">
        <v>62</v>
      </c>
      <c r="G25" t="s">
        <v>20</v>
      </c>
      <c r="H25">
        <v>2</v>
      </c>
      <c r="I25" s="18">
        <v>2342.8200000000002</v>
      </c>
      <c r="J25" s="18">
        <f t="shared" si="0"/>
        <v>4685.6400000000003</v>
      </c>
      <c r="K25" s="18">
        <v>2794.73</v>
      </c>
      <c r="L25" s="18">
        <f t="shared" si="1"/>
        <v>1890.9100000000003</v>
      </c>
      <c r="M25" s="3">
        <f t="shared" si="2"/>
        <v>0.40355426366515573</v>
      </c>
      <c r="N25" s="4">
        <f t="shared" si="3"/>
        <v>45658</v>
      </c>
      <c r="O25" t="str">
        <f t="shared" si="4"/>
        <v>Jan</v>
      </c>
    </row>
    <row r="26" spans="1:15" ht="15" customHeight="1" x14ac:dyDescent="0.25">
      <c r="A26" t="s">
        <v>63</v>
      </c>
      <c r="B26" s="2">
        <v>45719</v>
      </c>
      <c r="C26" t="s">
        <v>26</v>
      </c>
      <c r="D26" t="s">
        <v>17</v>
      </c>
      <c r="E26" t="s">
        <v>52</v>
      </c>
      <c r="F26" t="s">
        <v>62</v>
      </c>
      <c r="G26" t="s">
        <v>20</v>
      </c>
      <c r="H26">
        <v>2</v>
      </c>
      <c r="I26" s="18">
        <v>1205.21</v>
      </c>
      <c r="J26" s="18">
        <f t="shared" si="0"/>
        <v>2410.42</v>
      </c>
      <c r="K26" s="18">
        <v>1735.7</v>
      </c>
      <c r="L26" s="18">
        <f t="shared" si="1"/>
        <v>674.72</v>
      </c>
      <c r="M26" s="3">
        <f t="shared" si="2"/>
        <v>0.27991802258527559</v>
      </c>
      <c r="N26" s="4">
        <f t="shared" si="3"/>
        <v>45717</v>
      </c>
      <c r="O26" t="str">
        <f t="shared" si="4"/>
        <v>Mar</v>
      </c>
    </row>
    <row r="27" spans="1:15" ht="15" customHeight="1" x14ac:dyDescent="0.25">
      <c r="A27" t="s">
        <v>64</v>
      </c>
      <c r="B27" s="2">
        <v>46000</v>
      </c>
      <c r="C27" t="s">
        <v>26</v>
      </c>
      <c r="D27" t="s">
        <v>23</v>
      </c>
      <c r="E27" t="s">
        <v>18</v>
      </c>
      <c r="F27" t="s">
        <v>46</v>
      </c>
      <c r="G27" t="s">
        <v>28</v>
      </c>
      <c r="H27">
        <v>3</v>
      </c>
      <c r="I27" s="18">
        <v>13353.3</v>
      </c>
      <c r="J27" s="18">
        <f t="shared" si="0"/>
        <v>40059.899999999994</v>
      </c>
      <c r="K27" s="18">
        <v>26119.03</v>
      </c>
      <c r="L27" s="18">
        <f t="shared" si="1"/>
        <v>13940.869999999995</v>
      </c>
      <c r="M27" s="3">
        <f t="shared" si="2"/>
        <v>0.34800061907293822</v>
      </c>
      <c r="N27" s="4">
        <f t="shared" si="3"/>
        <v>45992</v>
      </c>
      <c r="O27" t="str">
        <f t="shared" si="4"/>
        <v>Dec</v>
      </c>
    </row>
    <row r="28" spans="1:15" ht="15" customHeight="1" x14ac:dyDescent="0.25">
      <c r="A28" t="s">
        <v>65</v>
      </c>
      <c r="B28" s="2">
        <v>45892</v>
      </c>
      <c r="C28" t="s">
        <v>26</v>
      </c>
      <c r="D28" t="s">
        <v>23</v>
      </c>
      <c r="E28" t="s">
        <v>52</v>
      </c>
      <c r="F28" t="s">
        <v>62</v>
      </c>
      <c r="G28" t="s">
        <v>20</v>
      </c>
      <c r="H28">
        <v>4</v>
      </c>
      <c r="I28" s="18">
        <v>1721.02</v>
      </c>
      <c r="J28" s="18">
        <f t="shared" si="0"/>
        <v>6884.08</v>
      </c>
      <c r="K28" s="18">
        <v>4211.6099999999997</v>
      </c>
      <c r="L28" s="18">
        <f t="shared" si="1"/>
        <v>2672.4700000000003</v>
      </c>
      <c r="M28" s="3">
        <f t="shared" si="2"/>
        <v>0.3882101893063416</v>
      </c>
      <c r="N28" s="4">
        <f t="shared" si="3"/>
        <v>45870</v>
      </c>
      <c r="O28" t="str">
        <f t="shared" si="4"/>
        <v>Aug</v>
      </c>
    </row>
    <row r="29" spans="1:15" ht="15" customHeight="1" x14ac:dyDescent="0.25">
      <c r="A29" t="s">
        <v>66</v>
      </c>
      <c r="B29" s="2">
        <v>45847</v>
      </c>
      <c r="C29" t="s">
        <v>16</v>
      </c>
      <c r="D29" t="s">
        <v>17</v>
      </c>
      <c r="E29" t="s">
        <v>18</v>
      </c>
      <c r="F29" t="s">
        <v>27</v>
      </c>
      <c r="G29" t="s">
        <v>28</v>
      </c>
      <c r="H29">
        <v>5</v>
      </c>
      <c r="I29" s="18">
        <v>11842.74</v>
      </c>
      <c r="J29" s="18">
        <f t="shared" si="0"/>
        <v>59213.7</v>
      </c>
      <c r="K29" s="18">
        <v>48373.8</v>
      </c>
      <c r="L29" s="18">
        <f t="shared" si="1"/>
        <v>10839.899999999994</v>
      </c>
      <c r="M29" s="3">
        <f t="shared" si="2"/>
        <v>0.18306405443334894</v>
      </c>
      <c r="N29" s="4">
        <f t="shared" si="3"/>
        <v>45839</v>
      </c>
      <c r="O29" t="str">
        <f t="shared" si="4"/>
        <v>Jul</v>
      </c>
    </row>
    <row r="30" spans="1:15" ht="15" customHeight="1" x14ac:dyDescent="0.25">
      <c r="A30" t="s">
        <v>67</v>
      </c>
      <c r="B30" s="2">
        <v>45726</v>
      </c>
      <c r="C30" t="s">
        <v>26</v>
      </c>
      <c r="D30" t="s">
        <v>23</v>
      </c>
      <c r="E30" t="s">
        <v>39</v>
      </c>
      <c r="F30" t="s">
        <v>27</v>
      </c>
      <c r="G30" t="s">
        <v>28</v>
      </c>
      <c r="H30">
        <v>3</v>
      </c>
      <c r="I30" s="18">
        <v>10395.129999999999</v>
      </c>
      <c r="J30" s="18">
        <f t="shared" si="0"/>
        <v>31185.39</v>
      </c>
      <c r="K30" s="18">
        <v>22614.37</v>
      </c>
      <c r="L30" s="18">
        <f t="shared" si="1"/>
        <v>8571.02</v>
      </c>
      <c r="M30" s="3">
        <f t="shared" si="2"/>
        <v>0.27484087901417942</v>
      </c>
      <c r="N30" s="4">
        <f t="shared" si="3"/>
        <v>45717</v>
      </c>
      <c r="O30" t="str">
        <f t="shared" si="4"/>
        <v>Mar</v>
      </c>
    </row>
    <row r="31" spans="1:15" ht="15" customHeight="1" x14ac:dyDescent="0.25">
      <c r="A31" t="s">
        <v>68</v>
      </c>
      <c r="B31" s="2">
        <v>45916</v>
      </c>
      <c r="C31" t="s">
        <v>26</v>
      </c>
      <c r="D31" t="s">
        <v>23</v>
      </c>
      <c r="E31" t="s">
        <v>39</v>
      </c>
      <c r="F31" t="s">
        <v>40</v>
      </c>
      <c r="G31" t="s">
        <v>20</v>
      </c>
      <c r="H31">
        <v>7</v>
      </c>
      <c r="I31" s="18">
        <v>366.66</v>
      </c>
      <c r="J31" s="18">
        <f t="shared" si="0"/>
        <v>2566.6200000000003</v>
      </c>
      <c r="K31" s="18">
        <v>1515.8</v>
      </c>
      <c r="L31" s="18">
        <f t="shared" si="1"/>
        <v>1050.8200000000004</v>
      </c>
      <c r="M31" s="3">
        <f t="shared" si="2"/>
        <v>0.40941783357100009</v>
      </c>
      <c r="N31" s="4">
        <f t="shared" si="3"/>
        <v>45901</v>
      </c>
      <c r="O31" t="str">
        <f t="shared" si="4"/>
        <v>Sep</v>
      </c>
    </row>
    <row r="32" spans="1:15" ht="15" customHeight="1" x14ac:dyDescent="0.25">
      <c r="A32" t="s">
        <v>69</v>
      </c>
      <c r="B32" s="2">
        <v>45740</v>
      </c>
      <c r="C32" t="s">
        <v>31</v>
      </c>
      <c r="D32" t="s">
        <v>23</v>
      </c>
      <c r="E32" t="s">
        <v>39</v>
      </c>
      <c r="F32" t="s">
        <v>40</v>
      </c>
      <c r="G32" t="s">
        <v>20</v>
      </c>
      <c r="H32">
        <v>1</v>
      </c>
      <c r="I32" s="18">
        <v>760.04</v>
      </c>
      <c r="J32" s="18">
        <f t="shared" si="0"/>
        <v>760.04</v>
      </c>
      <c r="K32" s="18">
        <v>613.21</v>
      </c>
      <c r="L32" s="18">
        <f t="shared" si="1"/>
        <v>146.82999999999993</v>
      </c>
      <c r="M32" s="3">
        <f t="shared" si="2"/>
        <v>0.19318720067364867</v>
      </c>
      <c r="N32" s="4">
        <f t="shared" si="3"/>
        <v>45717</v>
      </c>
      <c r="O32" t="str">
        <f t="shared" si="4"/>
        <v>Mar</v>
      </c>
    </row>
    <row r="33" spans="1:15" ht="15" customHeight="1" x14ac:dyDescent="0.25">
      <c r="A33" t="s">
        <v>70</v>
      </c>
      <c r="B33" s="2">
        <v>45956</v>
      </c>
      <c r="C33" t="s">
        <v>16</v>
      </c>
      <c r="D33" t="s">
        <v>17</v>
      </c>
      <c r="E33" t="s">
        <v>52</v>
      </c>
      <c r="F33" t="s">
        <v>50</v>
      </c>
      <c r="G33" t="s">
        <v>28</v>
      </c>
      <c r="H33">
        <v>1</v>
      </c>
      <c r="I33" s="18">
        <v>365.43</v>
      </c>
      <c r="J33" s="18">
        <f t="shared" si="0"/>
        <v>365.43</v>
      </c>
      <c r="K33" s="18">
        <v>290.79000000000002</v>
      </c>
      <c r="L33" s="18">
        <f t="shared" si="1"/>
        <v>74.639999999999986</v>
      </c>
      <c r="M33" s="3">
        <f t="shared" si="2"/>
        <v>0.20425252442328212</v>
      </c>
      <c r="N33" s="4">
        <f t="shared" si="3"/>
        <v>45931</v>
      </c>
      <c r="O33" t="str">
        <f t="shared" si="4"/>
        <v>Oct</v>
      </c>
    </row>
    <row r="34" spans="1:15" ht="15" customHeight="1" x14ac:dyDescent="0.25">
      <c r="A34" t="s">
        <v>71</v>
      </c>
      <c r="B34" s="2">
        <v>46007</v>
      </c>
      <c r="C34" t="s">
        <v>31</v>
      </c>
      <c r="D34" t="s">
        <v>23</v>
      </c>
      <c r="E34" t="s">
        <v>52</v>
      </c>
      <c r="F34" t="s">
        <v>53</v>
      </c>
      <c r="G34" t="s">
        <v>44</v>
      </c>
      <c r="H34">
        <v>7</v>
      </c>
      <c r="I34" s="18">
        <v>1907.08</v>
      </c>
      <c r="J34" s="18">
        <f t="shared" si="0"/>
        <v>13349.56</v>
      </c>
      <c r="K34" s="18">
        <v>10143.99</v>
      </c>
      <c r="L34" s="18">
        <f t="shared" si="1"/>
        <v>3205.5699999999997</v>
      </c>
      <c r="M34" s="3">
        <f t="shared" si="2"/>
        <v>0.2401255172455122</v>
      </c>
      <c r="N34" s="4">
        <f t="shared" si="3"/>
        <v>45992</v>
      </c>
      <c r="O34" t="str">
        <f t="shared" si="4"/>
        <v>Dec</v>
      </c>
    </row>
    <row r="35" spans="1:15" ht="15" customHeight="1" x14ac:dyDescent="0.25">
      <c r="A35" t="s">
        <v>72</v>
      </c>
      <c r="B35" s="2">
        <v>45869</v>
      </c>
      <c r="C35" t="s">
        <v>31</v>
      </c>
      <c r="D35" t="s">
        <v>17</v>
      </c>
      <c r="E35" t="s">
        <v>52</v>
      </c>
      <c r="F35" t="s">
        <v>37</v>
      </c>
      <c r="G35" t="s">
        <v>20</v>
      </c>
      <c r="H35">
        <v>7</v>
      </c>
      <c r="I35" s="18">
        <v>12659.62</v>
      </c>
      <c r="J35" s="18">
        <f t="shared" si="0"/>
        <v>88617.340000000011</v>
      </c>
      <c r="K35" s="18">
        <v>69775.11</v>
      </c>
      <c r="L35" s="18">
        <f t="shared" si="1"/>
        <v>18842.23000000001</v>
      </c>
      <c r="M35" s="3">
        <f t="shared" si="2"/>
        <v>0.21262463982782612</v>
      </c>
      <c r="N35" s="4">
        <f t="shared" si="3"/>
        <v>45839</v>
      </c>
      <c r="O35" t="str">
        <f t="shared" si="4"/>
        <v>Jul</v>
      </c>
    </row>
    <row r="36" spans="1:15" ht="15" customHeight="1" x14ac:dyDescent="0.25">
      <c r="A36" t="s">
        <v>73</v>
      </c>
      <c r="B36" s="2">
        <v>46017</v>
      </c>
      <c r="C36" t="s">
        <v>22</v>
      </c>
      <c r="D36" t="s">
        <v>17</v>
      </c>
      <c r="E36" t="s">
        <v>39</v>
      </c>
      <c r="F36" t="s">
        <v>19</v>
      </c>
      <c r="G36" t="s">
        <v>20</v>
      </c>
      <c r="H36">
        <v>8</v>
      </c>
      <c r="I36" s="18">
        <v>1149.44</v>
      </c>
      <c r="J36" s="18">
        <f t="shared" si="0"/>
        <v>9195.52</v>
      </c>
      <c r="K36" s="18">
        <v>7135.55</v>
      </c>
      <c r="L36" s="18">
        <f t="shared" si="1"/>
        <v>2059.9700000000003</v>
      </c>
      <c r="M36" s="3">
        <f t="shared" si="2"/>
        <v>0.22401887005846327</v>
      </c>
      <c r="N36" s="4">
        <f t="shared" si="3"/>
        <v>45992</v>
      </c>
      <c r="O36" t="str">
        <f t="shared" si="4"/>
        <v>Dec</v>
      </c>
    </row>
    <row r="37" spans="1:15" ht="15" customHeight="1" x14ac:dyDescent="0.25">
      <c r="A37" t="s">
        <v>74</v>
      </c>
      <c r="B37" s="2">
        <v>45774</v>
      </c>
      <c r="C37" t="s">
        <v>26</v>
      </c>
      <c r="D37" t="s">
        <v>17</v>
      </c>
      <c r="E37" t="s">
        <v>33</v>
      </c>
      <c r="F37" t="s">
        <v>53</v>
      </c>
      <c r="G37" t="s">
        <v>44</v>
      </c>
      <c r="H37">
        <v>6</v>
      </c>
      <c r="I37" s="18">
        <v>2372.1</v>
      </c>
      <c r="J37" s="18">
        <f t="shared" si="0"/>
        <v>14232.599999999999</v>
      </c>
      <c r="K37" s="18">
        <v>8492.0400000000009</v>
      </c>
      <c r="L37" s="18">
        <f t="shared" si="1"/>
        <v>5740.5599999999977</v>
      </c>
      <c r="M37" s="3">
        <f t="shared" si="2"/>
        <v>0.4033388137093713</v>
      </c>
      <c r="N37" s="4">
        <f t="shared" si="3"/>
        <v>45748</v>
      </c>
      <c r="O37" t="str">
        <f t="shared" si="4"/>
        <v>Apr</v>
      </c>
    </row>
    <row r="38" spans="1:15" ht="15" customHeight="1" x14ac:dyDescent="0.25">
      <c r="A38" t="s">
        <v>75</v>
      </c>
      <c r="B38" s="2">
        <v>45862</v>
      </c>
      <c r="C38" t="s">
        <v>26</v>
      </c>
      <c r="D38" t="s">
        <v>23</v>
      </c>
      <c r="E38" t="s">
        <v>18</v>
      </c>
      <c r="F38" t="s">
        <v>50</v>
      </c>
      <c r="G38" t="s">
        <v>28</v>
      </c>
      <c r="H38">
        <v>5</v>
      </c>
      <c r="I38" s="18">
        <v>344.34</v>
      </c>
      <c r="J38" s="18">
        <f t="shared" si="0"/>
        <v>1721.6999999999998</v>
      </c>
      <c r="K38" s="18">
        <v>1396.31</v>
      </c>
      <c r="L38" s="18">
        <f t="shared" si="1"/>
        <v>325.38999999999987</v>
      </c>
      <c r="M38" s="3">
        <f t="shared" si="2"/>
        <v>0.18899343671952135</v>
      </c>
      <c r="N38" s="4">
        <f t="shared" si="3"/>
        <v>45839</v>
      </c>
      <c r="O38" t="str">
        <f t="shared" si="4"/>
        <v>Jul</v>
      </c>
    </row>
    <row r="39" spans="1:15" ht="15" customHeight="1" x14ac:dyDescent="0.25">
      <c r="A39" t="s">
        <v>76</v>
      </c>
      <c r="B39" s="2">
        <v>45963</v>
      </c>
      <c r="C39" t="s">
        <v>26</v>
      </c>
      <c r="D39" t="s">
        <v>23</v>
      </c>
      <c r="E39" t="s">
        <v>24</v>
      </c>
      <c r="F39" t="s">
        <v>43</v>
      </c>
      <c r="G39" t="s">
        <v>44</v>
      </c>
      <c r="H39">
        <v>2</v>
      </c>
      <c r="I39" s="18">
        <v>680.02</v>
      </c>
      <c r="J39" s="18">
        <f t="shared" si="0"/>
        <v>1360.04</v>
      </c>
      <c r="K39" s="18">
        <v>977.03</v>
      </c>
      <c r="L39" s="18">
        <f t="shared" si="1"/>
        <v>383.01</v>
      </c>
      <c r="M39" s="3">
        <f t="shared" si="2"/>
        <v>0.28161671715537778</v>
      </c>
      <c r="N39" s="4">
        <f t="shared" si="3"/>
        <v>45962</v>
      </c>
      <c r="O39" t="str">
        <f t="shared" si="4"/>
        <v>Nov</v>
      </c>
    </row>
    <row r="40" spans="1:15" ht="15" customHeight="1" x14ac:dyDescent="0.25">
      <c r="A40" t="s">
        <v>77</v>
      </c>
      <c r="B40" s="2">
        <v>45658</v>
      </c>
      <c r="C40" t="s">
        <v>26</v>
      </c>
      <c r="D40" t="s">
        <v>17</v>
      </c>
      <c r="E40" t="s">
        <v>18</v>
      </c>
      <c r="F40" t="s">
        <v>50</v>
      </c>
      <c r="G40" t="s">
        <v>28</v>
      </c>
      <c r="H40">
        <v>7</v>
      </c>
      <c r="I40" s="18">
        <v>568.5</v>
      </c>
      <c r="J40" s="18">
        <f t="shared" si="0"/>
        <v>3979.5</v>
      </c>
      <c r="K40" s="18">
        <v>2942.51</v>
      </c>
      <c r="L40" s="18">
        <f t="shared" si="1"/>
        <v>1036.9899999999998</v>
      </c>
      <c r="M40" s="3">
        <f t="shared" si="2"/>
        <v>0.26058298781253919</v>
      </c>
      <c r="N40" s="4">
        <f t="shared" si="3"/>
        <v>45658</v>
      </c>
      <c r="O40" t="str">
        <f t="shared" si="4"/>
        <v>Jan</v>
      </c>
    </row>
    <row r="41" spans="1:15" ht="15" customHeight="1" x14ac:dyDescent="0.25">
      <c r="A41" t="s">
        <v>78</v>
      </c>
      <c r="B41" s="2">
        <v>45811</v>
      </c>
      <c r="C41" t="s">
        <v>31</v>
      </c>
      <c r="D41" t="s">
        <v>17</v>
      </c>
      <c r="E41" t="s">
        <v>24</v>
      </c>
      <c r="F41" t="s">
        <v>50</v>
      </c>
      <c r="G41" t="s">
        <v>28</v>
      </c>
      <c r="H41">
        <v>7</v>
      </c>
      <c r="I41" s="18">
        <v>607.03</v>
      </c>
      <c r="J41" s="18">
        <f t="shared" si="0"/>
        <v>4249.21</v>
      </c>
      <c r="K41" s="18">
        <v>3029.94</v>
      </c>
      <c r="L41" s="18">
        <f t="shared" si="1"/>
        <v>1219.27</v>
      </c>
      <c r="M41" s="3">
        <f t="shared" si="2"/>
        <v>0.28694039597948795</v>
      </c>
      <c r="N41" s="4">
        <f t="shared" si="3"/>
        <v>45809</v>
      </c>
      <c r="O41" t="str">
        <f t="shared" si="4"/>
        <v>Jun</v>
      </c>
    </row>
    <row r="42" spans="1:15" ht="15" customHeight="1" x14ac:dyDescent="0.25">
      <c r="A42" t="s">
        <v>79</v>
      </c>
      <c r="B42" s="2">
        <v>46004</v>
      </c>
      <c r="C42" t="s">
        <v>26</v>
      </c>
      <c r="D42" t="s">
        <v>17</v>
      </c>
      <c r="E42" t="s">
        <v>24</v>
      </c>
      <c r="F42" t="s">
        <v>35</v>
      </c>
      <c r="G42" t="s">
        <v>20</v>
      </c>
      <c r="H42">
        <v>1</v>
      </c>
      <c r="I42" s="18">
        <v>3233.01</v>
      </c>
      <c r="J42" s="18">
        <f t="shared" si="0"/>
        <v>3233.01</v>
      </c>
      <c r="K42" s="18">
        <v>2038.23</v>
      </c>
      <c r="L42" s="18">
        <f t="shared" si="1"/>
        <v>1194.7800000000002</v>
      </c>
      <c r="M42" s="3">
        <f t="shared" si="2"/>
        <v>0.36955654328319432</v>
      </c>
      <c r="N42" s="4">
        <f t="shared" si="3"/>
        <v>45992</v>
      </c>
      <c r="O42" t="str">
        <f t="shared" si="4"/>
        <v>Dec</v>
      </c>
    </row>
    <row r="43" spans="1:15" ht="15" customHeight="1" x14ac:dyDescent="0.25">
      <c r="A43" t="s">
        <v>80</v>
      </c>
      <c r="B43" s="2">
        <v>45884</v>
      </c>
      <c r="C43" t="s">
        <v>26</v>
      </c>
      <c r="D43" t="s">
        <v>23</v>
      </c>
      <c r="E43" t="s">
        <v>52</v>
      </c>
      <c r="F43" t="s">
        <v>53</v>
      </c>
      <c r="G43" t="s">
        <v>44</v>
      </c>
      <c r="H43">
        <v>3</v>
      </c>
      <c r="I43" s="18">
        <v>4927.7299999999996</v>
      </c>
      <c r="J43" s="18">
        <f t="shared" si="0"/>
        <v>14783.189999999999</v>
      </c>
      <c r="K43" s="18">
        <v>9581.11</v>
      </c>
      <c r="L43" s="18">
        <f t="shared" si="1"/>
        <v>5202.0799999999981</v>
      </c>
      <c r="M43" s="3">
        <f t="shared" si="2"/>
        <v>0.35189157414604011</v>
      </c>
      <c r="N43" s="4">
        <f t="shared" si="3"/>
        <v>45870</v>
      </c>
      <c r="O43" t="str">
        <f t="shared" si="4"/>
        <v>Aug</v>
      </c>
    </row>
    <row r="44" spans="1:15" ht="15" customHeight="1" x14ac:dyDescent="0.25">
      <c r="A44" t="s">
        <v>81</v>
      </c>
      <c r="B44" s="2">
        <v>46002</v>
      </c>
      <c r="C44" t="s">
        <v>16</v>
      </c>
      <c r="D44" t="s">
        <v>17</v>
      </c>
      <c r="E44" t="s">
        <v>24</v>
      </c>
      <c r="F44" t="s">
        <v>27</v>
      </c>
      <c r="G44" t="s">
        <v>28</v>
      </c>
      <c r="H44">
        <v>1</v>
      </c>
      <c r="I44" s="18">
        <v>11529.2</v>
      </c>
      <c r="J44" s="18">
        <f t="shared" si="0"/>
        <v>11529.2</v>
      </c>
      <c r="K44" s="18">
        <v>9409.49</v>
      </c>
      <c r="L44" s="18">
        <f t="shared" si="1"/>
        <v>2119.7100000000009</v>
      </c>
      <c r="M44" s="3">
        <f t="shared" si="2"/>
        <v>0.18385577490198807</v>
      </c>
      <c r="N44" s="4">
        <f t="shared" si="3"/>
        <v>45992</v>
      </c>
      <c r="O44" t="str">
        <f t="shared" si="4"/>
        <v>Dec</v>
      </c>
    </row>
    <row r="45" spans="1:15" ht="15" customHeight="1" x14ac:dyDescent="0.25">
      <c r="A45" t="s">
        <v>82</v>
      </c>
      <c r="B45" s="2">
        <v>45980</v>
      </c>
      <c r="C45" t="s">
        <v>16</v>
      </c>
      <c r="D45" t="s">
        <v>23</v>
      </c>
      <c r="E45" t="s">
        <v>24</v>
      </c>
      <c r="F45" t="s">
        <v>62</v>
      </c>
      <c r="G45" t="s">
        <v>20</v>
      </c>
      <c r="H45">
        <v>7</v>
      </c>
      <c r="I45" s="18">
        <v>3837.88</v>
      </c>
      <c r="J45" s="18">
        <f t="shared" si="0"/>
        <v>26865.16</v>
      </c>
      <c r="K45" s="18">
        <v>19811.82</v>
      </c>
      <c r="L45" s="18">
        <f t="shared" si="1"/>
        <v>7053.34</v>
      </c>
      <c r="M45" s="3">
        <f t="shared" si="2"/>
        <v>0.2625459889313892</v>
      </c>
      <c r="N45" s="4">
        <f t="shared" si="3"/>
        <v>45962</v>
      </c>
      <c r="O45" t="str">
        <f t="shared" si="4"/>
        <v>Nov</v>
      </c>
    </row>
    <row r="46" spans="1:15" ht="15" customHeight="1" x14ac:dyDescent="0.25">
      <c r="A46" t="s">
        <v>83</v>
      </c>
      <c r="B46" s="2">
        <v>45770</v>
      </c>
      <c r="C46" t="s">
        <v>31</v>
      </c>
      <c r="D46" t="s">
        <v>17</v>
      </c>
      <c r="E46" t="s">
        <v>33</v>
      </c>
      <c r="F46" t="s">
        <v>35</v>
      </c>
      <c r="G46" t="s">
        <v>20</v>
      </c>
      <c r="H46">
        <v>4</v>
      </c>
      <c r="I46" s="18">
        <v>5097.84</v>
      </c>
      <c r="J46" s="18">
        <f t="shared" si="0"/>
        <v>20391.36</v>
      </c>
      <c r="K46" s="18">
        <v>12420.91</v>
      </c>
      <c r="L46" s="18">
        <f t="shared" si="1"/>
        <v>7970.4500000000007</v>
      </c>
      <c r="M46" s="3">
        <f t="shared" si="2"/>
        <v>0.39087387991776912</v>
      </c>
      <c r="N46" s="4">
        <f t="shared" si="3"/>
        <v>45748</v>
      </c>
      <c r="O46" t="str">
        <f t="shared" si="4"/>
        <v>Apr</v>
      </c>
    </row>
    <row r="47" spans="1:15" ht="15" customHeight="1" x14ac:dyDescent="0.25">
      <c r="A47" t="s">
        <v>84</v>
      </c>
      <c r="B47" s="2">
        <v>45944</v>
      </c>
      <c r="C47" t="s">
        <v>31</v>
      </c>
      <c r="D47" t="s">
        <v>17</v>
      </c>
      <c r="E47" t="s">
        <v>24</v>
      </c>
      <c r="F47" t="s">
        <v>62</v>
      </c>
      <c r="G47" t="s">
        <v>20</v>
      </c>
      <c r="H47">
        <v>7</v>
      </c>
      <c r="I47" s="18">
        <v>4824.17</v>
      </c>
      <c r="J47" s="18">
        <f t="shared" si="0"/>
        <v>33769.19</v>
      </c>
      <c r="K47" s="18">
        <v>24026.42</v>
      </c>
      <c r="L47" s="18">
        <f t="shared" si="1"/>
        <v>9742.7700000000041</v>
      </c>
      <c r="M47" s="3">
        <f t="shared" si="2"/>
        <v>0.28851062166430413</v>
      </c>
      <c r="N47" s="4">
        <f t="shared" si="3"/>
        <v>45931</v>
      </c>
      <c r="O47" t="str">
        <f t="shared" si="4"/>
        <v>Oct</v>
      </c>
    </row>
    <row r="48" spans="1:15" ht="15" customHeight="1" x14ac:dyDescent="0.25">
      <c r="A48" t="s">
        <v>85</v>
      </c>
      <c r="B48" s="2">
        <v>45790</v>
      </c>
      <c r="C48" t="s">
        <v>16</v>
      </c>
      <c r="D48" t="s">
        <v>17</v>
      </c>
      <c r="E48" t="s">
        <v>52</v>
      </c>
      <c r="F48" t="s">
        <v>53</v>
      </c>
      <c r="G48" t="s">
        <v>44</v>
      </c>
      <c r="H48">
        <v>8</v>
      </c>
      <c r="I48" s="18">
        <v>3251.38</v>
      </c>
      <c r="J48" s="18">
        <f t="shared" si="0"/>
        <v>26011.040000000001</v>
      </c>
      <c r="K48" s="18">
        <v>16800.62</v>
      </c>
      <c r="L48" s="18">
        <f t="shared" si="1"/>
        <v>9210.4200000000019</v>
      </c>
      <c r="M48" s="3">
        <f t="shared" si="2"/>
        <v>0.35409656822641467</v>
      </c>
      <c r="N48" s="4">
        <f t="shared" si="3"/>
        <v>45778</v>
      </c>
      <c r="O48" t="str">
        <f t="shared" si="4"/>
        <v>May</v>
      </c>
    </row>
    <row r="49" spans="1:15" ht="15" customHeight="1" x14ac:dyDescent="0.25">
      <c r="A49" t="s">
        <v>86</v>
      </c>
      <c r="B49" s="2">
        <v>45797</v>
      </c>
      <c r="C49" t="s">
        <v>31</v>
      </c>
      <c r="D49" t="s">
        <v>23</v>
      </c>
      <c r="E49" t="s">
        <v>24</v>
      </c>
      <c r="F49" t="s">
        <v>46</v>
      </c>
      <c r="G49" t="s">
        <v>28</v>
      </c>
      <c r="H49">
        <v>3</v>
      </c>
      <c r="I49" s="18">
        <v>13472.74</v>
      </c>
      <c r="J49" s="18">
        <f t="shared" si="0"/>
        <v>40418.22</v>
      </c>
      <c r="K49" s="18">
        <v>30174.14</v>
      </c>
      <c r="L49" s="18">
        <f t="shared" si="1"/>
        <v>10244.080000000002</v>
      </c>
      <c r="M49" s="3">
        <f t="shared" si="2"/>
        <v>0.25345203227653273</v>
      </c>
      <c r="N49" s="4">
        <f t="shared" si="3"/>
        <v>45778</v>
      </c>
      <c r="O49" t="str">
        <f t="shared" si="4"/>
        <v>May</v>
      </c>
    </row>
    <row r="50" spans="1:15" ht="15" customHeight="1" x14ac:dyDescent="0.25">
      <c r="A50" t="s">
        <v>87</v>
      </c>
      <c r="B50" s="2">
        <v>45866</v>
      </c>
      <c r="C50" t="s">
        <v>16</v>
      </c>
      <c r="D50" t="s">
        <v>17</v>
      </c>
      <c r="E50" t="s">
        <v>24</v>
      </c>
      <c r="F50" t="s">
        <v>46</v>
      </c>
      <c r="G50" t="s">
        <v>28</v>
      </c>
      <c r="H50">
        <v>1</v>
      </c>
      <c r="I50" s="18">
        <v>16841.05</v>
      </c>
      <c r="J50" s="18">
        <f t="shared" si="0"/>
        <v>16841.05</v>
      </c>
      <c r="K50" s="18">
        <v>11465.97</v>
      </c>
      <c r="L50" s="18">
        <f t="shared" si="1"/>
        <v>5375.08</v>
      </c>
      <c r="M50" s="3">
        <f t="shared" si="2"/>
        <v>0.31916537270538359</v>
      </c>
      <c r="N50" s="4">
        <f t="shared" si="3"/>
        <v>45839</v>
      </c>
      <c r="O50" t="str">
        <f t="shared" si="4"/>
        <v>Jul</v>
      </c>
    </row>
    <row r="51" spans="1:15" ht="15" customHeight="1" x14ac:dyDescent="0.25">
      <c r="A51" t="s">
        <v>88</v>
      </c>
      <c r="B51" s="2">
        <v>45661</v>
      </c>
      <c r="C51" t="s">
        <v>31</v>
      </c>
      <c r="D51" t="s">
        <v>17</v>
      </c>
      <c r="E51" t="s">
        <v>52</v>
      </c>
      <c r="F51" t="s">
        <v>46</v>
      </c>
      <c r="G51" t="s">
        <v>28</v>
      </c>
      <c r="H51">
        <v>7</v>
      </c>
      <c r="I51" s="18">
        <v>13998.19</v>
      </c>
      <c r="J51" s="18">
        <f t="shared" si="0"/>
        <v>97987.33</v>
      </c>
      <c r="K51" s="18">
        <v>74109.009999999995</v>
      </c>
      <c r="L51" s="18">
        <f t="shared" si="1"/>
        <v>23878.320000000007</v>
      </c>
      <c r="M51" s="3">
        <f t="shared" si="2"/>
        <v>0.24368783188602045</v>
      </c>
      <c r="N51" s="4">
        <f t="shared" si="3"/>
        <v>45658</v>
      </c>
      <c r="O51" t="str">
        <f t="shared" si="4"/>
        <v>Jan</v>
      </c>
    </row>
    <row r="52" spans="1:15" ht="15" customHeight="1" x14ac:dyDescent="0.25">
      <c r="A52" t="s">
        <v>89</v>
      </c>
      <c r="B52" s="2">
        <v>45797</v>
      </c>
      <c r="C52" t="s">
        <v>31</v>
      </c>
      <c r="D52" t="s">
        <v>17</v>
      </c>
      <c r="E52" t="s">
        <v>52</v>
      </c>
      <c r="F52" t="s">
        <v>43</v>
      </c>
      <c r="G52" t="s">
        <v>44</v>
      </c>
      <c r="H52">
        <v>6</v>
      </c>
      <c r="I52" s="18">
        <v>669.89</v>
      </c>
      <c r="J52" s="18">
        <f t="shared" si="0"/>
        <v>4019.34</v>
      </c>
      <c r="K52" s="18">
        <v>3101.14</v>
      </c>
      <c r="L52" s="18">
        <f t="shared" si="1"/>
        <v>918.20000000000027</v>
      </c>
      <c r="M52" s="3">
        <f t="shared" si="2"/>
        <v>0.22844546617106298</v>
      </c>
      <c r="N52" s="4">
        <f t="shared" si="3"/>
        <v>45778</v>
      </c>
      <c r="O52" t="str">
        <f t="shared" si="4"/>
        <v>May</v>
      </c>
    </row>
    <row r="53" spans="1:15" ht="15" customHeight="1" x14ac:dyDescent="0.25">
      <c r="A53" t="s">
        <v>90</v>
      </c>
      <c r="B53" s="2">
        <v>45976</v>
      </c>
      <c r="C53" t="s">
        <v>22</v>
      </c>
      <c r="D53" t="s">
        <v>23</v>
      </c>
      <c r="E53" t="s">
        <v>18</v>
      </c>
      <c r="F53" t="s">
        <v>50</v>
      </c>
      <c r="G53" t="s">
        <v>28</v>
      </c>
      <c r="H53">
        <v>1</v>
      </c>
      <c r="I53" s="18">
        <v>784.77</v>
      </c>
      <c r="J53" s="18">
        <f t="shared" si="0"/>
        <v>784.77</v>
      </c>
      <c r="K53" s="18">
        <v>535.89</v>
      </c>
      <c r="L53" s="18">
        <f t="shared" si="1"/>
        <v>248.88</v>
      </c>
      <c r="M53" s="3">
        <f t="shared" si="2"/>
        <v>0.31713750525631712</v>
      </c>
      <c r="N53" s="4">
        <f t="shared" si="3"/>
        <v>45962</v>
      </c>
      <c r="O53" t="str">
        <f t="shared" si="4"/>
        <v>Nov</v>
      </c>
    </row>
    <row r="54" spans="1:15" ht="15" customHeight="1" x14ac:dyDescent="0.25">
      <c r="A54" t="s">
        <v>91</v>
      </c>
      <c r="B54" s="2">
        <v>45791</v>
      </c>
      <c r="C54" t="s">
        <v>26</v>
      </c>
      <c r="D54" t="s">
        <v>17</v>
      </c>
      <c r="E54" t="s">
        <v>39</v>
      </c>
      <c r="F54" t="s">
        <v>43</v>
      </c>
      <c r="G54" t="s">
        <v>44</v>
      </c>
      <c r="H54">
        <v>6</v>
      </c>
      <c r="I54" s="18">
        <v>691.76</v>
      </c>
      <c r="J54" s="18">
        <f t="shared" si="0"/>
        <v>4150.5599999999995</v>
      </c>
      <c r="K54" s="18">
        <v>3283.56</v>
      </c>
      <c r="L54" s="18">
        <f t="shared" si="1"/>
        <v>866.99999999999955</v>
      </c>
      <c r="M54" s="3">
        <f t="shared" si="2"/>
        <v>0.2088874754250028</v>
      </c>
      <c r="N54" s="4">
        <f t="shared" si="3"/>
        <v>45778</v>
      </c>
      <c r="O54" t="str">
        <f t="shared" si="4"/>
        <v>May</v>
      </c>
    </row>
    <row r="55" spans="1:15" ht="15" customHeight="1" x14ac:dyDescent="0.25">
      <c r="A55" t="s">
        <v>92</v>
      </c>
      <c r="B55" s="2">
        <v>45699</v>
      </c>
      <c r="C55" t="s">
        <v>16</v>
      </c>
      <c r="D55" t="s">
        <v>23</v>
      </c>
      <c r="E55" t="s">
        <v>52</v>
      </c>
      <c r="F55" t="s">
        <v>40</v>
      </c>
      <c r="G55" t="s">
        <v>20</v>
      </c>
      <c r="H55">
        <v>4</v>
      </c>
      <c r="I55" s="18">
        <v>626.26</v>
      </c>
      <c r="J55" s="18">
        <f t="shared" si="0"/>
        <v>2505.04</v>
      </c>
      <c r="K55" s="18">
        <v>1922.61</v>
      </c>
      <c r="L55" s="18">
        <f t="shared" si="1"/>
        <v>582.43000000000006</v>
      </c>
      <c r="M55" s="3">
        <f t="shared" si="2"/>
        <v>0.23250327340082397</v>
      </c>
      <c r="N55" s="4">
        <f t="shared" si="3"/>
        <v>45689</v>
      </c>
      <c r="O55" t="str">
        <f t="shared" si="4"/>
        <v>Feb</v>
      </c>
    </row>
    <row r="56" spans="1:15" ht="15" customHeight="1" x14ac:dyDescent="0.25">
      <c r="A56" t="s">
        <v>93</v>
      </c>
      <c r="B56" s="2">
        <v>45760</v>
      </c>
      <c r="C56" t="s">
        <v>31</v>
      </c>
      <c r="D56" t="s">
        <v>17</v>
      </c>
      <c r="E56" t="s">
        <v>39</v>
      </c>
      <c r="F56" t="s">
        <v>37</v>
      </c>
      <c r="G56" t="s">
        <v>20</v>
      </c>
      <c r="H56">
        <v>3</v>
      </c>
      <c r="I56" s="18">
        <v>19077.59</v>
      </c>
      <c r="J56" s="18">
        <f t="shared" si="0"/>
        <v>57232.770000000004</v>
      </c>
      <c r="K56" s="18">
        <v>34766.239999999998</v>
      </c>
      <c r="L56" s="18">
        <f t="shared" si="1"/>
        <v>22466.530000000006</v>
      </c>
      <c r="M56" s="3">
        <f t="shared" si="2"/>
        <v>0.39254661271855273</v>
      </c>
      <c r="N56" s="4">
        <f t="shared" si="3"/>
        <v>45748</v>
      </c>
      <c r="O56" t="str">
        <f t="shared" si="4"/>
        <v>Apr</v>
      </c>
    </row>
    <row r="57" spans="1:15" ht="15" customHeight="1" x14ac:dyDescent="0.25">
      <c r="A57" t="s">
        <v>94</v>
      </c>
      <c r="B57" s="2">
        <v>45846</v>
      </c>
      <c r="C57" t="s">
        <v>16</v>
      </c>
      <c r="D57" t="s">
        <v>17</v>
      </c>
      <c r="E57" t="s">
        <v>33</v>
      </c>
      <c r="F57" t="s">
        <v>35</v>
      </c>
      <c r="G57" t="s">
        <v>20</v>
      </c>
      <c r="H57">
        <v>3</v>
      </c>
      <c r="I57" s="18">
        <v>2008.83</v>
      </c>
      <c r="J57" s="18">
        <f t="shared" si="0"/>
        <v>6026.49</v>
      </c>
      <c r="K57" s="18">
        <v>3651.71</v>
      </c>
      <c r="L57" s="18">
        <f t="shared" si="1"/>
        <v>2374.7799999999997</v>
      </c>
      <c r="M57" s="3">
        <f t="shared" si="2"/>
        <v>0.39405690542919675</v>
      </c>
      <c r="N57" s="4">
        <f t="shared" si="3"/>
        <v>45839</v>
      </c>
      <c r="O57" t="str">
        <f t="shared" si="4"/>
        <v>Jul</v>
      </c>
    </row>
    <row r="58" spans="1:15" ht="15" customHeight="1" x14ac:dyDescent="0.25">
      <c r="A58" t="s">
        <v>95</v>
      </c>
      <c r="B58" s="2">
        <v>46004</v>
      </c>
      <c r="C58" t="s">
        <v>16</v>
      </c>
      <c r="D58" t="s">
        <v>23</v>
      </c>
      <c r="E58" t="s">
        <v>39</v>
      </c>
      <c r="F58" t="s">
        <v>43</v>
      </c>
      <c r="G58" t="s">
        <v>44</v>
      </c>
      <c r="H58">
        <v>4</v>
      </c>
      <c r="I58" s="18">
        <v>300.95999999999998</v>
      </c>
      <c r="J58" s="18">
        <f t="shared" si="0"/>
        <v>1203.8399999999999</v>
      </c>
      <c r="K58" s="18">
        <v>921.41</v>
      </c>
      <c r="L58" s="18">
        <f t="shared" si="1"/>
        <v>282.42999999999995</v>
      </c>
      <c r="M58" s="3">
        <f t="shared" si="2"/>
        <v>0.2346075890483785</v>
      </c>
      <c r="N58" s="4">
        <f t="shared" si="3"/>
        <v>45992</v>
      </c>
      <c r="O58" t="str">
        <f t="shared" si="4"/>
        <v>Dec</v>
      </c>
    </row>
    <row r="59" spans="1:15" ht="15" customHeight="1" x14ac:dyDescent="0.25">
      <c r="A59" t="s">
        <v>96</v>
      </c>
      <c r="B59" s="2">
        <v>45930</v>
      </c>
      <c r="C59" t="s">
        <v>22</v>
      </c>
      <c r="D59" t="s">
        <v>23</v>
      </c>
      <c r="E59" t="s">
        <v>24</v>
      </c>
      <c r="F59" t="s">
        <v>43</v>
      </c>
      <c r="G59" t="s">
        <v>44</v>
      </c>
      <c r="H59">
        <v>6</v>
      </c>
      <c r="I59" s="18">
        <v>288.81</v>
      </c>
      <c r="J59" s="18">
        <f t="shared" si="0"/>
        <v>1732.8600000000001</v>
      </c>
      <c r="K59" s="18">
        <v>1179.76</v>
      </c>
      <c r="L59" s="18">
        <f t="shared" si="1"/>
        <v>553.10000000000014</v>
      </c>
      <c r="M59" s="3">
        <f t="shared" si="2"/>
        <v>0.31918331544383277</v>
      </c>
      <c r="N59" s="4">
        <f t="shared" si="3"/>
        <v>45901</v>
      </c>
      <c r="O59" t="str">
        <f t="shared" si="4"/>
        <v>Sep</v>
      </c>
    </row>
    <row r="60" spans="1:15" ht="15" customHeight="1" x14ac:dyDescent="0.25">
      <c r="A60" t="s">
        <v>97</v>
      </c>
      <c r="B60" s="2">
        <v>45843</v>
      </c>
      <c r="C60" t="s">
        <v>26</v>
      </c>
      <c r="D60" t="s">
        <v>17</v>
      </c>
      <c r="E60" t="s">
        <v>24</v>
      </c>
      <c r="F60" t="s">
        <v>40</v>
      </c>
      <c r="G60" t="s">
        <v>20</v>
      </c>
      <c r="H60">
        <v>3</v>
      </c>
      <c r="I60" s="18">
        <v>727.5</v>
      </c>
      <c r="J60" s="18">
        <f t="shared" si="0"/>
        <v>2182.5</v>
      </c>
      <c r="K60" s="18">
        <v>1771.57</v>
      </c>
      <c r="L60" s="18">
        <f t="shared" si="1"/>
        <v>410.93000000000006</v>
      </c>
      <c r="M60" s="3">
        <f t="shared" si="2"/>
        <v>0.18828407789232535</v>
      </c>
      <c r="N60" s="4">
        <f t="shared" si="3"/>
        <v>45839</v>
      </c>
      <c r="O60" t="str">
        <f t="shared" si="4"/>
        <v>Jul</v>
      </c>
    </row>
    <row r="61" spans="1:15" ht="15" customHeight="1" x14ac:dyDescent="0.25">
      <c r="A61" t="s">
        <v>98</v>
      </c>
      <c r="B61" s="2">
        <v>45881</v>
      </c>
      <c r="C61" t="s">
        <v>22</v>
      </c>
      <c r="D61" t="s">
        <v>23</v>
      </c>
      <c r="E61" t="s">
        <v>24</v>
      </c>
      <c r="F61" t="s">
        <v>62</v>
      </c>
      <c r="G61" t="s">
        <v>20</v>
      </c>
      <c r="H61">
        <v>4</v>
      </c>
      <c r="I61" s="18">
        <v>3774.16</v>
      </c>
      <c r="J61" s="18">
        <f t="shared" si="0"/>
        <v>15096.64</v>
      </c>
      <c r="K61" s="18">
        <v>9070.0499999999993</v>
      </c>
      <c r="L61" s="18">
        <f t="shared" si="1"/>
        <v>6026.59</v>
      </c>
      <c r="M61" s="3">
        <f t="shared" si="2"/>
        <v>0.39920074930580585</v>
      </c>
      <c r="N61" s="4">
        <f t="shared" si="3"/>
        <v>45870</v>
      </c>
      <c r="O61" t="str">
        <f t="shared" si="4"/>
        <v>Aug</v>
      </c>
    </row>
    <row r="62" spans="1:15" ht="15" customHeight="1" x14ac:dyDescent="0.25">
      <c r="A62" t="s">
        <v>99</v>
      </c>
      <c r="B62" s="2">
        <v>45949</v>
      </c>
      <c r="C62" t="s">
        <v>22</v>
      </c>
      <c r="D62" t="s">
        <v>23</v>
      </c>
      <c r="E62" t="s">
        <v>39</v>
      </c>
      <c r="F62" t="s">
        <v>62</v>
      </c>
      <c r="G62" t="s">
        <v>20</v>
      </c>
      <c r="H62">
        <v>1</v>
      </c>
      <c r="I62" s="18">
        <v>3999.44</v>
      </c>
      <c r="J62" s="18">
        <f t="shared" si="0"/>
        <v>3999.44</v>
      </c>
      <c r="K62" s="18">
        <v>2631.65</v>
      </c>
      <c r="L62" s="18">
        <f t="shared" si="1"/>
        <v>1367.79</v>
      </c>
      <c r="M62" s="3">
        <f t="shared" si="2"/>
        <v>0.34199537935310942</v>
      </c>
      <c r="N62" s="4">
        <f t="shared" si="3"/>
        <v>45931</v>
      </c>
      <c r="O62" t="str">
        <f t="shared" si="4"/>
        <v>Oct</v>
      </c>
    </row>
    <row r="63" spans="1:15" ht="15" customHeight="1" x14ac:dyDescent="0.25">
      <c r="A63" t="s">
        <v>100</v>
      </c>
      <c r="B63" s="2">
        <v>45790</v>
      </c>
      <c r="C63" t="s">
        <v>31</v>
      </c>
      <c r="D63" t="s">
        <v>17</v>
      </c>
      <c r="E63" t="s">
        <v>24</v>
      </c>
      <c r="F63" t="s">
        <v>46</v>
      </c>
      <c r="G63" t="s">
        <v>28</v>
      </c>
      <c r="H63">
        <v>1</v>
      </c>
      <c r="I63" s="18">
        <v>13626.16</v>
      </c>
      <c r="J63" s="18">
        <f t="shared" si="0"/>
        <v>13626.16</v>
      </c>
      <c r="K63" s="18">
        <v>8527.98</v>
      </c>
      <c r="L63" s="18">
        <f t="shared" si="1"/>
        <v>5098.18</v>
      </c>
      <c r="M63" s="3">
        <f t="shared" si="2"/>
        <v>0.37414649468375538</v>
      </c>
      <c r="N63" s="4">
        <f t="shared" si="3"/>
        <v>45778</v>
      </c>
      <c r="O63" t="str">
        <f t="shared" si="4"/>
        <v>May</v>
      </c>
    </row>
    <row r="64" spans="1:15" ht="15" customHeight="1" x14ac:dyDescent="0.25">
      <c r="A64" t="s">
        <v>101</v>
      </c>
      <c r="B64" s="2">
        <v>45942</v>
      </c>
      <c r="C64" t="s">
        <v>26</v>
      </c>
      <c r="D64" t="s">
        <v>23</v>
      </c>
      <c r="E64" t="s">
        <v>24</v>
      </c>
      <c r="F64" t="s">
        <v>53</v>
      </c>
      <c r="G64" t="s">
        <v>44</v>
      </c>
      <c r="H64">
        <v>8</v>
      </c>
      <c r="I64" s="18">
        <v>4750.25</v>
      </c>
      <c r="J64" s="18">
        <f t="shared" si="0"/>
        <v>38002</v>
      </c>
      <c r="K64" s="18">
        <v>22198.43</v>
      </c>
      <c r="L64" s="18">
        <f t="shared" si="1"/>
        <v>15803.57</v>
      </c>
      <c r="M64" s="3">
        <f t="shared" si="2"/>
        <v>0.41586153360349454</v>
      </c>
      <c r="N64" s="4">
        <f t="shared" si="3"/>
        <v>45931</v>
      </c>
      <c r="O64" t="str">
        <f t="shared" si="4"/>
        <v>Oct</v>
      </c>
    </row>
    <row r="65" spans="1:15" ht="15" customHeight="1" x14ac:dyDescent="0.25">
      <c r="A65" t="s">
        <v>102</v>
      </c>
      <c r="B65" s="2">
        <v>46012</v>
      </c>
      <c r="C65" t="s">
        <v>26</v>
      </c>
      <c r="D65" t="s">
        <v>17</v>
      </c>
      <c r="E65" t="s">
        <v>24</v>
      </c>
      <c r="F65" t="s">
        <v>53</v>
      </c>
      <c r="G65" t="s">
        <v>44</v>
      </c>
      <c r="H65">
        <v>6</v>
      </c>
      <c r="I65" s="18">
        <v>3864.55</v>
      </c>
      <c r="J65" s="18">
        <f t="shared" si="0"/>
        <v>23187.300000000003</v>
      </c>
      <c r="K65" s="18">
        <v>17599.73</v>
      </c>
      <c r="L65" s="18">
        <f t="shared" si="1"/>
        <v>5587.5700000000033</v>
      </c>
      <c r="M65" s="3">
        <f t="shared" si="2"/>
        <v>0.24097544776666549</v>
      </c>
      <c r="N65" s="4">
        <f t="shared" si="3"/>
        <v>45992</v>
      </c>
      <c r="O65" t="str">
        <f t="shared" si="4"/>
        <v>Dec</v>
      </c>
    </row>
    <row r="66" spans="1:15" ht="15" customHeight="1" x14ac:dyDescent="0.25">
      <c r="A66" t="s">
        <v>103</v>
      </c>
      <c r="B66" s="2">
        <v>45796</v>
      </c>
      <c r="C66" t="s">
        <v>31</v>
      </c>
      <c r="D66" t="s">
        <v>23</v>
      </c>
      <c r="E66" t="s">
        <v>52</v>
      </c>
      <c r="F66" t="s">
        <v>27</v>
      </c>
      <c r="G66" t="s">
        <v>28</v>
      </c>
      <c r="H66">
        <v>4</v>
      </c>
      <c r="I66" s="18">
        <v>12634.07</v>
      </c>
      <c r="J66" s="18">
        <f t="shared" ref="J66:J129" si="5">H66*I66</f>
        <v>50536.28</v>
      </c>
      <c r="K66" s="18">
        <v>38321.230000000003</v>
      </c>
      <c r="L66" s="18">
        <f t="shared" ref="L66:L129" si="6">J66-K66</f>
        <v>12215.049999999996</v>
      </c>
      <c r="M66" s="3">
        <f t="shared" ref="M66:M129" si="7">IFERROR(L66/J66,0)</f>
        <v>0.24170853098011955</v>
      </c>
      <c r="N66" s="4">
        <f t="shared" ref="N66:N129" si="8">DATE(YEAR(B66),MONTH(B66),1)</f>
        <v>45778</v>
      </c>
      <c r="O66" t="str">
        <f t="shared" ref="O66:O129" si="9">TEXT(N66,"mmm")</f>
        <v>May</v>
      </c>
    </row>
    <row r="67" spans="1:15" ht="15" customHeight="1" x14ac:dyDescent="0.25">
      <c r="A67" t="s">
        <v>104</v>
      </c>
      <c r="B67" s="2">
        <v>45905</v>
      </c>
      <c r="C67" t="s">
        <v>26</v>
      </c>
      <c r="D67" t="s">
        <v>23</v>
      </c>
      <c r="E67" t="s">
        <v>33</v>
      </c>
      <c r="F67" t="s">
        <v>27</v>
      </c>
      <c r="G67" t="s">
        <v>28</v>
      </c>
      <c r="H67">
        <v>4</v>
      </c>
      <c r="I67" s="18">
        <v>20020.490000000002</v>
      </c>
      <c r="J67" s="18">
        <f t="shared" si="5"/>
        <v>80081.960000000006</v>
      </c>
      <c r="K67" s="18">
        <v>53383.55</v>
      </c>
      <c r="L67" s="18">
        <f t="shared" si="6"/>
        <v>26698.410000000003</v>
      </c>
      <c r="M67" s="3">
        <f t="shared" si="7"/>
        <v>0.33338856841166226</v>
      </c>
      <c r="N67" s="4">
        <f t="shared" si="8"/>
        <v>45901</v>
      </c>
      <c r="O67" t="str">
        <f t="shared" si="9"/>
        <v>Sep</v>
      </c>
    </row>
    <row r="68" spans="1:15" ht="15" customHeight="1" x14ac:dyDescent="0.25">
      <c r="A68" t="s">
        <v>105</v>
      </c>
      <c r="B68" s="2">
        <v>45722</v>
      </c>
      <c r="C68" t="s">
        <v>22</v>
      </c>
      <c r="D68" t="s">
        <v>23</v>
      </c>
      <c r="E68" t="s">
        <v>18</v>
      </c>
      <c r="F68" t="s">
        <v>27</v>
      </c>
      <c r="G68" t="s">
        <v>28</v>
      </c>
      <c r="H68">
        <v>5</v>
      </c>
      <c r="I68" s="18">
        <v>10129.77</v>
      </c>
      <c r="J68" s="18">
        <f t="shared" si="5"/>
        <v>50648.850000000006</v>
      </c>
      <c r="K68" s="18">
        <v>30911.35</v>
      </c>
      <c r="L68" s="18">
        <f t="shared" si="6"/>
        <v>19737.500000000007</v>
      </c>
      <c r="M68" s="3">
        <f t="shared" si="7"/>
        <v>0.38969295452907626</v>
      </c>
      <c r="N68" s="4">
        <f t="shared" si="8"/>
        <v>45717</v>
      </c>
      <c r="O68" t="str">
        <f t="shared" si="9"/>
        <v>Mar</v>
      </c>
    </row>
    <row r="69" spans="1:15" ht="15" customHeight="1" x14ac:dyDescent="0.25">
      <c r="A69" t="s">
        <v>106</v>
      </c>
      <c r="B69" s="2">
        <v>45951</v>
      </c>
      <c r="C69" t="s">
        <v>22</v>
      </c>
      <c r="D69" t="s">
        <v>23</v>
      </c>
      <c r="E69" t="s">
        <v>18</v>
      </c>
      <c r="F69" t="s">
        <v>27</v>
      </c>
      <c r="G69" t="s">
        <v>28</v>
      </c>
      <c r="H69">
        <v>6</v>
      </c>
      <c r="I69" s="18">
        <v>15636.41</v>
      </c>
      <c r="J69" s="18">
        <f t="shared" si="5"/>
        <v>93818.459999999992</v>
      </c>
      <c r="K69" s="18">
        <v>55571.53</v>
      </c>
      <c r="L69" s="18">
        <f t="shared" si="6"/>
        <v>38246.929999999993</v>
      </c>
      <c r="M69" s="3">
        <f t="shared" si="7"/>
        <v>0.40766955671623684</v>
      </c>
      <c r="N69" s="4">
        <f t="shared" si="8"/>
        <v>45931</v>
      </c>
      <c r="O69" t="str">
        <f t="shared" si="9"/>
        <v>Oct</v>
      </c>
    </row>
    <row r="70" spans="1:15" ht="15" customHeight="1" x14ac:dyDescent="0.25">
      <c r="A70" t="s">
        <v>107</v>
      </c>
      <c r="B70" s="2">
        <v>45863</v>
      </c>
      <c r="C70" t="s">
        <v>16</v>
      </c>
      <c r="D70" t="s">
        <v>23</v>
      </c>
      <c r="E70" t="s">
        <v>18</v>
      </c>
      <c r="F70" t="s">
        <v>40</v>
      </c>
      <c r="G70" t="s">
        <v>20</v>
      </c>
      <c r="H70">
        <v>3</v>
      </c>
      <c r="I70" s="18">
        <v>430.2</v>
      </c>
      <c r="J70" s="18">
        <f t="shared" si="5"/>
        <v>1290.5999999999999</v>
      </c>
      <c r="K70" s="18">
        <v>1042.53</v>
      </c>
      <c r="L70" s="18">
        <f t="shared" si="6"/>
        <v>248.06999999999994</v>
      </c>
      <c r="M70" s="3">
        <f t="shared" si="7"/>
        <v>0.19221292422129238</v>
      </c>
      <c r="N70" s="4">
        <f t="shared" si="8"/>
        <v>45839</v>
      </c>
      <c r="O70" t="str">
        <f t="shared" si="9"/>
        <v>Jul</v>
      </c>
    </row>
    <row r="71" spans="1:15" ht="15" customHeight="1" x14ac:dyDescent="0.25">
      <c r="A71" t="s">
        <v>108</v>
      </c>
      <c r="B71" s="2">
        <v>45943</v>
      </c>
      <c r="C71" t="s">
        <v>22</v>
      </c>
      <c r="D71" t="s">
        <v>17</v>
      </c>
      <c r="E71" t="s">
        <v>33</v>
      </c>
      <c r="F71" t="s">
        <v>43</v>
      </c>
      <c r="G71" t="s">
        <v>44</v>
      </c>
      <c r="H71">
        <v>7</v>
      </c>
      <c r="I71" s="18">
        <v>1033.67</v>
      </c>
      <c r="J71" s="18">
        <f t="shared" si="5"/>
        <v>7235.6900000000005</v>
      </c>
      <c r="K71" s="18">
        <v>4965.51</v>
      </c>
      <c r="L71" s="18">
        <f t="shared" si="6"/>
        <v>2270.1800000000003</v>
      </c>
      <c r="M71" s="3">
        <f t="shared" si="7"/>
        <v>0.31374754860973869</v>
      </c>
      <c r="N71" s="4">
        <f t="shared" si="8"/>
        <v>45931</v>
      </c>
      <c r="O71" t="str">
        <f t="shared" si="9"/>
        <v>Oct</v>
      </c>
    </row>
    <row r="72" spans="1:15" ht="15" customHeight="1" x14ac:dyDescent="0.25">
      <c r="A72" t="s">
        <v>109</v>
      </c>
      <c r="B72" s="2">
        <v>45975</v>
      </c>
      <c r="C72" t="s">
        <v>16</v>
      </c>
      <c r="D72" t="s">
        <v>23</v>
      </c>
      <c r="E72" t="s">
        <v>52</v>
      </c>
      <c r="F72" t="s">
        <v>37</v>
      </c>
      <c r="G72" t="s">
        <v>20</v>
      </c>
      <c r="H72">
        <v>4</v>
      </c>
      <c r="I72" s="18">
        <v>19464.66</v>
      </c>
      <c r="J72" s="18">
        <f t="shared" si="5"/>
        <v>77858.64</v>
      </c>
      <c r="K72" s="18">
        <v>50103.21</v>
      </c>
      <c r="L72" s="18">
        <f t="shared" si="6"/>
        <v>27755.43</v>
      </c>
      <c r="M72" s="3">
        <f t="shared" si="7"/>
        <v>0.35648490649207332</v>
      </c>
      <c r="N72" s="4">
        <f t="shared" si="8"/>
        <v>45962</v>
      </c>
      <c r="O72" t="str">
        <f t="shared" si="9"/>
        <v>Nov</v>
      </c>
    </row>
    <row r="73" spans="1:15" ht="15" customHeight="1" x14ac:dyDescent="0.25">
      <c r="A73" t="s">
        <v>110</v>
      </c>
      <c r="B73" s="2">
        <v>45746</v>
      </c>
      <c r="C73" t="s">
        <v>26</v>
      </c>
      <c r="D73" t="s">
        <v>23</v>
      </c>
      <c r="E73" t="s">
        <v>52</v>
      </c>
      <c r="F73" t="s">
        <v>50</v>
      </c>
      <c r="G73" t="s">
        <v>28</v>
      </c>
      <c r="H73">
        <v>7</v>
      </c>
      <c r="I73" s="18">
        <v>249.51</v>
      </c>
      <c r="J73" s="18">
        <f t="shared" si="5"/>
        <v>1746.57</v>
      </c>
      <c r="K73" s="18">
        <v>1261.92</v>
      </c>
      <c r="L73" s="18">
        <f t="shared" si="6"/>
        <v>484.64999999999986</v>
      </c>
      <c r="M73" s="3">
        <f t="shared" si="7"/>
        <v>0.2774867311358834</v>
      </c>
      <c r="N73" s="4">
        <f t="shared" si="8"/>
        <v>45717</v>
      </c>
      <c r="O73" t="str">
        <f t="shared" si="9"/>
        <v>Mar</v>
      </c>
    </row>
    <row r="74" spans="1:15" ht="15" customHeight="1" x14ac:dyDescent="0.25">
      <c r="A74" t="s">
        <v>111</v>
      </c>
      <c r="B74" s="2">
        <v>45805</v>
      </c>
      <c r="C74" t="s">
        <v>31</v>
      </c>
      <c r="D74" t="s">
        <v>17</v>
      </c>
      <c r="E74" t="s">
        <v>18</v>
      </c>
      <c r="F74" t="s">
        <v>27</v>
      </c>
      <c r="G74" t="s">
        <v>28</v>
      </c>
      <c r="H74">
        <v>4</v>
      </c>
      <c r="I74" s="18">
        <v>22256.48</v>
      </c>
      <c r="J74" s="18">
        <f t="shared" si="5"/>
        <v>89025.919999999998</v>
      </c>
      <c r="K74" s="18">
        <v>68467.94</v>
      </c>
      <c r="L74" s="18">
        <f t="shared" si="6"/>
        <v>20557.979999999996</v>
      </c>
      <c r="M74" s="3">
        <f t="shared" si="7"/>
        <v>0.23092128674435486</v>
      </c>
      <c r="N74" s="4">
        <f t="shared" si="8"/>
        <v>45778</v>
      </c>
      <c r="O74" t="str">
        <f t="shared" si="9"/>
        <v>May</v>
      </c>
    </row>
    <row r="75" spans="1:15" ht="15" customHeight="1" x14ac:dyDescent="0.25">
      <c r="A75" t="s">
        <v>112</v>
      </c>
      <c r="B75" s="2">
        <v>45936</v>
      </c>
      <c r="C75" t="s">
        <v>31</v>
      </c>
      <c r="D75" t="s">
        <v>17</v>
      </c>
      <c r="E75" t="s">
        <v>33</v>
      </c>
      <c r="F75" t="s">
        <v>53</v>
      </c>
      <c r="G75" t="s">
        <v>44</v>
      </c>
      <c r="H75">
        <v>5</v>
      </c>
      <c r="I75" s="18">
        <v>2258.4899999999998</v>
      </c>
      <c r="J75" s="18">
        <f t="shared" si="5"/>
        <v>11292.449999999999</v>
      </c>
      <c r="K75" s="18">
        <v>6743.16</v>
      </c>
      <c r="L75" s="18">
        <f t="shared" si="6"/>
        <v>4549.2899999999991</v>
      </c>
      <c r="M75" s="3">
        <f t="shared" si="7"/>
        <v>0.40286120372461243</v>
      </c>
      <c r="N75" s="4">
        <f t="shared" si="8"/>
        <v>45931</v>
      </c>
      <c r="O75" t="str">
        <f t="shared" si="9"/>
        <v>Oct</v>
      </c>
    </row>
    <row r="76" spans="1:15" ht="15" customHeight="1" x14ac:dyDescent="0.25">
      <c r="A76" t="s">
        <v>113</v>
      </c>
      <c r="B76" s="2">
        <v>45949</v>
      </c>
      <c r="C76" t="s">
        <v>22</v>
      </c>
      <c r="D76" t="s">
        <v>17</v>
      </c>
      <c r="E76" t="s">
        <v>18</v>
      </c>
      <c r="F76" t="s">
        <v>27</v>
      </c>
      <c r="G76" t="s">
        <v>28</v>
      </c>
      <c r="H76">
        <v>5</v>
      </c>
      <c r="I76" s="18">
        <v>16841.939999999999</v>
      </c>
      <c r="J76" s="18">
        <f t="shared" si="5"/>
        <v>84209.7</v>
      </c>
      <c r="K76" s="18">
        <v>67893.42</v>
      </c>
      <c r="L76" s="18">
        <f t="shared" si="6"/>
        <v>16316.279999999999</v>
      </c>
      <c r="M76" s="3">
        <f t="shared" si="7"/>
        <v>0.19375772624768881</v>
      </c>
      <c r="N76" s="4">
        <f t="shared" si="8"/>
        <v>45931</v>
      </c>
      <c r="O76" t="str">
        <f t="shared" si="9"/>
        <v>Oct</v>
      </c>
    </row>
    <row r="77" spans="1:15" ht="15" customHeight="1" x14ac:dyDescent="0.25">
      <c r="A77" t="s">
        <v>114</v>
      </c>
      <c r="B77" s="2">
        <v>45964</v>
      </c>
      <c r="C77" t="s">
        <v>16</v>
      </c>
      <c r="D77" t="s">
        <v>17</v>
      </c>
      <c r="E77" t="s">
        <v>33</v>
      </c>
      <c r="F77" t="s">
        <v>37</v>
      </c>
      <c r="G77" t="s">
        <v>20</v>
      </c>
      <c r="H77">
        <v>5</v>
      </c>
      <c r="I77" s="18">
        <v>14553.37</v>
      </c>
      <c r="J77" s="18">
        <f t="shared" si="5"/>
        <v>72766.850000000006</v>
      </c>
      <c r="K77" s="18">
        <v>46202.720000000001</v>
      </c>
      <c r="L77" s="18">
        <f t="shared" si="6"/>
        <v>26564.130000000005</v>
      </c>
      <c r="M77" s="3">
        <f t="shared" si="7"/>
        <v>0.36505812743027904</v>
      </c>
      <c r="N77" s="4">
        <f t="shared" si="8"/>
        <v>45962</v>
      </c>
      <c r="O77" t="str">
        <f t="shared" si="9"/>
        <v>Nov</v>
      </c>
    </row>
    <row r="78" spans="1:15" ht="15" customHeight="1" x14ac:dyDescent="0.25">
      <c r="A78" t="s">
        <v>115</v>
      </c>
      <c r="B78" s="2">
        <v>45678</v>
      </c>
      <c r="C78" t="s">
        <v>22</v>
      </c>
      <c r="D78" t="s">
        <v>23</v>
      </c>
      <c r="E78" t="s">
        <v>24</v>
      </c>
      <c r="F78" t="s">
        <v>35</v>
      </c>
      <c r="G78" t="s">
        <v>20</v>
      </c>
      <c r="H78">
        <v>5</v>
      </c>
      <c r="I78" s="18">
        <v>4233.9399999999996</v>
      </c>
      <c r="J78" s="18">
        <f t="shared" si="5"/>
        <v>21169.699999999997</v>
      </c>
      <c r="K78" s="18">
        <v>15252.33</v>
      </c>
      <c r="L78" s="18">
        <f t="shared" si="6"/>
        <v>5917.3699999999972</v>
      </c>
      <c r="M78" s="3">
        <f t="shared" si="7"/>
        <v>0.27952073010009582</v>
      </c>
      <c r="N78" s="4">
        <f t="shared" si="8"/>
        <v>45658</v>
      </c>
      <c r="O78" t="str">
        <f t="shared" si="9"/>
        <v>Jan</v>
      </c>
    </row>
    <row r="79" spans="1:15" ht="15" customHeight="1" x14ac:dyDescent="0.25">
      <c r="A79" t="s">
        <v>116</v>
      </c>
      <c r="B79" s="2">
        <v>45836</v>
      </c>
      <c r="C79" t="s">
        <v>22</v>
      </c>
      <c r="D79" t="s">
        <v>17</v>
      </c>
      <c r="E79" t="s">
        <v>24</v>
      </c>
      <c r="F79" t="s">
        <v>43</v>
      </c>
      <c r="G79" t="s">
        <v>44</v>
      </c>
      <c r="H79">
        <v>2</v>
      </c>
      <c r="I79" s="18">
        <v>1002.97</v>
      </c>
      <c r="J79" s="18">
        <f t="shared" si="5"/>
        <v>2005.94</v>
      </c>
      <c r="K79" s="18">
        <v>1322.22</v>
      </c>
      <c r="L79" s="18">
        <f t="shared" si="6"/>
        <v>683.72</v>
      </c>
      <c r="M79" s="3">
        <f t="shared" si="7"/>
        <v>0.34084768238332153</v>
      </c>
      <c r="N79" s="4">
        <f t="shared" si="8"/>
        <v>45809</v>
      </c>
      <c r="O79" t="str">
        <f t="shared" si="9"/>
        <v>Jun</v>
      </c>
    </row>
    <row r="80" spans="1:15" ht="15" customHeight="1" x14ac:dyDescent="0.25">
      <c r="A80" t="s">
        <v>117</v>
      </c>
      <c r="B80" s="2">
        <v>45939</v>
      </c>
      <c r="C80" t="s">
        <v>22</v>
      </c>
      <c r="D80" t="s">
        <v>23</v>
      </c>
      <c r="E80" t="s">
        <v>33</v>
      </c>
      <c r="F80" t="s">
        <v>37</v>
      </c>
      <c r="G80" t="s">
        <v>20</v>
      </c>
      <c r="H80">
        <v>5</v>
      </c>
      <c r="I80" s="18">
        <v>15869.54</v>
      </c>
      <c r="J80" s="18">
        <f t="shared" si="5"/>
        <v>79347.700000000012</v>
      </c>
      <c r="K80" s="18">
        <v>64497.33</v>
      </c>
      <c r="L80" s="18">
        <f t="shared" si="6"/>
        <v>14850.37000000001</v>
      </c>
      <c r="M80" s="3">
        <f t="shared" si="7"/>
        <v>0.18715564534321735</v>
      </c>
      <c r="N80" s="4">
        <f t="shared" si="8"/>
        <v>45931</v>
      </c>
      <c r="O80" t="str">
        <f t="shared" si="9"/>
        <v>Oct</v>
      </c>
    </row>
    <row r="81" spans="1:15" ht="15" customHeight="1" x14ac:dyDescent="0.25">
      <c r="A81" t="s">
        <v>118</v>
      </c>
      <c r="B81" s="2">
        <v>45894</v>
      </c>
      <c r="C81" t="s">
        <v>22</v>
      </c>
      <c r="D81" t="s">
        <v>23</v>
      </c>
      <c r="E81" t="s">
        <v>52</v>
      </c>
      <c r="F81" t="s">
        <v>43</v>
      </c>
      <c r="G81" t="s">
        <v>44</v>
      </c>
      <c r="H81">
        <v>6</v>
      </c>
      <c r="I81" s="18">
        <v>799.13</v>
      </c>
      <c r="J81" s="18">
        <f t="shared" si="5"/>
        <v>4794.78</v>
      </c>
      <c r="K81" s="18">
        <v>3354.61</v>
      </c>
      <c r="L81" s="18">
        <f t="shared" si="6"/>
        <v>1440.1699999999996</v>
      </c>
      <c r="M81" s="3">
        <f t="shared" si="7"/>
        <v>0.30036206040735963</v>
      </c>
      <c r="N81" s="4">
        <f t="shared" si="8"/>
        <v>45870</v>
      </c>
      <c r="O81" t="str">
        <f t="shared" si="9"/>
        <v>Aug</v>
      </c>
    </row>
    <row r="82" spans="1:15" ht="15" customHeight="1" x14ac:dyDescent="0.25">
      <c r="A82" t="s">
        <v>119</v>
      </c>
      <c r="B82" s="2">
        <v>45794</v>
      </c>
      <c r="C82" t="s">
        <v>31</v>
      </c>
      <c r="D82" t="s">
        <v>23</v>
      </c>
      <c r="E82" t="s">
        <v>39</v>
      </c>
      <c r="F82" t="s">
        <v>50</v>
      </c>
      <c r="G82" t="s">
        <v>28</v>
      </c>
      <c r="H82">
        <v>8</v>
      </c>
      <c r="I82" s="18">
        <v>645.15</v>
      </c>
      <c r="J82" s="18">
        <f t="shared" si="5"/>
        <v>5161.2</v>
      </c>
      <c r="K82" s="18">
        <v>4198.92</v>
      </c>
      <c r="L82" s="18">
        <f t="shared" si="6"/>
        <v>962.27999999999975</v>
      </c>
      <c r="M82" s="3">
        <f t="shared" si="7"/>
        <v>0.18644501278772374</v>
      </c>
      <c r="N82" s="4">
        <f t="shared" si="8"/>
        <v>45778</v>
      </c>
      <c r="O82" t="str">
        <f t="shared" si="9"/>
        <v>May</v>
      </c>
    </row>
    <row r="83" spans="1:15" ht="15" customHeight="1" x14ac:dyDescent="0.25">
      <c r="A83" t="s">
        <v>120</v>
      </c>
      <c r="B83" s="2">
        <v>45940</v>
      </c>
      <c r="C83" t="s">
        <v>22</v>
      </c>
      <c r="D83" t="s">
        <v>23</v>
      </c>
      <c r="E83" t="s">
        <v>52</v>
      </c>
      <c r="F83" t="s">
        <v>37</v>
      </c>
      <c r="G83" t="s">
        <v>20</v>
      </c>
      <c r="H83">
        <v>4</v>
      </c>
      <c r="I83" s="18">
        <v>19824.849999999999</v>
      </c>
      <c r="J83" s="18">
        <f t="shared" si="5"/>
        <v>79299.399999999994</v>
      </c>
      <c r="K83" s="18">
        <v>63368.4</v>
      </c>
      <c r="L83" s="18">
        <f t="shared" si="6"/>
        <v>15930.999999999993</v>
      </c>
      <c r="M83" s="3">
        <f t="shared" si="7"/>
        <v>0.20089685420066222</v>
      </c>
      <c r="N83" s="4">
        <f t="shared" si="8"/>
        <v>45931</v>
      </c>
      <c r="O83" t="str">
        <f t="shared" si="9"/>
        <v>Oct</v>
      </c>
    </row>
    <row r="84" spans="1:15" ht="15" customHeight="1" x14ac:dyDescent="0.25">
      <c r="A84" t="s">
        <v>121</v>
      </c>
      <c r="B84" s="2">
        <v>45913</v>
      </c>
      <c r="C84" t="s">
        <v>31</v>
      </c>
      <c r="D84" t="s">
        <v>17</v>
      </c>
      <c r="E84" t="s">
        <v>52</v>
      </c>
      <c r="F84" t="s">
        <v>27</v>
      </c>
      <c r="G84" t="s">
        <v>28</v>
      </c>
      <c r="H84">
        <v>8</v>
      </c>
      <c r="I84" s="18">
        <v>19002.2</v>
      </c>
      <c r="J84" s="18">
        <f t="shared" si="5"/>
        <v>152017.60000000001</v>
      </c>
      <c r="K84" s="18">
        <v>97062.54</v>
      </c>
      <c r="L84" s="18">
        <f t="shared" si="6"/>
        <v>54955.060000000012</v>
      </c>
      <c r="M84" s="3">
        <f t="shared" si="7"/>
        <v>0.36150458894233306</v>
      </c>
      <c r="N84" s="4">
        <f t="shared" si="8"/>
        <v>45901</v>
      </c>
      <c r="O84" t="str">
        <f t="shared" si="9"/>
        <v>Sep</v>
      </c>
    </row>
    <row r="85" spans="1:15" ht="15" customHeight="1" x14ac:dyDescent="0.25">
      <c r="A85" t="s">
        <v>122</v>
      </c>
      <c r="B85" s="2">
        <v>45964</v>
      </c>
      <c r="C85" t="s">
        <v>22</v>
      </c>
      <c r="D85" t="s">
        <v>17</v>
      </c>
      <c r="E85" t="s">
        <v>33</v>
      </c>
      <c r="F85" t="s">
        <v>50</v>
      </c>
      <c r="G85" t="s">
        <v>28</v>
      </c>
      <c r="H85">
        <v>2</v>
      </c>
      <c r="I85" s="18">
        <v>1083.25</v>
      </c>
      <c r="J85" s="18">
        <f t="shared" si="5"/>
        <v>2166.5</v>
      </c>
      <c r="K85" s="18">
        <v>1667.34</v>
      </c>
      <c r="L85" s="18">
        <f t="shared" si="6"/>
        <v>499.16000000000008</v>
      </c>
      <c r="M85" s="3">
        <f t="shared" si="7"/>
        <v>0.23039926148165246</v>
      </c>
      <c r="N85" s="4">
        <f t="shared" si="8"/>
        <v>45962</v>
      </c>
      <c r="O85" t="str">
        <f t="shared" si="9"/>
        <v>Nov</v>
      </c>
    </row>
    <row r="86" spans="1:15" ht="15" customHeight="1" x14ac:dyDescent="0.25">
      <c r="A86" t="s">
        <v>123</v>
      </c>
      <c r="B86" s="2">
        <v>45794</v>
      </c>
      <c r="C86" t="s">
        <v>22</v>
      </c>
      <c r="D86" t="s">
        <v>17</v>
      </c>
      <c r="E86" t="s">
        <v>39</v>
      </c>
      <c r="F86" t="s">
        <v>37</v>
      </c>
      <c r="G86" t="s">
        <v>20</v>
      </c>
      <c r="H86">
        <v>8</v>
      </c>
      <c r="I86" s="18">
        <v>14629.99</v>
      </c>
      <c r="J86" s="18">
        <f t="shared" si="5"/>
        <v>117039.92</v>
      </c>
      <c r="K86" s="18">
        <v>80426.48</v>
      </c>
      <c r="L86" s="18">
        <f t="shared" si="6"/>
        <v>36613.440000000002</v>
      </c>
      <c r="M86" s="3">
        <f t="shared" si="7"/>
        <v>0.31282864854999903</v>
      </c>
      <c r="N86" s="4">
        <f t="shared" si="8"/>
        <v>45778</v>
      </c>
      <c r="O86" t="str">
        <f t="shared" si="9"/>
        <v>May</v>
      </c>
    </row>
    <row r="87" spans="1:15" ht="15" customHeight="1" x14ac:dyDescent="0.25">
      <c r="A87" t="s">
        <v>124</v>
      </c>
      <c r="B87" s="2">
        <v>45940</v>
      </c>
      <c r="C87" t="s">
        <v>22</v>
      </c>
      <c r="D87" t="s">
        <v>23</v>
      </c>
      <c r="E87" t="s">
        <v>24</v>
      </c>
      <c r="F87" t="s">
        <v>50</v>
      </c>
      <c r="G87" t="s">
        <v>28</v>
      </c>
      <c r="H87">
        <v>4</v>
      </c>
      <c r="I87" s="18">
        <v>634.66999999999996</v>
      </c>
      <c r="J87" s="18">
        <f t="shared" si="5"/>
        <v>2538.6799999999998</v>
      </c>
      <c r="K87" s="18">
        <v>1617.93</v>
      </c>
      <c r="L87" s="18">
        <f t="shared" si="6"/>
        <v>920.74999999999977</v>
      </c>
      <c r="M87" s="3">
        <f t="shared" si="7"/>
        <v>0.36268848377897167</v>
      </c>
      <c r="N87" s="4">
        <f t="shared" si="8"/>
        <v>45931</v>
      </c>
      <c r="O87" t="str">
        <f t="shared" si="9"/>
        <v>Oct</v>
      </c>
    </row>
    <row r="88" spans="1:15" ht="15" customHeight="1" x14ac:dyDescent="0.25">
      <c r="A88" t="s">
        <v>125</v>
      </c>
      <c r="B88" s="2">
        <v>45680</v>
      </c>
      <c r="C88" t="s">
        <v>31</v>
      </c>
      <c r="D88" t="s">
        <v>17</v>
      </c>
      <c r="E88" t="s">
        <v>18</v>
      </c>
      <c r="F88" t="s">
        <v>46</v>
      </c>
      <c r="G88" t="s">
        <v>28</v>
      </c>
      <c r="H88">
        <v>7</v>
      </c>
      <c r="I88" s="18">
        <v>20717.95</v>
      </c>
      <c r="J88" s="18">
        <f t="shared" si="5"/>
        <v>145025.65</v>
      </c>
      <c r="K88" s="18">
        <v>107215.33</v>
      </c>
      <c r="L88" s="18">
        <f t="shared" si="6"/>
        <v>37810.319999999992</v>
      </c>
      <c r="M88" s="3">
        <f t="shared" si="7"/>
        <v>0.26071470805336844</v>
      </c>
      <c r="N88" s="4">
        <f t="shared" si="8"/>
        <v>45658</v>
      </c>
      <c r="O88" t="str">
        <f t="shared" si="9"/>
        <v>Jan</v>
      </c>
    </row>
    <row r="89" spans="1:15" ht="15" customHeight="1" x14ac:dyDescent="0.25">
      <c r="A89" t="s">
        <v>126</v>
      </c>
      <c r="B89" s="2">
        <v>45722</v>
      </c>
      <c r="C89" t="s">
        <v>22</v>
      </c>
      <c r="D89" t="s">
        <v>23</v>
      </c>
      <c r="E89" t="s">
        <v>52</v>
      </c>
      <c r="F89" t="s">
        <v>50</v>
      </c>
      <c r="G89" t="s">
        <v>28</v>
      </c>
      <c r="H89">
        <v>2</v>
      </c>
      <c r="I89" s="18">
        <v>1225.32</v>
      </c>
      <c r="J89" s="18">
        <f t="shared" si="5"/>
        <v>2450.64</v>
      </c>
      <c r="K89" s="18">
        <v>1680.34</v>
      </c>
      <c r="L89" s="18">
        <f t="shared" si="6"/>
        <v>770.3</v>
      </c>
      <c r="M89" s="3">
        <f t="shared" si="7"/>
        <v>0.3143260536023243</v>
      </c>
      <c r="N89" s="4">
        <f t="shared" si="8"/>
        <v>45717</v>
      </c>
      <c r="O89" t="str">
        <f t="shared" si="9"/>
        <v>Mar</v>
      </c>
    </row>
    <row r="90" spans="1:15" ht="15" customHeight="1" x14ac:dyDescent="0.25">
      <c r="A90" t="s">
        <v>127</v>
      </c>
      <c r="B90" s="2">
        <v>45867</v>
      </c>
      <c r="C90" t="s">
        <v>16</v>
      </c>
      <c r="D90" t="s">
        <v>17</v>
      </c>
      <c r="E90" t="s">
        <v>33</v>
      </c>
      <c r="F90" t="s">
        <v>35</v>
      </c>
      <c r="G90" t="s">
        <v>20</v>
      </c>
      <c r="H90">
        <v>5</v>
      </c>
      <c r="I90" s="18">
        <v>4592.76</v>
      </c>
      <c r="J90" s="18">
        <f t="shared" si="5"/>
        <v>22963.800000000003</v>
      </c>
      <c r="K90" s="18">
        <v>17136.72</v>
      </c>
      <c r="L90" s="18">
        <f t="shared" si="6"/>
        <v>5827.0800000000017</v>
      </c>
      <c r="M90" s="3">
        <f t="shared" si="7"/>
        <v>0.25375068586209604</v>
      </c>
      <c r="N90" s="4">
        <f t="shared" si="8"/>
        <v>45839</v>
      </c>
      <c r="O90" t="str">
        <f t="shared" si="9"/>
        <v>Jul</v>
      </c>
    </row>
    <row r="91" spans="1:15" ht="15" customHeight="1" x14ac:dyDescent="0.25">
      <c r="A91" t="s">
        <v>128</v>
      </c>
      <c r="B91" s="2">
        <v>45852</v>
      </c>
      <c r="C91" t="s">
        <v>26</v>
      </c>
      <c r="D91" t="s">
        <v>23</v>
      </c>
      <c r="E91" t="s">
        <v>18</v>
      </c>
      <c r="F91" t="s">
        <v>46</v>
      </c>
      <c r="G91" t="s">
        <v>28</v>
      </c>
      <c r="H91">
        <v>1</v>
      </c>
      <c r="I91" s="18">
        <v>19721.669999999998</v>
      </c>
      <c r="J91" s="18">
        <f t="shared" si="5"/>
        <v>19721.669999999998</v>
      </c>
      <c r="K91" s="18">
        <v>12549.78</v>
      </c>
      <c r="L91" s="18">
        <f t="shared" si="6"/>
        <v>7171.8899999999976</v>
      </c>
      <c r="M91" s="3">
        <f t="shared" si="7"/>
        <v>0.36365530910921834</v>
      </c>
      <c r="N91" s="4">
        <f t="shared" si="8"/>
        <v>45839</v>
      </c>
      <c r="O91" t="str">
        <f t="shared" si="9"/>
        <v>Jul</v>
      </c>
    </row>
    <row r="92" spans="1:15" ht="15" customHeight="1" x14ac:dyDescent="0.25">
      <c r="A92" t="s">
        <v>129</v>
      </c>
      <c r="B92" s="2">
        <v>45880</v>
      </c>
      <c r="C92" t="s">
        <v>16</v>
      </c>
      <c r="D92" t="s">
        <v>17</v>
      </c>
      <c r="E92" t="s">
        <v>18</v>
      </c>
      <c r="F92" t="s">
        <v>19</v>
      </c>
      <c r="G92" t="s">
        <v>20</v>
      </c>
      <c r="H92">
        <v>3</v>
      </c>
      <c r="I92" s="18">
        <v>1789.85</v>
      </c>
      <c r="J92" s="18">
        <f t="shared" si="5"/>
        <v>5369.5499999999993</v>
      </c>
      <c r="K92" s="18">
        <v>4278.57</v>
      </c>
      <c r="L92" s="18">
        <f t="shared" si="6"/>
        <v>1090.9799999999996</v>
      </c>
      <c r="M92" s="3">
        <f t="shared" si="7"/>
        <v>0.20317903734949852</v>
      </c>
      <c r="N92" s="4">
        <f t="shared" si="8"/>
        <v>45870</v>
      </c>
      <c r="O92" t="str">
        <f t="shared" si="9"/>
        <v>Aug</v>
      </c>
    </row>
    <row r="93" spans="1:15" ht="15" customHeight="1" x14ac:dyDescent="0.25">
      <c r="A93" t="s">
        <v>130</v>
      </c>
      <c r="B93" s="2">
        <v>45808</v>
      </c>
      <c r="C93" t="s">
        <v>31</v>
      </c>
      <c r="D93" t="s">
        <v>23</v>
      </c>
      <c r="E93" t="s">
        <v>52</v>
      </c>
      <c r="F93" t="s">
        <v>46</v>
      </c>
      <c r="G93" t="s">
        <v>28</v>
      </c>
      <c r="H93">
        <v>4</v>
      </c>
      <c r="I93" s="18">
        <v>15235.38</v>
      </c>
      <c r="J93" s="18">
        <f t="shared" si="5"/>
        <v>60941.52</v>
      </c>
      <c r="K93" s="18">
        <v>43623.33</v>
      </c>
      <c r="L93" s="18">
        <f t="shared" si="6"/>
        <v>17318.189999999995</v>
      </c>
      <c r="M93" s="3">
        <f t="shared" si="7"/>
        <v>0.28417719151081228</v>
      </c>
      <c r="N93" s="4">
        <f t="shared" si="8"/>
        <v>45778</v>
      </c>
      <c r="O93" t="str">
        <f t="shared" si="9"/>
        <v>May</v>
      </c>
    </row>
    <row r="94" spans="1:15" ht="15" customHeight="1" x14ac:dyDescent="0.25">
      <c r="A94" t="s">
        <v>131</v>
      </c>
      <c r="B94" s="2">
        <v>45698</v>
      </c>
      <c r="C94" t="s">
        <v>22</v>
      </c>
      <c r="D94" t="s">
        <v>17</v>
      </c>
      <c r="E94" t="s">
        <v>18</v>
      </c>
      <c r="F94" t="s">
        <v>62</v>
      </c>
      <c r="G94" t="s">
        <v>20</v>
      </c>
      <c r="H94">
        <v>3</v>
      </c>
      <c r="I94" s="18">
        <v>2718.17</v>
      </c>
      <c r="J94" s="18">
        <f t="shared" si="5"/>
        <v>8154.51</v>
      </c>
      <c r="K94" s="18">
        <v>5978.05</v>
      </c>
      <c r="L94" s="18">
        <f t="shared" si="6"/>
        <v>2176.46</v>
      </c>
      <c r="M94" s="3">
        <f t="shared" si="7"/>
        <v>0.26690260972149155</v>
      </c>
      <c r="N94" s="4">
        <f t="shared" si="8"/>
        <v>45689</v>
      </c>
      <c r="O94" t="str">
        <f t="shared" si="9"/>
        <v>Feb</v>
      </c>
    </row>
    <row r="95" spans="1:15" ht="15" customHeight="1" x14ac:dyDescent="0.25">
      <c r="A95" t="s">
        <v>132</v>
      </c>
      <c r="B95" s="2">
        <v>45896</v>
      </c>
      <c r="C95" t="s">
        <v>26</v>
      </c>
      <c r="D95" t="s">
        <v>17</v>
      </c>
      <c r="E95" t="s">
        <v>39</v>
      </c>
      <c r="F95" t="s">
        <v>27</v>
      </c>
      <c r="G95" t="s">
        <v>28</v>
      </c>
      <c r="H95">
        <v>8</v>
      </c>
      <c r="I95" s="18">
        <v>21890.94</v>
      </c>
      <c r="J95" s="18">
        <f t="shared" si="5"/>
        <v>175127.52</v>
      </c>
      <c r="K95" s="18">
        <v>143085.56</v>
      </c>
      <c r="L95" s="18">
        <f t="shared" si="6"/>
        <v>32041.959999999992</v>
      </c>
      <c r="M95" s="3">
        <f t="shared" si="7"/>
        <v>0.18296359133047732</v>
      </c>
      <c r="N95" s="4">
        <f t="shared" si="8"/>
        <v>45870</v>
      </c>
      <c r="O95" t="str">
        <f t="shared" si="9"/>
        <v>Aug</v>
      </c>
    </row>
    <row r="96" spans="1:15" ht="15" customHeight="1" x14ac:dyDescent="0.25">
      <c r="A96" t="s">
        <v>133</v>
      </c>
      <c r="B96" s="2">
        <v>45891</v>
      </c>
      <c r="C96" t="s">
        <v>26</v>
      </c>
      <c r="D96" t="s">
        <v>17</v>
      </c>
      <c r="E96" t="s">
        <v>39</v>
      </c>
      <c r="F96" t="s">
        <v>27</v>
      </c>
      <c r="G96" t="s">
        <v>28</v>
      </c>
      <c r="H96">
        <v>8</v>
      </c>
      <c r="I96" s="18">
        <v>11298.28</v>
      </c>
      <c r="J96" s="18">
        <f t="shared" si="5"/>
        <v>90386.240000000005</v>
      </c>
      <c r="K96" s="18">
        <v>60696.84</v>
      </c>
      <c r="L96" s="18">
        <f t="shared" si="6"/>
        <v>29689.400000000009</v>
      </c>
      <c r="M96" s="3">
        <f t="shared" si="7"/>
        <v>0.32847256396548863</v>
      </c>
      <c r="N96" s="4">
        <f t="shared" si="8"/>
        <v>45870</v>
      </c>
      <c r="O96" t="str">
        <f t="shared" si="9"/>
        <v>Aug</v>
      </c>
    </row>
    <row r="97" spans="1:15" ht="15" customHeight="1" x14ac:dyDescent="0.25">
      <c r="A97" t="s">
        <v>134</v>
      </c>
      <c r="B97" s="2">
        <v>45669</v>
      </c>
      <c r="C97" t="s">
        <v>26</v>
      </c>
      <c r="D97" t="s">
        <v>23</v>
      </c>
      <c r="E97" t="s">
        <v>33</v>
      </c>
      <c r="F97" t="s">
        <v>43</v>
      </c>
      <c r="G97" t="s">
        <v>44</v>
      </c>
      <c r="H97">
        <v>1</v>
      </c>
      <c r="I97" s="18">
        <v>897.08</v>
      </c>
      <c r="J97" s="18">
        <f t="shared" si="5"/>
        <v>897.08</v>
      </c>
      <c r="K97" s="18">
        <v>680.74</v>
      </c>
      <c r="L97" s="18">
        <f t="shared" si="6"/>
        <v>216.34000000000003</v>
      </c>
      <c r="M97" s="3">
        <f t="shared" si="7"/>
        <v>0.2411602086770411</v>
      </c>
      <c r="N97" s="4">
        <f t="shared" si="8"/>
        <v>45658</v>
      </c>
      <c r="O97" t="str">
        <f t="shared" si="9"/>
        <v>Jan</v>
      </c>
    </row>
    <row r="98" spans="1:15" ht="15" customHeight="1" x14ac:dyDescent="0.25">
      <c r="A98" t="s">
        <v>135</v>
      </c>
      <c r="B98" s="2">
        <v>45838</v>
      </c>
      <c r="C98" t="s">
        <v>31</v>
      </c>
      <c r="D98" t="s">
        <v>23</v>
      </c>
      <c r="E98" t="s">
        <v>18</v>
      </c>
      <c r="F98" t="s">
        <v>53</v>
      </c>
      <c r="G98" t="s">
        <v>44</v>
      </c>
      <c r="H98">
        <v>5</v>
      </c>
      <c r="I98" s="18">
        <v>2544.35</v>
      </c>
      <c r="J98" s="18">
        <f t="shared" si="5"/>
        <v>12721.75</v>
      </c>
      <c r="K98" s="18">
        <v>9579.77</v>
      </c>
      <c r="L98" s="18">
        <f t="shared" si="6"/>
        <v>3141.9799999999996</v>
      </c>
      <c r="M98" s="3">
        <f t="shared" si="7"/>
        <v>0.24697702753158957</v>
      </c>
      <c r="N98" s="4">
        <f t="shared" si="8"/>
        <v>45809</v>
      </c>
      <c r="O98" t="str">
        <f t="shared" si="9"/>
        <v>Jun</v>
      </c>
    </row>
    <row r="99" spans="1:15" ht="15" customHeight="1" x14ac:dyDescent="0.25">
      <c r="A99" t="s">
        <v>136</v>
      </c>
      <c r="B99" s="2">
        <v>45816</v>
      </c>
      <c r="C99" t="s">
        <v>22</v>
      </c>
      <c r="D99" t="s">
        <v>23</v>
      </c>
      <c r="E99" t="s">
        <v>52</v>
      </c>
      <c r="F99" t="s">
        <v>40</v>
      </c>
      <c r="G99" t="s">
        <v>20</v>
      </c>
      <c r="H99">
        <v>3</v>
      </c>
      <c r="I99" s="18">
        <v>917.11</v>
      </c>
      <c r="J99" s="18">
        <f t="shared" si="5"/>
        <v>2751.33</v>
      </c>
      <c r="K99" s="18">
        <v>1790.64</v>
      </c>
      <c r="L99" s="18">
        <f t="shared" si="6"/>
        <v>960.68999999999983</v>
      </c>
      <c r="M99" s="3">
        <f t="shared" si="7"/>
        <v>0.34917294544820138</v>
      </c>
      <c r="N99" s="4">
        <f t="shared" si="8"/>
        <v>45809</v>
      </c>
      <c r="O99" t="str">
        <f t="shared" si="9"/>
        <v>Jun</v>
      </c>
    </row>
    <row r="100" spans="1:15" ht="15" customHeight="1" x14ac:dyDescent="0.25">
      <c r="A100" t="s">
        <v>137</v>
      </c>
      <c r="B100" s="2">
        <v>45725</v>
      </c>
      <c r="C100" t="s">
        <v>22</v>
      </c>
      <c r="D100" t="s">
        <v>17</v>
      </c>
      <c r="E100" t="s">
        <v>39</v>
      </c>
      <c r="F100" t="s">
        <v>50</v>
      </c>
      <c r="G100" t="s">
        <v>28</v>
      </c>
      <c r="H100">
        <v>3</v>
      </c>
      <c r="I100" s="18">
        <v>1046.53</v>
      </c>
      <c r="J100" s="18">
        <f t="shared" si="5"/>
        <v>3139.59</v>
      </c>
      <c r="K100" s="18">
        <v>2442.37</v>
      </c>
      <c r="L100" s="18">
        <f t="shared" si="6"/>
        <v>697.22000000000025</v>
      </c>
      <c r="M100" s="3">
        <f t="shared" si="7"/>
        <v>0.22207358285636031</v>
      </c>
      <c r="N100" s="4">
        <f t="shared" si="8"/>
        <v>45717</v>
      </c>
      <c r="O100" t="str">
        <f t="shared" si="9"/>
        <v>Mar</v>
      </c>
    </row>
    <row r="101" spans="1:15" ht="15" customHeight="1" x14ac:dyDescent="0.25">
      <c r="A101" t="s">
        <v>138</v>
      </c>
      <c r="B101" s="2">
        <v>45716</v>
      </c>
      <c r="C101" t="s">
        <v>22</v>
      </c>
      <c r="D101" t="s">
        <v>17</v>
      </c>
      <c r="E101" t="s">
        <v>18</v>
      </c>
      <c r="F101" t="s">
        <v>40</v>
      </c>
      <c r="G101" t="s">
        <v>20</v>
      </c>
      <c r="H101">
        <v>4</v>
      </c>
      <c r="I101" s="18">
        <v>1095.6099999999999</v>
      </c>
      <c r="J101" s="18">
        <f t="shared" si="5"/>
        <v>4382.4399999999996</v>
      </c>
      <c r="K101" s="18">
        <v>3303.54</v>
      </c>
      <c r="L101" s="18">
        <f t="shared" si="6"/>
        <v>1078.8999999999996</v>
      </c>
      <c r="M101" s="3">
        <f t="shared" si="7"/>
        <v>0.24618705561285487</v>
      </c>
      <c r="N101" s="4">
        <f t="shared" si="8"/>
        <v>45689</v>
      </c>
      <c r="O101" t="str">
        <f t="shared" si="9"/>
        <v>Feb</v>
      </c>
    </row>
    <row r="102" spans="1:15" ht="15" customHeight="1" x14ac:dyDescent="0.25">
      <c r="A102" t="s">
        <v>139</v>
      </c>
      <c r="B102" s="2">
        <v>45860</v>
      </c>
      <c r="C102" t="s">
        <v>22</v>
      </c>
      <c r="D102" t="s">
        <v>17</v>
      </c>
      <c r="E102" t="s">
        <v>18</v>
      </c>
      <c r="F102" t="s">
        <v>37</v>
      </c>
      <c r="G102" t="s">
        <v>20</v>
      </c>
      <c r="H102">
        <v>6</v>
      </c>
      <c r="I102" s="18">
        <v>13792.83</v>
      </c>
      <c r="J102" s="18">
        <f t="shared" si="5"/>
        <v>82756.98</v>
      </c>
      <c r="K102" s="18">
        <v>61352.86</v>
      </c>
      <c r="L102" s="18">
        <f t="shared" si="6"/>
        <v>21404.119999999995</v>
      </c>
      <c r="M102" s="3">
        <f t="shared" si="7"/>
        <v>0.25863824416985731</v>
      </c>
      <c r="N102" s="4">
        <f t="shared" si="8"/>
        <v>45839</v>
      </c>
      <c r="O102" t="str">
        <f t="shared" si="9"/>
        <v>Jul</v>
      </c>
    </row>
    <row r="103" spans="1:15" ht="15" customHeight="1" x14ac:dyDescent="0.25">
      <c r="A103" t="s">
        <v>140</v>
      </c>
      <c r="B103" s="2">
        <v>46003</v>
      </c>
      <c r="C103" t="s">
        <v>16</v>
      </c>
      <c r="D103" t="s">
        <v>17</v>
      </c>
      <c r="E103" t="s">
        <v>39</v>
      </c>
      <c r="F103" t="s">
        <v>53</v>
      </c>
      <c r="G103" t="s">
        <v>44</v>
      </c>
      <c r="H103">
        <v>6</v>
      </c>
      <c r="I103" s="18">
        <v>1196.77</v>
      </c>
      <c r="J103" s="18">
        <f t="shared" si="5"/>
        <v>7180.62</v>
      </c>
      <c r="K103" s="18">
        <v>4546.25</v>
      </c>
      <c r="L103" s="18">
        <f t="shared" si="6"/>
        <v>2634.37</v>
      </c>
      <c r="M103" s="3">
        <f t="shared" si="7"/>
        <v>0.36687221994758112</v>
      </c>
      <c r="N103" s="4">
        <f t="shared" si="8"/>
        <v>45992</v>
      </c>
      <c r="O103" t="str">
        <f t="shared" si="9"/>
        <v>Dec</v>
      </c>
    </row>
    <row r="104" spans="1:15" ht="15" customHeight="1" x14ac:dyDescent="0.25">
      <c r="A104" t="s">
        <v>141</v>
      </c>
      <c r="B104" s="2">
        <v>45990</v>
      </c>
      <c r="C104" t="s">
        <v>16</v>
      </c>
      <c r="D104" t="s">
        <v>23</v>
      </c>
      <c r="E104" t="s">
        <v>33</v>
      </c>
      <c r="F104" t="s">
        <v>43</v>
      </c>
      <c r="G104" t="s">
        <v>44</v>
      </c>
      <c r="H104">
        <v>1</v>
      </c>
      <c r="I104" s="18">
        <v>284.42</v>
      </c>
      <c r="J104" s="18">
        <f t="shared" si="5"/>
        <v>284.42</v>
      </c>
      <c r="K104" s="18">
        <v>198.59</v>
      </c>
      <c r="L104" s="18">
        <f t="shared" si="6"/>
        <v>85.830000000000013</v>
      </c>
      <c r="M104" s="3">
        <f t="shared" si="7"/>
        <v>0.3017720272835947</v>
      </c>
      <c r="N104" s="4">
        <f t="shared" si="8"/>
        <v>45962</v>
      </c>
      <c r="O104" t="str">
        <f t="shared" si="9"/>
        <v>Nov</v>
      </c>
    </row>
    <row r="105" spans="1:15" ht="15" customHeight="1" x14ac:dyDescent="0.25">
      <c r="A105" t="s">
        <v>142</v>
      </c>
      <c r="B105" s="2">
        <v>45727</v>
      </c>
      <c r="C105" t="s">
        <v>22</v>
      </c>
      <c r="D105" t="s">
        <v>23</v>
      </c>
      <c r="E105" t="s">
        <v>24</v>
      </c>
      <c r="F105" t="s">
        <v>43</v>
      </c>
      <c r="G105" t="s">
        <v>44</v>
      </c>
      <c r="H105">
        <v>7</v>
      </c>
      <c r="I105" s="18">
        <v>952.35</v>
      </c>
      <c r="J105" s="18">
        <f t="shared" si="5"/>
        <v>6666.45</v>
      </c>
      <c r="K105" s="18">
        <v>5029.0600000000004</v>
      </c>
      <c r="L105" s="18">
        <f t="shared" si="6"/>
        <v>1637.3899999999994</v>
      </c>
      <c r="M105" s="3">
        <f t="shared" si="7"/>
        <v>0.24561648253568233</v>
      </c>
      <c r="N105" s="4">
        <f t="shared" si="8"/>
        <v>45717</v>
      </c>
      <c r="O105" t="str">
        <f t="shared" si="9"/>
        <v>Mar</v>
      </c>
    </row>
    <row r="106" spans="1:15" ht="15" customHeight="1" x14ac:dyDescent="0.25">
      <c r="A106" t="s">
        <v>143</v>
      </c>
      <c r="B106" s="2">
        <v>45973</v>
      </c>
      <c r="C106" t="s">
        <v>31</v>
      </c>
      <c r="D106" t="s">
        <v>17</v>
      </c>
      <c r="E106" t="s">
        <v>18</v>
      </c>
      <c r="F106" t="s">
        <v>43</v>
      </c>
      <c r="G106" t="s">
        <v>44</v>
      </c>
      <c r="H106">
        <v>6</v>
      </c>
      <c r="I106" s="18">
        <v>901.94</v>
      </c>
      <c r="J106" s="18">
        <f t="shared" si="5"/>
        <v>5411.64</v>
      </c>
      <c r="K106" s="18">
        <v>3716.32</v>
      </c>
      <c r="L106" s="18">
        <f t="shared" si="6"/>
        <v>1695.3200000000002</v>
      </c>
      <c r="M106" s="3">
        <f t="shared" si="7"/>
        <v>0.31327287107050727</v>
      </c>
      <c r="N106" s="4">
        <f t="shared" si="8"/>
        <v>45962</v>
      </c>
      <c r="O106" t="str">
        <f t="shared" si="9"/>
        <v>Nov</v>
      </c>
    </row>
    <row r="107" spans="1:15" ht="15" customHeight="1" x14ac:dyDescent="0.25">
      <c r="A107" t="s">
        <v>144</v>
      </c>
      <c r="B107" s="2">
        <v>46009</v>
      </c>
      <c r="C107" t="s">
        <v>22</v>
      </c>
      <c r="D107" t="s">
        <v>23</v>
      </c>
      <c r="E107" t="s">
        <v>52</v>
      </c>
      <c r="F107" t="s">
        <v>46</v>
      </c>
      <c r="G107" t="s">
        <v>28</v>
      </c>
      <c r="H107">
        <v>7</v>
      </c>
      <c r="I107" s="18">
        <v>17116.759999999998</v>
      </c>
      <c r="J107" s="18">
        <f t="shared" si="5"/>
        <v>119817.31999999999</v>
      </c>
      <c r="K107" s="18">
        <v>97335.95</v>
      </c>
      <c r="L107" s="18">
        <f t="shared" si="6"/>
        <v>22481.369999999995</v>
      </c>
      <c r="M107" s="3">
        <f t="shared" si="7"/>
        <v>0.18763038599094017</v>
      </c>
      <c r="N107" s="4">
        <f t="shared" si="8"/>
        <v>45992</v>
      </c>
      <c r="O107" t="str">
        <f t="shared" si="9"/>
        <v>Dec</v>
      </c>
    </row>
    <row r="108" spans="1:15" ht="15" customHeight="1" x14ac:dyDescent="0.25">
      <c r="A108" t="s">
        <v>145</v>
      </c>
      <c r="B108" s="2">
        <v>45986</v>
      </c>
      <c r="C108" t="s">
        <v>31</v>
      </c>
      <c r="D108" t="s">
        <v>23</v>
      </c>
      <c r="E108" t="s">
        <v>33</v>
      </c>
      <c r="F108" t="s">
        <v>62</v>
      </c>
      <c r="G108" t="s">
        <v>20</v>
      </c>
      <c r="H108">
        <v>6</v>
      </c>
      <c r="I108" s="18">
        <v>1246.6099999999999</v>
      </c>
      <c r="J108" s="18">
        <f t="shared" si="5"/>
        <v>7479.66</v>
      </c>
      <c r="K108" s="18">
        <v>4564.25</v>
      </c>
      <c r="L108" s="18">
        <f t="shared" si="6"/>
        <v>2915.41</v>
      </c>
      <c r="M108" s="3">
        <f t="shared" si="7"/>
        <v>0.38977841238772887</v>
      </c>
      <c r="N108" s="4">
        <f t="shared" si="8"/>
        <v>45962</v>
      </c>
      <c r="O108" t="str">
        <f t="shared" si="9"/>
        <v>Nov</v>
      </c>
    </row>
    <row r="109" spans="1:15" ht="15" customHeight="1" x14ac:dyDescent="0.25">
      <c r="A109" t="s">
        <v>146</v>
      </c>
      <c r="B109" s="2">
        <v>45764</v>
      </c>
      <c r="C109" t="s">
        <v>26</v>
      </c>
      <c r="D109" t="s">
        <v>23</v>
      </c>
      <c r="E109" t="s">
        <v>52</v>
      </c>
      <c r="F109" t="s">
        <v>62</v>
      </c>
      <c r="G109" t="s">
        <v>20</v>
      </c>
      <c r="H109">
        <v>3</v>
      </c>
      <c r="I109" s="18">
        <v>2970.1</v>
      </c>
      <c r="J109" s="18">
        <f t="shared" si="5"/>
        <v>8910.2999999999993</v>
      </c>
      <c r="K109" s="18">
        <v>6442.46</v>
      </c>
      <c r="L109" s="18">
        <f t="shared" si="6"/>
        <v>2467.8399999999992</v>
      </c>
      <c r="M109" s="3">
        <f t="shared" si="7"/>
        <v>0.27696486089132794</v>
      </c>
      <c r="N109" s="4">
        <f t="shared" si="8"/>
        <v>45748</v>
      </c>
      <c r="O109" t="str">
        <f t="shared" si="9"/>
        <v>Apr</v>
      </c>
    </row>
    <row r="110" spans="1:15" ht="15" customHeight="1" x14ac:dyDescent="0.25">
      <c r="A110" t="s">
        <v>147</v>
      </c>
      <c r="B110" s="2">
        <v>45934</v>
      </c>
      <c r="C110" t="s">
        <v>31</v>
      </c>
      <c r="D110" t="s">
        <v>17</v>
      </c>
      <c r="E110" t="s">
        <v>18</v>
      </c>
      <c r="F110" t="s">
        <v>27</v>
      </c>
      <c r="G110" t="s">
        <v>28</v>
      </c>
      <c r="H110">
        <v>1</v>
      </c>
      <c r="I110" s="18">
        <v>10984.78</v>
      </c>
      <c r="J110" s="18">
        <f t="shared" si="5"/>
        <v>10984.78</v>
      </c>
      <c r="K110" s="18">
        <v>7315.62</v>
      </c>
      <c r="L110" s="18">
        <f t="shared" si="6"/>
        <v>3669.1600000000008</v>
      </c>
      <c r="M110" s="3">
        <f t="shared" si="7"/>
        <v>0.33402216521405076</v>
      </c>
      <c r="N110" s="4">
        <f t="shared" si="8"/>
        <v>45931</v>
      </c>
      <c r="O110" t="str">
        <f t="shared" si="9"/>
        <v>Oct</v>
      </c>
    </row>
    <row r="111" spans="1:15" ht="15" customHeight="1" x14ac:dyDescent="0.25">
      <c r="A111" t="s">
        <v>148</v>
      </c>
      <c r="B111" s="2">
        <v>45747</v>
      </c>
      <c r="C111" t="s">
        <v>22</v>
      </c>
      <c r="D111" t="s">
        <v>17</v>
      </c>
      <c r="E111" t="s">
        <v>39</v>
      </c>
      <c r="F111" t="s">
        <v>27</v>
      </c>
      <c r="G111" t="s">
        <v>28</v>
      </c>
      <c r="H111">
        <v>7</v>
      </c>
      <c r="I111" s="18">
        <v>9909.43</v>
      </c>
      <c r="J111" s="18">
        <f t="shared" si="5"/>
        <v>69366.010000000009</v>
      </c>
      <c r="K111" s="18">
        <v>52646</v>
      </c>
      <c r="L111" s="18">
        <f t="shared" si="6"/>
        <v>16720.010000000009</v>
      </c>
      <c r="M111" s="3">
        <f t="shared" si="7"/>
        <v>0.24104038851304849</v>
      </c>
      <c r="N111" s="4">
        <f t="shared" si="8"/>
        <v>45717</v>
      </c>
      <c r="O111" t="str">
        <f t="shared" si="9"/>
        <v>Mar</v>
      </c>
    </row>
    <row r="112" spans="1:15" ht="15" customHeight="1" x14ac:dyDescent="0.25">
      <c r="A112" t="s">
        <v>149</v>
      </c>
      <c r="B112" s="2">
        <v>45920</v>
      </c>
      <c r="C112" t="s">
        <v>26</v>
      </c>
      <c r="D112" t="s">
        <v>17</v>
      </c>
      <c r="E112" t="s">
        <v>18</v>
      </c>
      <c r="F112" t="s">
        <v>62</v>
      </c>
      <c r="G112" t="s">
        <v>20</v>
      </c>
      <c r="H112">
        <v>4</v>
      </c>
      <c r="I112" s="18">
        <v>5011.96</v>
      </c>
      <c r="J112" s="18">
        <f t="shared" si="5"/>
        <v>20047.84</v>
      </c>
      <c r="K112" s="18">
        <v>11836.4</v>
      </c>
      <c r="L112" s="18">
        <f t="shared" si="6"/>
        <v>8211.44</v>
      </c>
      <c r="M112" s="3">
        <f t="shared" si="7"/>
        <v>0.409592255325262</v>
      </c>
      <c r="N112" s="4">
        <f t="shared" si="8"/>
        <v>45901</v>
      </c>
      <c r="O112" t="str">
        <f t="shared" si="9"/>
        <v>Sep</v>
      </c>
    </row>
    <row r="113" spans="1:15" ht="15" customHeight="1" x14ac:dyDescent="0.25">
      <c r="A113" t="s">
        <v>150</v>
      </c>
      <c r="B113" s="2">
        <v>45689</v>
      </c>
      <c r="C113" t="s">
        <v>16</v>
      </c>
      <c r="D113" t="s">
        <v>23</v>
      </c>
      <c r="E113" t="s">
        <v>39</v>
      </c>
      <c r="F113" t="s">
        <v>40</v>
      </c>
      <c r="G113" t="s">
        <v>20</v>
      </c>
      <c r="H113">
        <v>2</v>
      </c>
      <c r="I113" s="18">
        <v>950.15</v>
      </c>
      <c r="J113" s="18">
        <f t="shared" si="5"/>
        <v>1900.3</v>
      </c>
      <c r="K113" s="18">
        <v>1517.06</v>
      </c>
      <c r="L113" s="18">
        <f t="shared" si="6"/>
        <v>383.24</v>
      </c>
      <c r="M113" s="3">
        <f t="shared" si="7"/>
        <v>0.20167341998631796</v>
      </c>
      <c r="N113" s="4">
        <f t="shared" si="8"/>
        <v>45689</v>
      </c>
      <c r="O113" t="str">
        <f t="shared" si="9"/>
        <v>Feb</v>
      </c>
    </row>
    <row r="114" spans="1:15" ht="15" customHeight="1" x14ac:dyDescent="0.25">
      <c r="A114" t="s">
        <v>151</v>
      </c>
      <c r="B114" s="2">
        <v>45969</v>
      </c>
      <c r="C114" t="s">
        <v>26</v>
      </c>
      <c r="D114" t="s">
        <v>17</v>
      </c>
      <c r="E114" t="s">
        <v>33</v>
      </c>
      <c r="F114" t="s">
        <v>35</v>
      </c>
      <c r="G114" t="s">
        <v>20</v>
      </c>
      <c r="H114">
        <v>6</v>
      </c>
      <c r="I114" s="18">
        <v>1886.96</v>
      </c>
      <c r="J114" s="18">
        <f t="shared" si="5"/>
        <v>11321.76</v>
      </c>
      <c r="K114" s="18">
        <v>8189.87</v>
      </c>
      <c r="L114" s="18">
        <f t="shared" si="6"/>
        <v>3131.8900000000003</v>
      </c>
      <c r="M114" s="3">
        <f t="shared" si="7"/>
        <v>0.27662571896948884</v>
      </c>
      <c r="N114" s="4">
        <f t="shared" si="8"/>
        <v>45962</v>
      </c>
      <c r="O114" t="str">
        <f t="shared" si="9"/>
        <v>Nov</v>
      </c>
    </row>
    <row r="115" spans="1:15" ht="15" customHeight="1" x14ac:dyDescent="0.25">
      <c r="A115" t="s">
        <v>152</v>
      </c>
      <c r="B115" s="2">
        <v>45967</v>
      </c>
      <c r="C115" t="s">
        <v>22</v>
      </c>
      <c r="D115" t="s">
        <v>17</v>
      </c>
      <c r="E115" t="s">
        <v>24</v>
      </c>
      <c r="F115" t="s">
        <v>43</v>
      </c>
      <c r="G115" t="s">
        <v>44</v>
      </c>
      <c r="H115">
        <v>4</v>
      </c>
      <c r="I115" s="18">
        <v>1107.29</v>
      </c>
      <c r="J115" s="18">
        <f t="shared" si="5"/>
        <v>4429.16</v>
      </c>
      <c r="K115" s="18">
        <v>3512.95</v>
      </c>
      <c r="L115" s="18">
        <f t="shared" si="6"/>
        <v>916.21</v>
      </c>
      <c r="M115" s="3">
        <f t="shared" si="7"/>
        <v>0.20685863685213451</v>
      </c>
      <c r="N115" s="4">
        <f t="shared" si="8"/>
        <v>45962</v>
      </c>
      <c r="O115" t="str">
        <f t="shared" si="9"/>
        <v>Nov</v>
      </c>
    </row>
    <row r="116" spans="1:15" ht="15" customHeight="1" x14ac:dyDescent="0.25">
      <c r="A116" t="s">
        <v>153</v>
      </c>
      <c r="B116" s="2">
        <v>45862</v>
      </c>
      <c r="C116" t="s">
        <v>31</v>
      </c>
      <c r="D116" t="s">
        <v>17</v>
      </c>
      <c r="E116" t="s">
        <v>18</v>
      </c>
      <c r="F116" t="s">
        <v>43</v>
      </c>
      <c r="G116" t="s">
        <v>44</v>
      </c>
      <c r="H116">
        <v>7</v>
      </c>
      <c r="I116" s="18">
        <v>548.63</v>
      </c>
      <c r="J116" s="18">
        <f t="shared" si="5"/>
        <v>3840.41</v>
      </c>
      <c r="K116" s="18">
        <v>2462.37</v>
      </c>
      <c r="L116" s="18">
        <f t="shared" si="6"/>
        <v>1378.04</v>
      </c>
      <c r="M116" s="3">
        <f t="shared" si="7"/>
        <v>0.35882627115334043</v>
      </c>
      <c r="N116" s="4">
        <f t="shared" si="8"/>
        <v>45839</v>
      </c>
      <c r="O116" t="str">
        <f t="shared" si="9"/>
        <v>Jul</v>
      </c>
    </row>
    <row r="117" spans="1:15" ht="15" customHeight="1" x14ac:dyDescent="0.25">
      <c r="A117" t="s">
        <v>154</v>
      </c>
      <c r="B117" s="2">
        <v>45704</v>
      </c>
      <c r="C117" t="s">
        <v>26</v>
      </c>
      <c r="D117" t="s">
        <v>23</v>
      </c>
      <c r="E117" t="s">
        <v>24</v>
      </c>
      <c r="F117" t="s">
        <v>19</v>
      </c>
      <c r="G117" t="s">
        <v>20</v>
      </c>
      <c r="H117">
        <v>6</v>
      </c>
      <c r="I117" s="18">
        <v>4713.66</v>
      </c>
      <c r="J117" s="18">
        <f t="shared" si="5"/>
        <v>28281.96</v>
      </c>
      <c r="K117" s="18">
        <v>20180</v>
      </c>
      <c r="L117" s="18">
        <f t="shared" si="6"/>
        <v>8101.9599999999991</v>
      </c>
      <c r="M117" s="3">
        <f t="shared" si="7"/>
        <v>0.2864709518010774</v>
      </c>
      <c r="N117" s="4">
        <f t="shared" si="8"/>
        <v>45689</v>
      </c>
      <c r="O117" t="str">
        <f t="shared" si="9"/>
        <v>Feb</v>
      </c>
    </row>
    <row r="118" spans="1:15" ht="15" customHeight="1" x14ac:dyDescent="0.25">
      <c r="A118" t="s">
        <v>155</v>
      </c>
      <c r="B118" s="2">
        <v>45839</v>
      </c>
      <c r="C118" t="s">
        <v>31</v>
      </c>
      <c r="D118" t="s">
        <v>23</v>
      </c>
      <c r="E118" t="s">
        <v>24</v>
      </c>
      <c r="F118" t="s">
        <v>43</v>
      </c>
      <c r="G118" t="s">
        <v>44</v>
      </c>
      <c r="H118">
        <v>5</v>
      </c>
      <c r="I118" s="18">
        <v>527.86</v>
      </c>
      <c r="J118" s="18">
        <f t="shared" si="5"/>
        <v>2639.3</v>
      </c>
      <c r="K118" s="18">
        <v>1896.87</v>
      </c>
      <c r="L118" s="18">
        <f t="shared" si="6"/>
        <v>742.43000000000029</v>
      </c>
      <c r="M118" s="3">
        <f t="shared" si="7"/>
        <v>0.28129807145834129</v>
      </c>
      <c r="N118" s="4">
        <f t="shared" si="8"/>
        <v>45839</v>
      </c>
      <c r="O118" t="str">
        <f t="shared" si="9"/>
        <v>Jul</v>
      </c>
    </row>
    <row r="119" spans="1:15" ht="15" customHeight="1" x14ac:dyDescent="0.25">
      <c r="A119" t="s">
        <v>156</v>
      </c>
      <c r="B119" s="2">
        <v>45772</v>
      </c>
      <c r="C119" t="s">
        <v>16</v>
      </c>
      <c r="D119" t="s">
        <v>17</v>
      </c>
      <c r="E119" t="s">
        <v>18</v>
      </c>
      <c r="F119" t="s">
        <v>19</v>
      </c>
      <c r="G119" t="s">
        <v>20</v>
      </c>
      <c r="H119">
        <v>5</v>
      </c>
      <c r="I119" s="18">
        <v>3968.96</v>
      </c>
      <c r="J119" s="18">
        <f t="shared" si="5"/>
        <v>19844.8</v>
      </c>
      <c r="K119" s="18">
        <v>15354.58</v>
      </c>
      <c r="L119" s="18">
        <f t="shared" si="6"/>
        <v>4490.2199999999993</v>
      </c>
      <c r="M119" s="3">
        <f t="shared" si="7"/>
        <v>0.22626683060549865</v>
      </c>
      <c r="N119" s="4">
        <f t="shared" si="8"/>
        <v>45748</v>
      </c>
      <c r="O119" t="str">
        <f t="shared" si="9"/>
        <v>Apr</v>
      </c>
    </row>
    <row r="120" spans="1:15" ht="15" customHeight="1" x14ac:dyDescent="0.25">
      <c r="A120" t="s">
        <v>157</v>
      </c>
      <c r="B120" s="2">
        <v>45750</v>
      </c>
      <c r="C120" t="s">
        <v>31</v>
      </c>
      <c r="D120" t="s">
        <v>17</v>
      </c>
      <c r="E120" t="s">
        <v>18</v>
      </c>
      <c r="F120" t="s">
        <v>27</v>
      </c>
      <c r="G120" t="s">
        <v>28</v>
      </c>
      <c r="H120">
        <v>6</v>
      </c>
      <c r="I120" s="18">
        <v>19901.810000000001</v>
      </c>
      <c r="J120" s="18">
        <f t="shared" si="5"/>
        <v>119410.86000000002</v>
      </c>
      <c r="K120" s="18">
        <v>74457.13</v>
      </c>
      <c r="L120" s="18">
        <f t="shared" si="6"/>
        <v>44953.73000000001</v>
      </c>
      <c r="M120" s="3">
        <f t="shared" si="7"/>
        <v>0.37646266009641005</v>
      </c>
      <c r="N120" s="4">
        <f t="shared" si="8"/>
        <v>45748</v>
      </c>
      <c r="O120" t="str">
        <f t="shared" si="9"/>
        <v>Apr</v>
      </c>
    </row>
    <row r="121" spans="1:15" ht="15" customHeight="1" x14ac:dyDescent="0.25">
      <c r="A121" t="s">
        <v>158</v>
      </c>
      <c r="B121" s="2">
        <v>45730</v>
      </c>
      <c r="C121" t="s">
        <v>26</v>
      </c>
      <c r="D121" t="s">
        <v>17</v>
      </c>
      <c r="E121" t="s">
        <v>33</v>
      </c>
      <c r="F121" t="s">
        <v>37</v>
      </c>
      <c r="G121" t="s">
        <v>20</v>
      </c>
      <c r="H121">
        <v>7</v>
      </c>
      <c r="I121" s="18">
        <v>10405.629999999999</v>
      </c>
      <c r="J121" s="18">
        <f t="shared" si="5"/>
        <v>72839.409999999989</v>
      </c>
      <c r="K121" s="18">
        <v>44998.6</v>
      </c>
      <c r="L121" s="18">
        <f t="shared" si="6"/>
        <v>27840.80999999999</v>
      </c>
      <c r="M121" s="3">
        <f t="shared" si="7"/>
        <v>0.38222179449284382</v>
      </c>
      <c r="N121" s="4">
        <f t="shared" si="8"/>
        <v>45717</v>
      </c>
      <c r="O121" t="str">
        <f t="shared" si="9"/>
        <v>Mar</v>
      </c>
    </row>
    <row r="122" spans="1:15" ht="15" customHeight="1" x14ac:dyDescent="0.25">
      <c r="A122" t="s">
        <v>159</v>
      </c>
      <c r="B122" s="2">
        <v>45963</v>
      </c>
      <c r="C122" t="s">
        <v>22</v>
      </c>
      <c r="D122" t="s">
        <v>17</v>
      </c>
      <c r="E122" t="s">
        <v>33</v>
      </c>
      <c r="F122" t="s">
        <v>19</v>
      </c>
      <c r="G122" t="s">
        <v>20</v>
      </c>
      <c r="H122">
        <v>1</v>
      </c>
      <c r="I122" s="18">
        <v>2249.64</v>
      </c>
      <c r="J122" s="18">
        <f t="shared" si="5"/>
        <v>2249.64</v>
      </c>
      <c r="K122" s="18">
        <v>1451.7</v>
      </c>
      <c r="L122" s="18">
        <f t="shared" si="6"/>
        <v>797.93999999999983</v>
      </c>
      <c r="M122" s="3">
        <f t="shared" si="7"/>
        <v>0.35469675148023677</v>
      </c>
      <c r="N122" s="4">
        <f t="shared" si="8"/>
        <v>45962</v>
      </c>
      <c r="O122" t="str">
        <f t="shared" si="9"/>
        <v>Nov</v>
      </c>
    </row>
    <row r="123" spans="1:15" ht="15" customHeight="1" x14ac:dyDescent="0.25">
      <c r="A123" t="s">
        <v>160</v>
      </c>
      <c r="B123" s="2">
        <v>45884</v>
      </c>
      <c r="C123" t="s">
        <v>22</v>
      </c>
      <c r="D123" t="s">
        <v>17</v>
      </c>
      <c r="E123" t="s">
        <v>18</v>
      </c>
      <c r="F123" t="s">
        <v>43</v>
      </c>
      <c r="G123" t="s">
        <v>44</v>
      </c>
      <c r="H123">
        <v>2</v>
      </c>
      <c r="I123" s="18">
        <v>991.32</v>
      </c>
      <c r="J123" s="18">
        <f t="shared" si="5"/>
        <v>1982.64</v>
      </c>
      <c r="K123" s="18">
        <v>1202.7</v>
      </c>
      <c r="L123" s="18">
        <f t="shared" si="6"/>
        <v>779.94</v>
      </c>
      <c r="M123" s="3">
        <f t="shared" si="7"/>
        <v>0.3933845781382399</v>
      </c>
      <c r="N123" s="4">
        <f t="shared" si="8"/>
        <v>45870</v>
      </c>
      <c r="O123" t="str">
        <f t="shared" si="9"/>
        <v>Aug</v>
      </c>
    </row>
    <row r="124" spans="1:15" ht="15" customHeight="1" x14ac:dyDescent="0.25">
      <c r="A124" t="s">
        <v>161</v>
      </c>
      <c r="B124" s="2">
        <v>45770</v>
      </c>
      <c r="C124" t="s">
        <v>31</v>
      </c>
      <c r="D124" t="s">
        <v>17</v>
      </c>
      <c r="E124" t="s">
        <v>39</v>
      </c>
      <c r="F124" t="s">
        <v>43</v>
      </c>
      <c r="G124" t="s">
        <v>44</v>
      </c>
      <c r="H124">
        <v>4</v>
      </c>
      <c r="I124" s="18">
        <v>246.79</v>
      </c>
      <c r="J124" s="18">
        <f t="shared" si="5"/>
        <v>987.16</v>
      </c>
      <c r="K124" s="18">
        <v>622.6</v>
      </c>
      <c r="L124" s="18">
        <f t="shared" si="6"/>
        <v>364.55999999999995</v>
      </c>
      <c r="M124" s="3">
        <f t="shared" si="7"/>
        <v>0.36930183556870211</v>
      </c>
      <c r="N124" s="4">
        <f t="shared" si="8"/>
        <v>45748</v>
      </c>
      <c r="O124" t="str">
        <f t="shared" si="9"/>
        <v>Apr</v>
      </c>
    </row>
    <row r="125" spans="1:15" ht="15" customHeight="1" x14ac:dyDescent="0.25">
      <c r="A125" t="s">
        <v>162</v>
      </c>
      <c r="B125" s="2">
        <v>45825</v>
      </c>
      <c r="C125" t="s">
        <v>31</v>
      </c>
      <c r="D125" t="s">
        <v>17</v>
      </c>
      <c r="E125" t="s">
        <v>18</v>
      </c>
      <c r="F125" t="s">
        <v>19</v>
      </c>
      <c r="G125" t="s">
        <v>20</v>
      </c>
      <c r="H125">
        <v>7</v>
      </c>
      <c r="I125" s="18">
        <v>4651.38</v>
      </c>
      <c r="J125" s="18">
        <f t="shared" si="5"/>
        <v>32559.66</v>
      </c>
      <c r="K125" s="18">
        <v>21855.66</v>
      </c>
      <c r="L125" s="18">
        <f t="shared" si="6"/>
        <v>10704</v>
      </c>
      <c r="M125" s="3">
        <f t="shared" si="7"/>
        <v>0.32875036164382554</v>
      </c>
      <c r="N125" s="4">
        <f t="shared" si="8"/>
        <v>45809</v>
      </c>
      <c r="O125" t="str">
        <f t="shared" si="9"/>
        <v>Jun</v>
      </c>
    </row>
    <row r="126" spans="1:15" ht="15" customHeight="1" x14ac:dyDescent="0.25">
      <c r="A126" t="s">
        <v>163</v>
      </c>
      <c r="B126" s="2">
        <v>45861</v>
      </c>
      <c r="C126" t="s">
        <v>22</v>
      </c>
      <c r="D126" t="s">
        <v>17</v>
      </c>
      <c r="E126" t="s">
        <v>39</v>
      </c>
      <c r="F126" t="s">
        <v>37</v>
      </c>
      <c r="G126" t="s">
        <v>20</v>
      </c>
      <c r="H126">
        <v>2</v>
      </c>
      <c r="I126" s="18">
        <v>17316.400000000001</v>
      </c>
      <c r="J126" s="18">
        <f t="shared" si="5"/>
        <v>34632.800000000003</v>
      </c>
      <c r="K126" s="18">
        <v>24872.66</v>
      </c>
      <c r="L126" s="18">
        <f t="shared" si="6"/>
        <v>9760.1400000000031</v>
      </c>
      <c r="M126" s="3">
        <f t="shared" si="7"/>
        <v>0.28181781432630343</v>
      </c>
      <c r="N126" s="4">
        <f t="shared" si="8"/>
        <v>45839</v>
      </c>
      <c r="O126" t="str">
        <f t="shared" si="9"/>
        <v>Jul</v>
      </c>
    </row>
    <row r="127" spans="1:15" ht="15" customHeight="1" x14ac:dyDescent="0.25">
      <c r="A127" t="s">
        <v>164</v>
      </c>
      <c r="B127" s="2">
        <v>45716</v>
      </c>
      <c r="C127" t="s">
        <v>16</v>
      </c>
      <c r="D127" t="s">
        <v>17</v>
      </c>
      <c r="E127" t="s">
        <v>18</v>
      </c>
      <c r="F127" t="s">
        <v>43</v>
      </c>
      <c r="G127" t="s">
        <v>44</v>
      </c>
      <c r="H127">
        <v>8</v>
      </c>
      <c r="I127" s="18">
        <v>453.22</v>
      </c>
      <c r="J127" s="18">
        <f t="shared" si="5"/>
        <v>3625.76</v>
      </c>
      <c r="K127" s="18">
        <v>2903.31</v>
      </c>
      <c r="L127" s="18">
        <f t="shared" si="6"/>
        <v>722.45000000000027</v>
      </c>
      <c r="M127" s="3">
        <f t="shared" si="7"/>
        <v>0.19925477692952656</v>
      </c>
      <c r="N127" s="4">
        <f t="shared" si="8"/>
        <v>45689</v>
      </c>
      <c r="O127" t="str">
        <f t="shared" si="9"/>
        <v>Feb</v>
      </c>
    </row>
    <row r="128" spans="1:15" ht="15" customHeight="1" x14ac:dyDescent="0.25">
      <c r="A128" t="s">
        <v>165</v>
      </c>
      <c r="B128" s="2">
        <v>45782</v>
      </c>
      <c r="C128" t="s">
        <v>26</v>
      </c>
      <c r="D128" t="s">
        <v>23</v>
      </c>
      <c r="E128" t="s">
        <v>39</v>
      </c>
      <c r="F128" t="s">
        <v>43</v>
      </c>
      <c r="G128" t="s">
        <v>44</v>
      </c>
      <c r="H128">
        <v>2</v>
      </c>
      <c r="I128" s="18">
        <v>769.61</v>
      </c>
      <c r="J128" s="18">
        <f t="shared" si="5"/>
        <v>1539.22</v>
      </c>
      <c r="K128" s="18">
        <v>1007.37</v>
      </c>
      <c r="L128" s="18">
        <f t="shared" si="6"/>
        <v>531.85</v>
      </c>
      <c r="M128" s="3">
        <f t="shared" si="7"/>
        <v>0.34553215264874415</v>
      </c>
      <c r="N128" s="4">
        <f t="shared" si="8"/>
        <v>45778</v>
      </c>
      <c r="O128" t="str">
        <f t="shared" si="9"/>
        <v>May</v>
      </c>
    </row>
    <row r="129" spans="1:15" ht="15" customHeight="1" x14ac:dyDescent="0.25">
      <c r="A129" t="s">
        <v>166</v>
      </c>
      <c r="B129" s="2">
        <v>45744</v>
      </c>
      <c r="C129" t="s">
        <v>31</v>
      </c>
      <c r="D129" t="s">
        <v>23</v>
      </c>
      <c r="E129" t="s">
        <v>18</v>
      </c>
      <c r="F129" t="s">
        <v>19</v>
      </c>
      <c r="G129" t="s">
        <v>20</v>
      </c>
      <c r="H129">
        <v>4</v>
      </c>
      <c r="I129" s="18">
        <v>1982.89</v>
      </c>
      <c r="J129" s="18">
        <f t="shared" si="5"/>
        <v>7931.56</v>
      </c>
      <c r="K129" s="18">
        <v>5265.37</v>
      </c>
      <c r="L129" s="18">
        <f t="shared" si="6"/>
        <v>2666.1900000000005</v>
      </c>
      <c r="M129" s="3">
        <f t="shared" si="7"/>
        <v>0.33614950904992213</v>
      </c>
      <c r="N129" s="4">
        <f t="shared" si="8"/>
        <v>45717</v>
      </c>
      <c r="O129" t="str">
        <f t="shared" si="9"/>
        <v>Mar</v>
      </c>
    </row>
    <row r="130" spans="1:15" ht="15" customHeight="1" x14ac:dyDescent="0.25">
      <c r="A130" t="s">
        <v>167</v>
      </c>
      <c r="B130" s="2">
        <v>45732</v>
      </c>
      <c r="C130" t="s">
        <v>31</v>
      </c>
      <c r="D130" t="s">
        <v>17</v>
      </c>
      <c r="E130" t="s">
        <v>24</v>
      </c>
      <c r="F130" t="s">
        <v>27</v>
      </c>
      <c r="G130" t="s">
        <v>28</v>
      </c>
      <c r="H130">
        <v>3</v>
      </c>
      <c r="I130" s="18">
        <v>12868.59</v>
      </c>
      <c r="J130" s="18">
        <f t="shared" ref="J130:J193" si="10">H130*I130</f>
        <v>38605.770000000004</v>
      </c>
      <c r="K130" s="18">
        <v>28464.89</v>
      </c>
      <c r="L130" s="18">
        <f t="shared" ref="L130:L193" si="11">J130-K130</f>
        <v>10140.880000000005</v>
      </c>
      <c r="M130" s="3">
        <f t="shared" ref="M130:M193" si="12">IFERROR(L130/J130,0)</f>
        <v>0.26267783287316904</v>
      </c>
      <c r="N130" s="4">
        <f t="shared" ref="N130:N193" si="13">DATE(YEAR(B130),MONTH(B130),1)</f>
        <v>45717</v>
      </c>
      <c r="O130" t="str">
        <f t="shared" ref="O130:O193" si="14">TEXT(N130,"mmm")</f>
        <v>Mar</v>
      </c>
    </row>
    <row r="131" spans="1:15" ht="15" customHeight="1" x14ac:dyDescent="0.25">
      <c r="A131" t="s">
        <v>168</v>
      </c>
      <c r="B131" s="2">
        <v>45946</v>
      </c>
      <c r="C131" t="s">
        <v>22</v>
      </c>
      <c r="D131" t="s">
        <v>17</v>
      </c>
      <c r="E131" t="s">
        <v>39</v>
      </c>
      <c r="F131" t="s">
        <v>62</v>
      </c>
      <c r="G131" t="s">
        <v>20</v>
      </c>
      <c r="H131">
        <v>6</v>
      </c>
      <c r="I131" s="18">
        <v>3299.39</v>
      </c>
      <c r="J131" s="18">
        <f t="shared" si="10"/>
        <v>19796.34</v>
      </c>
      <c r="K131" s="18">
        <v>11806.31</v>
      </c>
      <c r="L131" s="18">
        <f t="shared" si="11"/>
        <v>7990.0300000000007</v>
      </c>
      <c r="M131" s="3">
        <f t="shared" si="12"/>
        <v>0.40361147565661132</v>
      </c>
      <c r="N131" s="4">
        <f t="shared" si="13"/>
        <v>45931</v>
      </c>
      <c r="O131" t="str">
        <f t="shared" si="14"/>
        <v>Oct</v>
      </c>
    </row>
    <row r="132" spans="1:15" ht="15" customHeight="1" x14ac:dyDescent="0.25">
      <c r="A132" t="s">
        <v>169</v>
      </c>
      <c r="B132" s="2">
        <v>45960</v>
      </c>
      <c r="C132" t="s">
        <v>26</v>
      </c>
      <c r="D132" t="s">
        <v>23</v>
      </c>
      <c r="E132" t="s">
        <v>18</v>
      </c>
      <c r="F132" t="s">
        <v>37</v>
      </c>
      <c r="G132" t="s">
        <v>20</v>
      </c>
      <c r="H132">
        <v>8</v>
      </c>
      <c r="I132" s="18">
        <v>14623.99</v>
      </c>
      <c r="J132" s="18">
        <f t="shared" si="10"/>
        <v>116991.92</v>
      </c>
      <c r="K132" s="18">
        <v>69452.679999999993</v>
      </c>
      <c r="L132" s="18">
        <f t="shared" si="11"/>
        <v>47539.240000000005</v>
      </c>
      <c r="M132" s="3">
        <f t="shared" si="12"/>
        <v>0.40634635280795467</v>
      </c>
      <c r="N132" s="4">
        <f t="shared" si="13"/>
        <v>45931</v>
      </c>
      <c r="O132" t="str">
        <f t="shared" si="14"/>
        <v>Oct</v>
      </c>
    </row>
    <row r="133" spans="1:15" ht="15" customHeight="1" x14ac:dyDescent="0.25">
      <c r="A133" t="s">
        <v>170</v>
      </c>
      <c r="B133" s="2">
        <v>45972</v>
      </c>
      <c r="C133" t="s">
        <v>31</v>
      </c>
      <c r="D133" t="s">
        <v>17</v>
      </c>
      <c r="E133" t="s">
        <v>33</v>
      </c>
      <c r="F133" t="s">
        <v>62</v>
      </c>
      <c r="G133" t="s">
        <v>20</v>
      </c>
      <c r="H133">
        <v>1</v>
      </c>
      <c r="I133" s="18">
        <v>4008.29</v>
      </c>
      <c r="J133" s="18">
        <f t="shared" si="10"/>
        <v>4008.29</v>
      </c>
      <c r="K133" s="18">
        <v>3103.84</v>
      </c>
      <c r="L133" s="18">
        <f t="shared" si="11"/>
        <v>904.44999999999982</v>
      </c>
      <c r="M133" s="3">
        <f t="shared" si="12"/>
        <v>0.22564485104620668</v>
      </c>
      <c r="N133" s="4">
        <f t="shared" si="13"/>
        <v>45962</v>
      </c>
      <c r="O133" t="str">
        <f t="shared" si="14"/>
        <v>Nov</v>
      </c>
    </row>
    <row r="134" spans="1:15" ht="15" customHeight="1" x14ac:dyDescent="0.25">
      <c r="A134" t="s">
        <v>171</v>
      </c>
      <c r="B134" s="2">
        <v>45901</v>
      </c>
      <c r="C134" t="s">
        <v>16</v>
      </c>
      <c r="D134" t="s">
        <v>23</v>
      </c>
      <c r="E134" t="s">
        <v>18</v>
      </c>
      <c r="F134" t="s">
        <v>50</v>
      </c>
      <c r="G134" t="s">
        <v>28</v>
      </c>
      <c r="H134">
        <v>2</v>
      </c>
      <c r="I134" s="18">
        <v>755.22</v>
      </c>
      <c r="J134" s="18">
        <f t="shared" si="10"/>
        <v>1510.44</v>
      </c>
      <c r="K134" s="18">
        <v>1179.6099999999999</v>
      </c>
      <c r="L134" s="18">
        <f t="shared" si="11"/>
        <v>330.83000000000015</v>
      </c>
      <c r="M134" s="3">
        <f t="shared" si="12"/>
        <v>0.21902889224331992</v>
      </c>
      <c r="N134" s="4">
        <f t="shared" si="13"/>
        <v>45901</v>
      </c>
      <c r="O134" t="str">
        <f t="shared" si="14"/>
        <v>Sep</v>
      </c>
    </row>
    <row r="135" spans="1:15" ht="15" customHeight="1" x14ac:dyDescent="0.25">
      <c r="A135" t="s">
        <v>172</v>
      </c>
      <c r="B135" s="2">
        <v>45784</v>
      </c>
      <c r="C135" t="s">
        <v>26</v>
      </c>
      <c r="D135" t="s">
        <v>23</v>
      </c>
      <c r="E135" t="s">
        <v>39</v>
      </c>
      <c r="F135" t="s">
        <v>40</v>
      </c>
      <c r="G135" t="s">
        <v>20</v>
      </c>
      <c r="H135">
        <v>6</v>
      </c>
      <c r="I135" s="18">
        <v>673.99</v>
      </c>
      <c r="J135" s="18">
        <f t="shared" si="10"/>
        <v>4043.94</v>
      </c>
      <c r="K135" s="18">
        <v>2721.49</v>
      </c>
      <c r="L135" s="18">
        <f t="shared" si="11"/>
        <v>1322.4500000000003</v>
      </c>
      <c r="M135" s="3">
        <f t="shared" si="12"/>
        <v>0.32702018328659682</v>
      </c>
      <c r="N135" s="4">
        <f t="shared" si="13"/>
        <v>45778</v>
      </c>
      <c r="O135" t="str">
        <f t="shared" si="14"/>
        <v>May</v>
      </c>
    </row>
    <row r="136" spans="1:15" ht="15" customHeight="1" x14ac:dyDescent="0.25">
      <c r="A136" t="s">
        <v>173</v>
      </c>
      <c r="B136" s="2">
        <v>45691</v>
      </c>
      <c r="C136" t="s">
        <v>31</v>
      </c>
      <c r="D136" t="s">
        <v>17</v>
      </c>
      <c r="E136" t="s">
        <v>18</v>
      </c>
      <c r="F136" t="s">
        <v>46</v>
      </c>
      <c r="G136" t="s">
        <v>28</v>
      </c>
      <c r="H136">
        <v>5</v>
      </c>
      <c r="I136" s="18">
        <v>11019.99</v>
      </c>
      <c r="J136" s="18">
        <f t="shared" si="10"/>
        <v>55099.95</v>
      </c>
      <c r="K136" s="18">
        <v>40640.370000000003</v>
      </c>
      <c r="L136" s="18">
        <f t="shared" si="11"/>
        <v>14459.579999999994</v>
      </c>
      <c r="M136" s="3">
        <f t="shared" si="12"/>
        <v>0.26242455755404487</v>
      </c>
      <c r="N136" s="4">
        <f t="shared" si="13"/>
        <v>45689</v>
      </c>
      <c r="O136" t="str">
        <f t="shared" si="14"/>
        <v>Feb</v>
      </c>
    </row>
    <row r="137" spans="1:15" ht="15" customHeight="1" x14ac:dyDescent="0.25">
      <c r="A137" t="s">
        <v>174</v>
      </c>
      <c r="B137" s="2">
        <v>45956</v>
      </c>
      <c r="C137" t="s">
        <v>16</v>
      </c>
      <c r="D137" t="s">
        <v>17</v>
      </c>
      <c r="E137" t="s">
        <v>33</v>
      </c>
      <c r="F137" t="s">
        <v>35</v>
      </c>
      <c r="G137" t="s">
        <v>20</v>
      </c>
      <c r="H137">
        <v>7</v>
      </c>
      <c r="I137" s="18">
        <v>3185.64</v>
      </c>
      <c r="J137" s="18">
        <f t="shared" si="10"/>
        <v>22299.48</v>
      </c>
      <c r="K137" s="18">
        <v>16727.29</v>
      </c>
      <c r="L137" s="18">
        <f t="shared" si="11"/>
        <v>5572.1899999999987</v>
      </c>
      <c r="M137" s="3">
        <f t="shared" si="12"/>
        <v>0.24987981782534835</v>
      </c>
      <c r="N137" s="4">
        <f t="shared" si="13"/>
        <v>45931</v>
      </c>
      <c r="O137" t="str">
        <f t="shared" si="14"/>
        <v>Oct</v>
      </c>
    </row>
    <row r="138" spans="1:15" ht="15" customHeight="1" x14ac:dyDescent="0.25">
      <c r="A138" t="s">
        <v>175</v>
      </c>
      <c r="B138" s="2">
        <v>45850</v>
      </c>
      <c r="C138" t="s">
        <v>26</v>
      </c>
      <c r="D138" t="s">
        <v>23</v>
      </c>
      <c r="E138" t="s">
        <v>52</v>
      </c>
      <c r="F138" t="s">
        <v>46</v>
      </c>
      <c r="G138" t="s">
        <v>28</v>
      </c>
      <c r="H138">
        <v>7</v>
      </c>
      <c r="I138" s="18">
        <v>11111.83</v>
      </c>
      <c r="J138" s="18">
        <f t="shared" si="10"/>
        <v>77782.81</v>
      </c>
      <c r="K138" s="18">
        <v>45454.36</v>
      </c>
      <c r="L138" s="18">
        <f t="shared" si="11"/>
        <v>32328.449999999997</v>
      </c>
      <c r="M138" s="3">
        <f t="shared" si="12"/>
        <v>0.41562460908779197</v>
      </c>
      <c r="N138" s="4">
        <f t="shared" si="13"/>
        <v>45839</v>
      </c>
      <c r="O138" t="str">
        <f t="shared" si="14"/>
        <v>Jul</v>
      </c>
    </row>
    <row r="139" spans="1:15" ht="15" customHeight="1" x14ac:dyDescent="0.25">
      <c r="A139" t="s">
        <v>176</v>
      </c>
      <c r="B139" s="2">
        <v>45832</v>
      </c>
      <c r="C139" t="s">
        <v>16</v>
      </c>
      <c r="D139" t="s">
        <v>23</v>
      </c>
      <c r="E139" t="s">
        <v>39</v>
      </c>
      <c r="F139" t="s">
        <v>40</v>
      </c>
      <c r="G139" t="s">
        <v>20</v>
      </c>
      <c r="H139">
        <v>3</v>
      </c>
      <c r="I139" s="18">
        <v>357.02</v>
      </c>
      <c r="J139" s="18">
        <f t="shared" si="10"/>
        <v>1071.06</v>
      </c>
      <c r="K139" s="18">
        <v>838.28</v>
      </c>
      <c r="L139" s="18">
        <f t="shared" si="11"/>
        <v>232.77999999999997</v>
      </c>
      <c r="M139" s="3">
        <f t="shared" si="12"/>
        <v>0.21733609695068434</v>
      </c>
      <c r="N139" s="4">
        <f t="shared" si="13"/>
        <v>45809</v>
      </c>
      <c r="O139" t="str">
        <f t="shared" si="14"/>
        <v>Jun</v>
      </c>
    </row>
    <row r="140" spans="1:15" ht="15" customHeight="1" x14ac:dyDescent="0.25">
      <c r="A140" t="s">
        <v>177</v>
      </c>
      <c r="B140" s="2">
        <v>45974</v>
      </c>
      <c r="C140" t="s">
        <v>31</v>
      </c>
      <c r="D140" t="s">
        <v>17</v>
      </c>
      <c r="E140" t="s">
        <v>18</v>
      </c>
      <c r="F140" t="s">
        <v>35</v>
      </c>
      <c r="G140" t="s">
        <v>20</v>
      </c>
      <c r="H140">
        <v>3</v>
      </c>
      <c r="I140" s="18">
        <v>3731.57</v>
      </c>
      <c r="J140" s="18">
        <f t="shared" si="10"/>
        <v>11194.710000000001</v>
      </c>
      <c r="K140" s="18">
        <v>8354.42</v>
      </c>
      <c r="L140" s="18">
        <f t="shared" si="11"/>
        <v>2840.2900000000009</v>
      </c>
      <c r="M140" s="3">
        <f t="shared" si="12"/>
        <v>0.25371715747884499</v>
      </c>
      <c r="N140" s="4">
        <f t="shared" si="13"/>
        <v>45962</v>
      </c>
      <c r="O140" t="str">
        <f t="shared" si="14"/>
        <v>Nov</v>
      </c>
    </row>
    <row r="141" spans="1:15" ht="15" customHeight="1" x14ac:dyDescent="0.25">
      <c r="A141" t="s">
        <v>178</v>
      </c>
      <c r="B141" s="2">
        <v>45868</v>
      </c>
      <c r="C141" t="s">
        <v>31</v>
      </c>
      <c r="D141" t="s">
        <v>23</v>
      </c>
      <c r="E141" t="s">
        <v>39</v>
      </c>
      <c r="F141" t="s">
        <v>46</v>
      </c>
      <c r="G141" t="s">
        <v>28</v>
      </c>
      <c r="H141">
        <v>5</v>
      </c>
      <c r="I141" s="18">
        <v>21094.65</v>
      </c>
      <c r="J141" s="18">
        <f t="shared" si="10"/>
        <v>105473.25</v>
      </c>
      <c r="K141" s="18">
        <v>81015.28</v>
      </c>
      <c r="L141" s="18">
        <f t="shared" si="11"/>
        <v>24457.97</v>
      </c>
      <c r="M141" s="3">
        <f t="shared" si="12"/>
        <v>0.23188789574607782</v>
      </c>
      <c r="N141" s="4">
        <f t="shared" si="13"/>
        <v>45839</v>
      </c>
      <c r="O141" t="str">
        <f t="shared" si="14"/>
        <v>Jul</v>
      </c>
    </row>
    <row r="142" spans="1:15" ht="15" customHeight="1" x14ac:dyDescent="0.25">
      <c r="A142" t="s">
        <v>179</v>
      </c>
      <c r="B142" s="2">
        <v>45898</v>
      </c>
      <c r="C142" t="s">
        <v>22</v>
      </c>
      <c r="D142" t="s">
        <v>23</v>
      </c>
      <c r="E142" t="s">
        <v>52</v>
      </c>
      <c r="F142" t="s">
        <v>53</v>
      </c>
      <c r="G142" t="s">
        <v>44</v>
      </c>
      <c r="H142">
        <v>5</v>
      </c>
      <c r="I142" s="18">
        <v>4759.8100000000004</v>
      </c>
      <c r="J142" s="18">
        <f t="shared" si="10"/>
        <v>23799.050000000003</v>
      </c>
      <c r="K142" s="18">
        <v>16675.939999999999</v>
      </c>
      <c r="L142" s="18">
        <f t="shared" si="11"/>
        <v>7123.1100000000042</v>
      </c>
      <c r="M142" s="3">
        <f t="shared" si="12"/>
        <v>0.29930228307432455</v>
      </c>
      <c r="N142" s="4">
        <f t="shared" si="13"/>
        <v>45870</v>
      </c>
      <c r="O142" t="str">
        <f t="shared" si="14"/>
        <v>Aug</v>
      </c>
    </row>
    <row r="143" spans="1:15" ht="15" customHeight="1" x14ac:dyDescent="0.25">
      <c r="A143" t="s">
        <v>180</v>
      </c>
      <c r="B143" s="2">
        <v>45967</v>
      </c>
      <c r="C143" t="s">
        <v>16</v>
      </c>
      <c r="D143" t="s">
        <v>23</v>
      </c>
      <c r="E143" t="s">
        <v>39</v>
      </c>
      <c r="F143" t="s">
        <v>35</v>
      </c>
      <c r="G143" t="s">
        <v>20</v>
      </c>
      <c r="H143">
        <v>8</v>
      </c>
      <c r="I143" s="18">
        <v>1426.29</v>
      </c>
      <c r="J143" s="18">
        <f t="shared" si="10"/>
        <v>11410.32</v>
      </c>
      <c r="K143" s="18">
        <v>8136.58</v>
      </c>
      <c r="L143" s="18">
        <f t="shared" si="11"/>
        <v>3273.74</v>
      </c>
      <c r="M143" s="3">
        <f t="shared" si="12"/>
        <v>0.28691044598223364</v>
      </c>
      <c r="N143" s="4">
        <f t="shared" si="13"/>
        <v>45962</v>
      </c>
      <c r="O143" t="str">
        <f t="shared" si="14"/>
        <v>Nov</v>
      </c>
    </row>
    <row r="144" spans="1:15" ht="15" customHeight="1" x14ac:dyDescent="0.25">
      <c r="A144" t="s">
        <v>181</v>
      </c>
      <c r="B144" s="2">
        <v>45700</v>
      </c>
      <c r="C144" t="s">
        <v>31</v>
      </c>
      <c r="D144" t="s">
        <v>17</v>
      </c>
      <c r="E144" t="s">
        <v>39</v>
      </c>
      <c r="F144" t="s">
        <v>35</v>
      </c>
      <c r="G144" t="s">
        <v>20</v>
      </c>
      <c r="H144">
        <v>3</v>
      </c>
      <c r="I144" s="18">
        <v>4883.24</v>
      </c>
      <c r="J144" s="18">
        <f t="shared" si="10"/>
        <v>14649.72</v>
      </c>
      <c r="K144" s="18">
        <v>8819.2999999999993</v>
      </c>
      <c r="L144" s="18">
        <f t="shared" si="11"/>
        <v>5830.42</v>
      </c>
      <c r="M144" s="3">
        <f t="shared" si="12"/>
        <v>0.39798849397804192</v>
      </c>
      <c r="N144" s="4">
        <f t="shared" si="13"/>
        <v>45689</v>
      </c>
      <c r="O144" t="str">
        <f t="shared" si="14"/>
        <v>Feb</v>
      </c>
    </row>
    <row r="145" spans="1:15" ht="15" customHeight="1" x14ac:dyDescent="0.25">
      <c r="A145" t="s">
        <v>182</v>
      </c>
      <c r="B145" s="2">
        <v>45671</v>
      </c>
      <c r="C145" t="s">
        <v>26</v>
      </c>
      <c r="D145" t="s">
        <v>23</v>
      </c>
      <c r="E145" t="s">
        <v>18</v>
      </c>
      <c r="F145" t="s">
        <v>43</v>
      </c>
      <c r="G145" t="s">
        <v>44</v>
      </c>
      <c r="H145">
        <v>6</v>
      </c>
      <c r="I145" s="18">
        <v>723.63</v>
      </c>
      <c r="J145" s="18">
        <f t="shared" si="10"/>
        <v>4341.78</v>
      </c>
      <c r="K145" s="18">
        <v>3554.55</v>
      </c>
      <c r="L145" s="18">
        <f t="shared" si="11"/>
        <v>787.22999999999956</v>
      </c>
      <c r="M145" s="3">
        <f t="shared" si="12"/>
        <v>0.18131503669002105</v>
      </c>
      <c r="N145" s="4">
        <f t="shared" si="13"/>
        <v>45658</v>
      </c>
      <c r="O145" t="str">
        <f t="shared" si="14"/>
        <v>Jan</v>
      </c>
    </row>
    <row r="146" spans="1:15" ht="15" customHeight="1" x14ac:dyDescent="0.25">
      <c r="A146" t="s">
        <v>183</v>
      </c>
      <c r="B146" s="2">
        <v>45821</v>
      </c>
      <c r="C146" t="s">
        <v>22</v>
      </c>
      <c r="D146" t="s">
        <v>23</v>
      </c>
      <c r="E146" t="s">
        <v>24</v>
      </c>
      <c r="F146" t="s">
        <v>19</v>
      </c>
      <c r="G146" t="s">
        <v>20</v>
      </c>
      <c r="H146">
        <v>3</v>
      </c>
      <c r="I146" s="18">
        <v>3381.74</v>
      </c>
      <c r="J146" s="18">
        <f t="shared" si="10"/>
        <v>10145.219999999999</v>
      </c>
      <c r="K146" s="18">
        <v>6582.74</v>
      </c>
      <c r="L146" s="18">
        <f t="shared" si="11"/>
        <v>3562.4799999999996</v>
      </c>
      <c r="M146" s="3">
        <f t="shared" si="12"/>
        <v>0.35114861974407652</v>
      </c>
      <c r="N146" s="4">
        <f t="shared" si="13"/>
        <v>45809</v>
      </c>
      <c r="O146" t="str">
        <f t="shared" si="14"/>
        <v>Jun</v>
      </c>
    </row>
    <row r="147" spans="1:15" ht="15" customHeight="1" x14ac:dyDescent="0.25">
      <c r="A147" t="s">
        <v>184</v>
      </c>
      <c r="B147" s="2">
        <v>45887</v>
      </c>
      <c r="C147" t="s">
        <v>22</v>
      </c>
      <c r="D147" t="s">
        <v>23</v>
      </c>
      <c r="E147" t="s">
        <v>39</v>
      </c>
      <c r="F147" t="s">
        <v>62</v>
      </c>
      <c r="G147" t="s">
        <v>20</v>
      </c>
      <c r="H147">
        <v>5</v>
      </c>
      <c r="I147" s="18">
        <v>1460.91</v>
      </c>
      <c r="J147" s="18">
        <f t="shared" si="10"/>
        <v>7304.55</v>
      </c>
      <c r="K147" s="18">
        <v>4498.76</v>
      </c>
      <c r="L147" s="18">
        <f t="shared" si="11"/>
        <v>2805.79</v>
      </c>
      <c r="M147" s="3">
        <f t="shared" si="12"/>
        <v>0.38411538013977586</v>
      </c>
      <c r="N147" s="4">
        <f t="shared" si="13"/>
        <v>45870</v>
      </c>
      <c r="O147" t="str">
        <f t="shared" si="14"/>
        <v>Aug</v>
      </c>
    </row>
    <row r="148" spans="1:15" ht="15" customHeight="1" x14ac:dyDescent="0.25">
      <c r="A148" t="s">
        <v>185</v>
      </c>
      <c r="B148" s="2">
        <v>45779</v>
      </c>
      <c r="C148" t="s">
        <v>16</v>
      </c>
      <c r="D148" t="s">
        <v>23</v>
      </c>
      <c r="E148" t="s">
        <v>24</v>
      </c>
      <c r="F148" t="s">
        <v>27</v>
      </c>
      <c r="G148" t="s">
        <v>28</v>
      </c>
      <c r="H148">
        <v>7</v>
      </c>
      <c r="I148" s="18">
        <v>11301.58</v>
      </c>
      <c r="J148" s="18">
        <f t="shared" si="10"/>
        <v>79111.06</v>
      </c>
      <c r="K148" s="18">
        <v>57709.5</v>
      </c>
      <c r="L148" s="18">
        <f t="shared" si="11"/>
        <v>21401.559999999998</v>
      </c>
      <c r="M148" s="3">
        <f t="shared" si="12"/>
        <v>0.27052551185636997</v>
      </c>
      <c r="N148" s="4">
        <f t="shared" si="13"/>
        <v>45778</v>
      </c>
      <c r="O148" t="str">
        <f t="shared" si="14"/>
        <v>May</v>
      </c>
    </row>
    <row r="149" spans="1:15" ht="15" customHeight="1" x14ac:dyDescent="0.25">
      <c r="A149" t="s">
        <v>186</v>
      </c>
      <c r="B149" s="2">
        <v>45963</v>
      </c>
      <c r="C149" t="s">
        <v>26</v>
      </c>
      <c r="D149" t="s">
        <v>23</v>
      </c>
      <c r="E149" t="s">
        <v>33</v>
      </c>
      <c r="F149" t="s">
        <v>50</v>
      </c>
      <c r="G149" t="s">
        <v>28</v>
      </c>
      <c r="H149">
        <v>3</v>
      </c>
      <c r="I149" s="18">
        <v>943.88</v>
      </c>
      <c r="J149" s="18">
        <f t="shared" si="10"/>
        <v>2831.64</v>
      </c>
      <c r="K149" s="18">
        <v>1643.41</v>
      </c>
      <c r="L149" s="18">
        <f t="shared" si="11"/>
        <v>1188.2299999999998</v>
      </c>
      <c r="M149" s="3">
        <f t="shared" si="12"/>
        <v>0.41962608241160593</v>
      </c>
      <c r="N149" s="4">
        <f t="shared" si="13"/>
        <v>45962</v>
      </c>
      <c r="O149" t="str">
        <f t="shared" si="14"/>
        <v>Nov</v>
      </c>
    </row>
    <row r="150" spans="1:15" ht="15" customHeight="1" x14ac:dyDescent="0.25">
      <c r="A150" t="s">
        <v>187</v>
      </c>
      <c r="B150" s="2">
        <v>45871</v>
      </c>
      <c r="C150" t="s">
        <v>16</v>
      </c>
      <c r="D150" t="s">
        <v>17</v>
      </c>
      <c r="E150" t="s">
        <v>24</v>
      </c>
      <c r="F150" t="s">
        <v>35</v>
      </c>
      <c r="G150" t="s">
        <v>20</v>
      </c>
      <c r="H150">
        <v>6</v>
      </c>
      <c r="I150" s="18">
        <v>1462.57</v>
      </c>
      <c r="J150" s="18">
        <f t="shared" si="10"/>
        <v>8775.42</v>
      </c>
      <c r="K150" s="18">
        <v>6197.68</v>
      </c>
      <c r="L150" s="18">
        <f t="shared" si="11"/>
        <v>2577.7399999999998</v>
      </c>
      <c r="M150" s="3">
        <f t="shared" si="12"/>
        <v>0.29374548454660859</v>
      </c>
      <c r="N150" s="4">
        <f t="shared" si="13"/>
        <v>45870</v>
      </c>
      <c r="O150" t="str">
        <f t="shared" si="14"/>
        <v>Aug</v>
      </c>
    </row>
    <row r="151" spans="1:15" ht="15" customHeight="1" x14ac:dyDescent="0.25">
      <c r="A151" t="s">
        <v>188</v>
      </c>
      <c r="B151" s="2">
        <v>45680</v>
      </c>
      <c r="C151" t="s">
        <v>31</v>
      </c>
      <c r="D151" t="s">
        <v>23</v>
      </c>
      <c r="E151" t="s">
        <v>33</v>
      </c>
      <c r="F151" t="s">
        <v>43</v>
      </c>
      <c r="G151" t="s">
        <v>44</v>
      </c>
      <c r="H151">
        <v>1</v>
      </c>
      <c r="I151" s="18">
        <v>985.99</v>
      </c>
      <c r="J151" s="18">
        <f t="shared" si="10"/>
        <v>985.99</v>
      </c>
      <c r="K151" s="18">
        <v>587.86</v>
      </c>
      <c r="L151" s="18">
        <f t="shared" si="11"/>
        <v>398.13</v>
      </c>
      <c r="M151" s="3">
        <f t="shared" si="12"/>
        <v>0.40378705666386067</v>
      </c>
      <c r="N151" s="4">
        <f t="shared" si="13"/>
        <v>45658</v>
      </c>
      <c r="O151" t="str">
        <f t="shared" si="14"/>
        <v>Jan</v>
      </c>
    </row>
    <row r="152" spans="1:15" ht="15" customHeight="1" x14ac:dyDescent="0.25">
      <c r="A152" t="s">
        <v>189</v>
      </c>
      <c r="B152" s="2">
        <v>45828</v>
      </c>
      <c r="C152" t="s">
        <v>22</v>
      </c>
      <c r="D152" t="s">
        <v>17</v>
      </c>
      <c r="E152" t="s">
        <v>52</v>
      </c>
      <c r="F152" t="s">
        <v>35</v>
      </c>
      <c r="G152" t="s">
        <v>20</v>
      </c>
      <c r="H152">
        <v>6</v>
      </c>
      <c r="I152" s="18">
        <v>4023.39</v>
      </c>
      <c r="J152" s="18">
        <f t="shared" si="10"/>
        <v>24140.34</v>
      </c>
      <c r="K152" s="18">
        <v>15015.81</v>
      </c>
      <c r="L152" s="18">
        <f t="shared" si="11"/>
        <v>9124.5300000000007</v>
      </c>
      <c r="M152" s="3">
        <f t="shared" si="12"/>
        <v>0.3779785206007869</v>
      </c>
      <c r="N152" s="4">
        <f t="shared" si="13"/>
        <v>45809</v>
      </c>
      <c r="O152" t="str">
        <f t="shared" si="14"/>
        <v>Jun</v>
      </c>
    </row>
    <row r="153" spans="1:15" ht="15" customHeight="1" x14ac:dyDescent="0.25">
      <c r="A153" t="s">
        <v>190</v>
      </c>
      <c r="B153" s="2">
        <v>45727</v>
      </c>
      <c r="C153" t="s">
        <v>16</v>
      </c>
      <c r="D153" t="s">
        <v>17</v>
      </c>
      <c r="E153" t="s">
        <v>39</v>
      </c>
      <c r="F153" t="s">
        <v>19</v>
      </c>
      <c r="G153" t="s">
        <v>20</v>
      </c>
      <c r="H153">
        <v>5</v>
      </c>
      <c r="I153" s="18">
        <v>4371.54</v>
      </c>
      <c r="J153" s="18">
        <f t="shared" si="10"/>
        <v>21857.7</v>
      </c>
      <c r="K153" s="18">
        <v>16827.5</v>
      </c>
      <c r="L153" s="18">
        <f t="shared" si="11"/>
        <v>5030.2000000000007</v>
      </c>
      <c r="M153" s="3">
        <f t="shared" si="12"/>
        <v>0.23013400312018192</v>
      </c>
      <c r="N153" s="4">
        <f t="shared" si="13"/>
        <v>45717</v>
      </c>
      <c r="O153" t="str">
        <f t="shared" si="14"/>
        <v>Mar</v>
      </c>
    </row>
    <row r="154" spans="1:15" ht="15" customHeight="1" x14ac:dyDescent="0.25">
      <c r="A154" t="s">
        <v>191</v>
      </c>
      <c r="B154" s="2">
        <v>45921</v>
      </c>
      <c r="C154" t="s">
        <v>26</v>
      </c>
      <c r="D154" t="s">
        <v>23</v>
      </c>
      <c r="E154" t="s">
        <v>39</v>
      </c>
      <c r="F154" t="s">
        <v>43</v>
      </c>
      <c r="G154" t="s">
        <v>44</v>
      </c>
      <c r="H154">
        <v>1</v>
      </c>
      <c r="I154" s="18">
        <v>534.79</v>
      </c>
      <c r="J154" s="18">
        <f t="shared" si="10"/>
        <v>534.79</v>
      </c>
      <c r="K154" s="18">
        <v>334.71</v>
      </c>
      <c r="L154" s="18">
        <f t="shared" si="11"/>
        <v>200.07999999999998</v>
      </c>
      <c r="M154" s="3">
        <f t="shared" si="12"/>
        <v>0.37412816245629127</v>
      </c>
      <c r="N154" s="4">
        <f t="shared" si="13"/>
        <v>45901</v>
      </c>
      <c r="O154" t="str">
        <f t="shared" si="14"/>
        <v>Sep</v>
      </c>
    </row>
    <row r="155" spans="1:15" ht="15" customHeight="1" x14ac:dyDescent="0.25">
      <c r="A155" t="s">
        <v>192</v>
      </c>
      <c r="B155" s="2">
        <v>45797</v>
      </c>
      <c r="C155" t="s">
        <v>22</v>
      </c>
      <c r="D155" t="s">
        <v>17</v>
      </c>
      <c r="E155" t="s">
        <v>52</v>
      </c>
      <c r="F155" t="s">
        <v>19</v>
      </c>
      <c r="G155" t="s">
        <v>20</v>
      </c>
      <c r="H155">
        <v>7</v>
      </c>
      <c r="I155" s="18">
        <v>4696.96</v>
      </c>
      <c r="J155" s="18">
        <f t="shared" si="10"/>
        <v>32878.720000000001</v>
      </c>
      <c r="K155" s="18">
        <v>26129.15</v>
      </c>
      <c r="L155" s="18">
        <f t="shared" si="11"/>
        <v>6749.57</v>
      </c>
      <c r="M155" s="3">
        <f t="shared" si="12"/>
        <v>0.20528688464757749</v>
      </c>
      <c r="N155" s="4">
        <f t="shared" si="13"/>
        <v>45778</v>
      </c>
      <c r="O155" t="str">
        <f t="shared" si="14"/>
        <v>May</v>
      </c>
    </row>
    <row r="156" spans="1:15" ht="15" customHeight="1" x14ac:dyDescent="0.25">
      <c r="A156" t="s">
        <v>193</v>
      </c>
      <c r="B156" s="2">
        <v>45912</v>
      </c>
      <c r="C156" t="s">
        <v>31</v>
      </c>
      <c r="D156" t="s">
        <v>17</v>
      </c>
      <c r="E156" t="s">
        <v>39</v>
      </c>
      <c r="F156" t="s">
        <v>40</v>
      </c>
      <c r="G156" t="s">
        <v>20</v>
      </c>
      <c r="H156">
        <v>2</v>
      </c>
      <c r="I156" s="18">
        <v>1118.5999999999999</v>
      </c>
      <c r="J156" s="18">
        <f t="shared" si="10"/>
        <v>2237.1999999999998</v>
      </c>
      <c r="K156" s="18">
        <v>1339.95</v>
      </c>
      <c r="L156" s="18">
        <f t="shared" si="11"/>
        <v>897.24999999999977</v>
      </c>
      <c r="M156" s="3">
        <f t="shared" si="12"/>
        <v>0.40105935991417835</v>
      </c>
      <c r="N156" s="4">
        <f t="shared" si="13"/>
        <v>45901</v>
      </c>
      <c r="O156" t="str">
        <f t="shared" si="14"/>
        <v>Sep</v>
      </c>
    </row>
    <row r="157" spans="1:15" ht="15" customHeight="1" x14ac:dyDescent="0.25">
      <c r="A157" t="s">
        <v>194</v>
      </c>
      <c r="B157" s="2">
        <v>45710</v>
      </c>
      <c r="C157" t="s">
        <v>22</v>
      </c>
      <c r="D157" t="s">
        <v>17</v>
      </c>
      <c r="E157" t="s">
        <v>24</v>
      </c>
      <c r="F157" t="s">
        <v>19</v>
      </c>
      <c r="G157" t="s">
        <v>20</v>
      </c>
      <c r="H157">
        <v>8</v>
      </c>
      <c r="I157" s="18">
        <v>3389.16</v>
      </c>
      <c r="J157" s="18">
        <f t="shared" si="10"/>
        <v>27113.279999999999</v>
      </c>
      <c r="K157" s="18">
        <v>18498.52</v>
      </c>
      <c r="L157" s="18">
        <f t="shared" si="11"/>
        <v>8614.7599999999984</v>
      </c>
      <c r="M157" s="3">
        <f t="shared" si="12"/>
        <v>0.31773212241381343</v>
      </c>
      <c r="N157" s="4">
        <f t="shared" si="13"/>
        <v>45689</v>
      </c>
      <c r="O157" t="str">
        <f t="shared" si="14"/>
        <v>Feb</v>
      </c>
    </row>
    <row r="158" spans="1:15" ht="15" customHeight="1" x14ac:dyDescent="0.25">
      <c r="A158" t="s">
        <v>195</v>
      </c>
      <c r="B158" s="2">
        <v>45679</v>
      </c>
      <c r="C158" t="s">
        <v>26</v>
      </c>
      <c r="D158" t="s">
        <v>23</v>
      </c>
      <c r="E158" t="s">
        <v>18</v>
      </c>
      <c r="F158" t="s">
        <v>46</v>
      </c>
      <c r="G158" t="s">
        <v>28</v>
      </c>
      <c r="H158">
        <v>1</v>
      </c>
      <c r="I158" s="18">
        <v>17451.95</v>
      </c>
      <c r="J158" s="18">
        <f t="shared" si="10"/>
        <v>17451.95</v>
      </c>
      <c r="K158" s="18">
        <v>12792.33</v>
      </c>
      <c r="L158" s="18">
        <f t="shared" si="11"/>
        <v>4659.6200000000008</v>
      </c>
      <c r="M158" s="3">
        <f t="shared" si="12"/>
        <v>0.26699709774552416</v>
      </c>
      <c r="N158" s="4">
        <f t="shared" si="13"/>
        <v>45658</v>
      </c>
      <c r="O158" t="str">
        <f t="shared" si="14"/>
        <v>Jan</v>
      </c>
    </row>
    <row r="159" spans="1:15" ht="15" customHeight="1" x14ac:dyDescent="0.25">
      <c r="A159" t="s">
        <v>196</v>
      </c>
      <c r="B159" s="2">
        <v>45731</v>
      </c>
      <c r="C159" t="s">
        <v>26</v>
      </c>
      <c r="D159" t="s">
        <v>17</v>
      </c>
      <c r="E159" t="s">
        <v>24</v>
      </c>
      <c r="F159" t="s">
        <v>62</v>
      </c>
      <c r="G159" t="s">
        <v>20</v>
      </c>
      <c r="H159">
        <v>3</v>
      </c>
      <c r="I159" s="18">
        <v>4100.46</v>
      </c>
      <c r="J159" s="18">
        <f t="shared" si="10"/>
        <v>12301.380000000001</v>
      </c>
      <c r="K159" s="18">
        <v>9433.24</v>
      </c>
      <c r="L159" s="18">
        <f t="shared" si="11"/>
        <v>2868.1400000000012</v>
      </c>
      <c r="M159" s="3">
        <f t="shared" si="12"/>
        <v>0.2331559548603491</v>
      </c>
      <c r="N159" s="4">
        <f t="shared" si="13"/>
        <v>45717</v>
      </c>
      <c r="O159" t="str">
        <f t="shared" si="14"/>
        <v>Mar</v>
      </c>
    </row>
    <row r="160" spans="1:15" ht="15" customHeight="1" x14ac:dyDescent="0.25">
      <c r="A160" t="s">
        <v>197</v>
      </c>
      <c r="B160" s="2">
        <v>45948</v>
      </c>
      <c r="C160" t="s">
        <v>16</v>
      </c>
      <c r="D160" t="s">
        <v>23</v>
      </c>
      <c r="E160" t="s">
        <v>33</v>
      </c>
      <c r="F160" t="s">
        <v>37</v>
      </c>
      <c r="G160" t="s">
        <v>20</v>
      </c>
      <c r="H160">
        <v>8</v>
      </c>
      <c r="I160" s="18">
        <v>20610.72</v>
      </c>
      <c r="J160" s="18">
        <f t="shared" si="10"/>
        <v>164885.76000000001</v>
      </c>
      <c r="K160" s="18">
        <v>110355.27</v>
      </c>
      <c r="L160" s="18">
        <f t="shared" si="11"/>
        <v>54530.490000000005</v>
      </c>
      <c r="M160" s="3">
        <f t="shared" si="12"/>
        <v>0.33071679446423996</v>
      </c>
      <c r="N160" s="4">
        <f t="shared" si="13"/>
        <v>45931</v>
      </c>
      <c r="O160" t="str">
        <f t="shared" si="14"/>
        <v>Oct</v>
      </c>
    </row>
    <row r="161" spans="1:15" ht="15" customHeight="1" x14ac:dyDescent="0.25">
      <c r="A161" t="s">
        <v>198</v>
      </c>
      <c r="B161" s="2">
        <v>45845</v>
      </c>
      <c r="C161" t="s">
        <v>22</v>
      </c>
      <c r="D161" t="s">
        <v>23</v>
      </c>
      <c r="E161" t="s">
        <v>39</v>
      </c>
      <c r="F161" t="s">
        <v>43</v>
      </c>
      <c r="G161" t="s">
        <v>44</v>
      </c>
      <c r="H161">
        <v>2</v>
      </c>
      <c r="I161" s="18">
        <v>457.12</v>
      </c>
      <c r="J161" s="18">
        <f t="shared" si="10"/>
        <v>914.24</v>
      </c>
      <c r="K161" s="18">
        <v>571.08000000000004</v>
      </c>
      <c r="L161" s="18">
        <f t="shared" si="11"/>
        <v>343.15999999999997</v>
      </c>
      <c r="M161" s="3">
        <f t="shared" si="12"/>
        <v>0.37535001750087499</v>
      </c>
      <c r="N161" s="4">
        <f t="shared" si="13"/>
        <v>45839</v>
      </c>
      <c r="O161" t="str">
        <f t="shared" si="14"/>
        <v>Jul</v>
      </c>
    </row>
    <row r="162" spans="1:15" ht="15" customHeight="1" x14ac:dyDescent="0.25">
      <c r="A162" t="s">
        <v>199</v>
      </c>
      <c r="B162" s="2">
        <v>45791</v>
      </c>
      <c r="C162" t="s">
        <v>16</v>
      </c>
      <c r="D162" t="s">
        <v>17</v>
      </c>
      <c r="E162" t="s">
        <v>52</v>
      </c>
      <c r="F162" t="s">
        <v>40</v>
      </c>
      <c r="G162" t="s">
        <v>20</v>
      </c>
      <c r="H162">
        <v>8</v>
      </c>
      <c r="I162" s="18">
        <v>902.43</v>
      </c>
      <c r="J162" s="18">
        <f t="shared" si="10"/>
        <v>7219.44</v>
      </c>
      <c r="K162" s="18">
        <v>4422.45</v>
      </c>
      <c r="L162" s="18">
        <f t="shared" si="11"/>
        <v>2796.99</v>
      </c>
      <c r="M162" s="3">
        <f t="shared" si="12"/>
        <v>0.38742478641002626</v>
      </c>
      <c r="N162" s="4">
        <f t="shared" si="13"/>
        <v>45778</v>
      </c>
      <c r="O162" t="str">
        <f t="shared" si="14"/>
        <v>May</v>
      </c>
    </row>
    <row r="163" spans="1:15" ht="15" customHeight="1" x14ac:dyDescent="0.25">
      <c r="A163" t="s">
        <v>200</v>
      </c>
      <c r="B163" s="2">
        <v>45885</v>
      </c>
      <c r="C163" t="s">
        <v>26</v>
      </c>
      <c r="D163" t="s">
        <v>17</v>
      </c>
      <c r="E163" t="s">
        <v>52</v>
      </c>
      <c r="F163" t="s">
        <v>19</v>
      </c>
      <c r="G163" t="s">
        <v>20</v>
      </c>
      <c r="H163">
        <v>6</v>
      </c>
      <c r="I163" s="18">
        <v>3665.43</v>
      </c>
      <c r="J163" s="18">
        <f t="shared" si="10"/>
        <v>21992.579999999998</v>
      </c>
      <c r="K163" s="18">
        <v>15658.7</v>
      </c>
      <c r="L163" s="18">
        <f t="shared" si="11"/>
        <v>6333.8799999999974</v>
      </c>
      <c r="M163" s="3">
        <f t="shared" si="12"/>
        <v>0.28800077116918515</v>
      </c>
      <c r="N163" s="4">
        <f t="shared" si="13"/>
        <v>45870</v>
      </c>
      <c r="O163" t="str">
        <f t="shared" si="14"/>
        <v>Aug</v>
      </c>
    </row>
    <row r="164" spans="1:15" ht="15" customHeight="1" x14ac:dyDescent="0.25">
      <c r="A164" t="s">
        <v>201</v>
      </c>
      <c r="B164" s="2">
        <v>46022</v>
      </c>
      <c r="C164" t="s">
        <v>22</v>
      </c>
      <c r="D164" t="s">
        <v>23</v>
      </c>
      <c r="E164" t="s">
        <v>39</v>
      </c>
      <c r="F164" t="s">
        <v>35</v>
      </c>
      <c r="G164" t="s">
        <v>20</v>
      </c>
      <c r="H164">
        <v>4</v>
      </c>
      <c r="I164" s="18">
        <v>2895.82</v>
      </c>
      <c r="J164" s="18">
        <f t="shared" si="10"/>
        <v>11583.28</v>
      </c>
      <c r="K164" s="18">
        <v>7376.43</v>
      </c>
      <c r="L164" s="18">
        <f t="shared" si="11"/>
        <v>4206.8500000000004</v>
      </c>
      <c r="M164" s="3">
        <f t="shared" si="12"/>
        <v>0.36318296717337406</v>
      </c>
      <c r="N164" s="4">
        <f t="shared" si="13"/>
        <v>45992</v>
      </c>
      <c r="O164" t="str">
        <f t="shared" si="14"/>
        <v>Dec</v>
      </c>
    </row>
    <row r="165" spans="1:15" ht="15" customHeight="1" x14ac:dyDescent="0.25">
      <c r="A165" t="s">
        <v>202</v>
      </c>
      <c r="B165" s="2">
        <v>45941</v>
      </c>
      <c r="C165" t="s">
        <v>26</v>
      </c>
      <c r="D165" t="s">
        <v>17</v>
      </c>
      <c r="E165" t="s">
        <v>24</v>
      </c>
      <c r="F165" t="s">
        <v>62</v>
      </c>
      <c r="G165" t="s">
        <v>20</v>
      </c>
      <c r="H165">
        <v>3</v>
      </c>
      <c r="I165" s="18">
        <v>4833.8599999999997</v>
      </c>
      <c r="J165" s="18">
        <f t="shared" si="10"/>
        <v>14501.579999999998</v>
      </c>
      <c r="K165" s="18">
        <v>8710.98</v>
      </c>
      <c r="L165" s="18">
        <f t="shared" si="11"/>
        <v>5790.5999999999985</v>
      </c>
      <c r="M165" s="3">
        <f t="shared" si="12"/>
        <v>0.39930821331192873</v>
      </c>
      <c r="N165" s="4">
        <f t="shared" si="13"/>
        <v>45931</v>
      </c>
      <c r="O165" t="str">
        <f t="shared" si="14"/>
        <v>Oct</v>
      </c>
    </row>
    <row r="166" spans="1:15" ht="15" customHeight="1" x14ac:dyDescent="0.25">
      <c r="A166" t="s">
        <v>203</v>
      </c>
      <c r="B166" s="2">
        <v>45927</v>
      </c>
      <c r="C166" t="s">
        <v>16</v>
      </c>
      <c r="D166" t="s">
        <v>17</v>
      </c>
      <c r="E166" t="s">
        <v>24</v>
      </c>
      <c r="F166" t="s">
        <v>43</v>
      </c>
      <c r="G166" t="s">
        <v>44</v>
      </c>
      <c r="H166">
        <v>2</v>
      </c>
      <c r="I166" s="18">
        <v>1011.1</v>
      </c>
      <c r="J166" s="18">
        <f t="shared" si="10"/>
        <v>2022.2</v>
      </c>
      <c r="K166" s="18">
        <v>1326.74</v>
      </c>
      <c r="L166" s="18">
        <f t="shared" si="11"/>
        <v>695.46</v>
      </c>
      <c r="M166" s="3">
        <f t="shared" si="12"/>
        <v>0.34391257046780732</v>
      </c>
      <c r="N166" s="4">
        <f t="shared" si="13"/>
        <v>45901</v>
      </c>
      <c r="O166" t="str">
        <f t="shared" si="14"/>
        <v>Sep</v>
      </c>
    </row>
    <row r="167" spans="1:15" ht="15" customHeight="1" x14ac:dyDescent="0.25">
      <c r="A167" t="s">
        <v>204</v>
      </c>
      <c r="B167" s="2">
        <v>46006</v>
      </c>
      <c r="C167" t="s">
        <v>16</v>
      </c>
      <c r="D167" t="s">
        <v>23</v>
      </c>
      <c r="E167" t="s">
        <v>33</v>
      </c>
      <c r="F167" t="s">
        <v>50</v>
      </c>
      <c r="G167" t="s">
        <v>28</v>
      </c>
      <c r="H167">
        <v>3</v>
      </c>
      <c r="I167" s="18">
        <v>1210.54</v>
      </c>
      <c r="J167" s="18">
        <f t="shared" si="10"/>
        <v>3631.62</v>
      </c>
      <c r="K167" s="18">
        <v>2218.8000000000002</v>
      </c>
      <c r="L167" s="18">
        <f t="shared" si="11"/>
        <v>1412.8199999999997</v>
      </c>
      <c r="M167" s="3">
        <f t="shared" si="12"/>
        <v>0.38903299354007298</v>
      </c>
      <c r="N167" s="4">
        <f t="shared" si="13"/>
        <v>45992</v>
      </c>
      <c r="O167" t="str">
        <f t="shared" si="14"/>
        <v>Dec</v>
      </c>
    </row>
    <row r="168" spans="1:15" ht="15" customHeight="1" x14ac:dyDescent="0.25">
      <c r="A168" t="s">
        <v>205</v>
      </c>
      <c r="B168" s="2">
        <v>45736</v>
      </c>
      <c r="C168" t="s">
        <v>26</v>
      </c>
      <c r="D168" t="s">
        <v>23</v>
      </c>
      <c r="E168" t="s">
        <v>39</v>
      </c>
      <c r="F168" t="s">
        <v>27</v>
      </c>
      <c r="G168" t="s">
        <v>28</v>
      </c>
      <c r="H168">
        <v>4</v>
      </c>
      <c r="I168" s="18">
        <v>11336.79</v>
      </c>
      <c r="J168" s="18">
        <f t="shared" si="10"/>
        <v>45347.16</v>
      </c>
      <c r="K168" s="18">
        <v>36541.51</v>
      </c>
      <c r="L168" s="18">
        <f t="shared" si="11"/>
        <v>8805.6500000000015</v>
      </c>
      <c r="M168" s="3">
        <f t="shared" si="12"/>
        <v>0.1941830535804227</v>
      </c>
      <c r="N168" s="4">
        <f t="shared" si="13"/>
        <v>45717</v>
      </c>
      <c r="O168" t="str">
        <f t="shared" si="14"/>
        <v>Mar</v>
      </c>
    </row>
    <row r="169" spans="1:15" ht="15" customHeight="1" x14ac:dyDescent="0.25">
      <c r="A169" t="s">
        <v>206</v>
      </c>
      <c r="B169" s="2">
        <v>45758</v>
      </c>
      <c r="C169" t="s">
        <v>31</v>
      </c>
      <c r="D169" t="s">
        <v>23</v>
      </c>
      <c r="E169" t="s">
        <v>52</v>
      </c>
      <c r="F169" t="s">
        <v>50</v>
      </c>
      <c r="G169" t="s">
        <v>28</v>
      </c>
      <c r="H169">
        <v>5</v>
      </c>
      <c r="I169" s="18">
        <v>910.37</v>
      </c>
      <c r="J169" s="18">
        <f t="shared" si="10"/>
        <v>4551.8500000000004</v>
      </c>
      <c r="K169" s="18">
        <v>2742.14</v>
      </c>
      <c r="L169" s="18">
        <f t="shared" si="11"/>
        <v>1809.7100000000005</v>
      </c>
      <c r="M169" s="3">
        <f t="shared" si="12"/>
        <v>0.39757680942913326</v>
      </c>
      <c r="N169" s="4">
        <f t="shared" si="13"/>
        <v>45748</v>
      </c>
      <c r="O169" t="str">
        <f t="shared" si="14"/>
        <v>Apr</v>
      </c>
    </row>
    <row r="170" spans="1:15" ht="15" customHeight="1" x14ac:dyDescent="0.25">
      <c r="A170" t="s">
        <v>207</v>
      </c>
      <c r="B170" s="2">
        <v>45995</v>
      </c>
      <c r="C170" t="s">
        <v>16</v>
      </c>
      <c r="D170" t="s">
        <v>17</v>
      </c>
      <c r="E170" t="s">
        <v>52</v>
      </c>
      <c r="F170" t="s">
        <v>62</v>
      </c>
      <c r="G170" t="s">
        <v>20</v>
      </c>
      <c r="H170">
        <v>1</v>
      </c>
      <c r="I170" s="18">
        <v>3903.4</v>
      </c>
      <c r="J170" s="18">
        <f t="shared" si="10"/>
        <v>3903.4</v>
      </c>
      <c r="K170" s="18">
        <v>2290.5500000000002</v>
      </c>
      <c r="L170" s="18">
        <f t="shared" si="11"/>
        <v>1612.85</v>
      </c>
      <c r="M170" s="3">
        <f t="shared" si="12"/>
        <v>0.41319106420044061</v>
      </c>
      <c r="N170" s="4">
        <f t="shared" si="13"/>
        <v>45992</v>
      </c>
      <c r="O170" t="str">
        <f t="shared" si="14"/>
        <v>Dec</v>
      </c>
    </row>
    <row r="171" spans="1:15" ht="15" customHeight="1" x14ac:dyDescent="0.25">
      <c r="A171" t="s">
        <v>208</v>
      </c>
      <c r="B171" s="2">
        <v>45950</v>
      </c>
      <c r="C171" t="s">
        <v>31</v>
      </c>
      <c r="D171" t="s">
        <v>17</v>
      </c>
      <c r="E171" t="s">
        <v>39</v>
      </c>
      <c r="F171" t="s">
        <v>43</v>
      </c>
      <c r="G171" t="s">
        <v>44</v>
      </c>
      <c r="H171">
        <v>5</v>
      </c>
      <c r="I171" s="18">
        <v>780.54</v>
      </c>
      <c r="J171" s="18">
        <f t="shared" si="10"/>
        <v>3902.7</v>
      </c>
      <c r="K171" s="18">
        <v>2546.52</v>
      </c>
      <c r="L171" s="18">
        <f t="shared" si="11"/>
        <v>1356.1799999999998</v>
      </c>
      <c r="M171" s="3">
        <f t="shared" si="12"/>
        <v>0.34749788607886845</v>
      </c>
      <c r="N171" s="4">
        <f t="shared" si="13"/>
        <v>45931</v>
      </c>
      <c r="O171" t="str">
        <f t="shared" si="14"/>
        <v>Oct</v>
      </c>
    </row>
    <row r="172" spans="1:15" ht="15" customHeight="1" x14ac:dyDescent="0.25">
      <c r="A172" t="s">
        <v>209</v>
      </c>
      <c r="B172" s="2">
        <v>45890</v>
      </c>
      <c r="C172" t="s">
        <v>26</v>
      </c>
      <c r="D172" t="s">
        <v>23</v>
      </c>
      <c r="E172" t="s">
        <v>39</v>
      </c>
      <c r="F172" t="s">
        <v>19</v>
      </c>
      <c r="G172" t="s">
        <v>20</v>
      </c>
      <c r="H172">
        <v>8</v>
      </c>
      <c r="I172" s="18">
        <v>1366.54</v>
      </c>
      <c r="J172" s="18">
        <f t="shared" si="10"/>
        <v>10932.32</v>
      </c>
      <c r="K172" s="18">
        <v>7559.33</v>
      </c>
      <c r="L172" s="18">
        <f t="shared" si="11"/>
        <v>3372.99</v>
      </c>
      <c r="M172" s="3">
        <f t="shared" si="12"/>
        <v>0.30853377874046861</v>
      </c>
      <c r="N172" s="4">
        <f t="shared" si="13"/>
        <v>45870</v>
      </c>
      <c r="O172" t="str">
        <f t="shared" si="14"/>
        <v>Aug</v>
      </c>
    </row>
    <row r="173" spans="1:15" ht="15" customHeight="1" x14ac:dyDescent="0.25">
      <c r="A173" t="s">
        <v>210</v>
      </c>
      <c r="B173" s="2">
        <v>45821</v>
      </c>
      <c r="C173" t="s">
        <v>31</v>
      </c>
      <c r="D173" t="s">
        <v>17</v>
      </c>
      <c r="E173" t="s">
        <v>18</v>
      </c>
      <c r="F173" t="s">
        <v>46</v>
      </c>
      <c r="G173" t="s">
        <v>28</v>
      </c>
      <c r="H173">
        <v>6</v>
      </c>
      <c r="I173" s="18">
        <v>15578.53</v>
      </c>
      <c r="J173" s="18">
        <f t="shared" si="10"/>
        <v>93471.180000000008</v>
      </c>
      <c r="K173" s="18">
        <v>56595.32</v>
      </c>
      <c r="L173" s="18">
        <f t="shared" si="11"/>
        <v>36875.860000000008</v>
      </c>
      <c r="M173" s="3">
        <f t="shared" si="12"/>
        <v>0.39451582830130105</v>
      </c>
      <c r="N173" s="4">
        <f t="shared" si="13"/>
        <v>45809</v>
      </c>
      <c r="O173" t="str">
        <f t="shared" si="14"/>
        <v>Jun</v>
      </c>
    </row>
    <row r="174" spans="1:15" ht="15" customHeight="1" x14ac:dyDescent="0.25">
      <c r="A174" t="s">
        <v>211</v>
      </c>
      <c r="B174" s="2">
        <v>45794</v>
      </c>
      <c r="C174" t="s">
        <v>22</v>
      </c>
      <c r="D174" t="s">
        <v>23</v>
      </c>
      <c r="E174" t="s">
        <v>52</v>
      </c>
      <c r="F174" t="s">
        <v>40</v>
      </c>
      <c r="G174" t="s">
        <v>20</v>
      </c>
      <c r="H174">
        <v>1</v>
      </c>
      <c r="I174" s="18">
        <v>334.36</v>
      </c>
      <c r="J174" s="18">
        <f t="shared" si="10"/>
        <v>334.36</v>
      </c>
      <c r="K174" s="18">
        <v>224.76</v>
      </c>
      <c r="L174" s="18">
        <f t="shared" si="11"/>
        <v>109.60000000000002</v>
      </c>
      <c r="M174" s="3">
        <f t="shared" si="12"/>
        <v>0.32779040555090327</v>
      </c>
      <c r="N174" s="4">
        <f t="shared" si="13"/>
        <v>45778</v>
      </c>
      <c r="O174" t="str">
        <f t="shared" si="14"/>
        <v>May</v>
      </c>
    </row>
    <row r="175" spans="1:15" ht="15" customHeight="1" x14ac:dyDescent="0.25">
      <c r="A175" t="s">
        <v>212</v>
      </c>
      <c r="B175" s="2">
        <v>45825</v>
      </c>
      <c r="C175" t="s">
        <v>22</v>
      </c>
      <c r="D175" t="s">
        <v>17</v>
      </c>
      <c r="E175" t="s">
        <v>24</v>
      </c>
      <c r="F175" t="s">
        <v>62</v>
      </c>
      <c r="G175" t="s">
        <v>20</v>
      </c>
      <c r="H175">
        <v>3</v>
      </c>
      <c r="I175" s="18">
        <v>3459.8</v>
      </c>
      <c r="J175" s="18">
        <f t="shared" si="10"/>
        <v>10379.400000000001</v>
      </c>
      <c r="K175" s="18">
        <v>7302.26</v>
      </c>
      <c r="L175" s="18">
        <f t="shared" si="11"/>
        <v>3077.1400000000012</v>
      </c>
      <c r="M175" s="3">
        <f t="shared" si="12"/>
        <v>0.2964660770372084</v>
      </c>
      <c r="N175" s="4">
        <f t="shared" si="13"/>
        <v>45809</v>
      </c>
      <c r="O175" t="str">
        <f t="shared" si="14"/>
        <v>Jun</v>
      </c>
    </row>
    <row r="176" spans="1:15" ht="15" customHeight="1" x14ac:dyDescent="0.25">
      <c r="A176" t="s">
        <v>213</v>
      </c>
      <c r="B176" s="2">
        <v>45669</v>
      </c>
      <c r="C176" t="s">
        <v>26</v>
      </c>
      <c r="D176" t="s">
        <v>17</v>
      </c>
      <c r="E176" t="s">
        <v>33</v>
      </c>
      <c r="F176" t="s">
        <v>19</v>
      </c>
      <c r="G176" t="s">
        <v>20</v>
      </c>
      <c r="H176">
        <v>4</v>
      </c>
      <c r="I176" s="18">
        <v>4722.43</v>
      </c>
      <c r="J176" s="18">
        <f t="shared" si="10"/>
        <v>18889.72</v>
      </c>
      <c r="K176" s="18">
        <v>11176.63</v>
      </c>
      <c r="L176" s="18">
        <f t="shared" si="11"/>
        <v>7713.090000000002</v>
      </c>
      <c r="M176" s="3">
        <f t="shared" si="12"/>
        <v>0.40832209265145281</v>
      </c>
      <c r="N176" s="4">
        <f t="shared" si="13"/>
        <v>45658</v>
      </c>
      <c r="O176" t="str">
        <f t="shared" si="14"/>
        <v>Jan</v>
      </c>
    </row>
    <row r="177" spans="1:15" ht="15" customHeight="1" x14ac:dyDescent="0.25">
      <c r="A177" t="s">
        <v>214</v>
      </c>
      <c r="B177" s="2">
        <v>45992</v>
      </c>
      <c r="C177" t="s">
        <v>26</v>
      </c>
      <c r="D177" t="s">
        <v>17</v>
      </c>
      <c r="E177" t="s">
        <v>39</v>
      </c>
      <c r="F177" t="s">
        <v>40</v>
      </c>
      <c r="G177" t="s">
        <v>20</v>
      </c>
      <c r="H177">
        <v>2</v>
      </c>
      <c r="I177" s="18">
        <v>1101.57</v>
      </c>
      <c r="J177" s="18">
        <f t="shared" si="10"/>
        <v>2203.14</v>
      </c>
      <c r="K177" s="18">
        <v>1744.42</v>
      </c>
      <c r="L177" s="18">
        <f t="shared" si="11"/>
        <v>458.7199999999998</v>
      </c>
      <c r="M177" s="3">
        <f t="shared" si="12"/>
        <v>0.20821191572029005</v>
      </c>
      <c r="N177" s="4">
        <f t="shared" si="13"/>
        <v>45992</v>
      </c>
      <c r="O177" t="str">
        <f t="shared" si="14"/>
        <v>Dec</v>
      </c>
    </row>
    <row r="178" spans="1:15" ht="15" customHeight="1" x14ac:dyDescent="0.25">
      <c r="A178" t="s">
        <v>215</v>
      </c>
      <c r="B178" s="2">
        <v>45681</v>
      </c>
      <c r="C178" t="s">
        <v>26</v>
      </c>
      <c r="D178" t="s">
        <v>23</v>
      </c>
      <c r="E178" t="s">
        <v>52</v>
      </c>
      <c r="F178" t="s">
        <v>43</v>
      </c>
      <c r="G178" t="s">
        <v>44</v>
      </c>
      <c r="H178">
        <v>5</v>
      </c>
      <c r="I178" s="18">
        <v>568.03</v>
      </c>
      <c r="J178" s="18">
        <f t="shared" si="10"/>
        <v>2840.1499999999996</v>
      </c>
      <c r="K178" s="18">
        <v>1991.01</v>
      </c>
      <c r="L178" s="18">
        <f t="shared" si="11"/>
        <v>849.13999999999965</v>
      </c>
      <c r="M178" s="3">
        <f t="shared" si="12"/>
        <v>0.29897716669894187</v>
      </c>
      <c r="N178" s="4">
        <f t="shared" si="13"/>
        <v>45658</v>
      </c>
      <c r="O178" t="str">
        <f t="shared" si="14"/>
        <v>Jan</v>
      </c>
    </row>
    <row r="179" spans="1:15" ht="15" customHeight="1" x14ac:dyDescent="0.25">
      <c r="A179" t="s">
        <v>216</v>
      </c>
      <c r="B179" s="2">
        <v>45707</v>
      </c>
      <c r="C179" t="s">
        <v>22</v>
      </c>
      <c r="D179" t="s">
        <v>23</v>
      </c>
      <c r="E179" t="s">
        <v>18</v>
      </c>
      <c r="F179" t="s">
        <v>43</v>
      </c>
      <c r="G179" t="s">
        <v>44</v>
      </c>
      <c r="H179">
        <v>6</v>
      </c>
      <c r="I179" s="18">
        <v>862.87</v>
      </c>
      <c r="J179" s="18">
        <f t="shared" si="10"/>
        <v>5177.22</v>
      </c>
      <c r="K179" s="18">
        <v>3250.12</v>
      </c>
      <c r="L179" s="18">
        <f t="shared" si="11"/>
        <v>1927.1000000000004</v>
      </c>
      <c r="M179" s="3">
        <f t="shared" si="12"/>
        <v>0.3722267935301185</v>
      </c>
      <c r="N179" s="4">
        <f t="shared" si="13"/>
        <v>45689</v>
      </c>
      <c r="O179" t="str">
        <f t="shared" si="14"/>
        <v>Feb</v>
      </c>
    </row>
    <row r="180" spans="1:15" ht="15" customHeight="1" x14ac:dyDescent="0.25">
      <c r="A180" t="s">
        <v>217</v>
      </c>
      <c r="B180" s="2">
        <v>45677</v>
      </c>
      <c r="C180" t="s">
        <v>31</v>
      </c>
      <c r="D180" t="s">
        <v>17</v>
      </c>
      <c r="E180" t="s">
        <v>33</v>
      </c>
      <c r="F180" t="s">
        <v>35</v>
      </c>
      <c r="G180" t="s">
        <v>20</v>
      </c>
      <c r="H180">
        <v>8</v>
      </c>
      <c r="I180" s="18">
        <v>3642.03</v>
      </c>
      <c r="J180" s="18">
        <f t="shared" si="10"/>
        <v>29136.240000000002</v>
      </c>
      <c r="K180" s="18">
        <v>17940.52</v>
      </c>
      <c r="L180" s="18">
        <f t="shared" si="11"/>
        <v>11195.720000000001</v>
      </c>
      <c r="M180" s="3">
        <f t="shared" si="12"/>
        <v>0.38425411103148521</v>
      </c>
      <c r="N180" s="4">
        <f t="shared" si="13"/>
        <v>45658</v>
      </c>
      <c r="O180" t="str">
        <f t="shared" si="14"/>
        <v>Jan</v>
      </c>
    </row>
    <row r="181" spans="1:15" ht="15" customHeight="1" x14ac:dyDescent="0.25">
      <c r="A181" t="s">
        <v>218</v>
      </c>
      <c r="B181" s="2">
        <v>45821</v>
      </c>
      <c r="C181" t="s">
        <v>22</v>
      </c>
      <c r="D181" t="s">
        <v>17</v>
      </c>
      <c r="E181" t="s">
        <v>24</v>
      </c>
      <c r="F181" t="s">
        <v>35</v>
      </c>
      <c r="G181" t="s">
        <v>20</v>
      </c>
      <c r="H181">
        <v>6</v>
      </c>
      <c r="I181" s="18">
        <v>3355.9</v>
      </c>
      <c r="J181" s="18">
        <f t="shared" si="10"/>
        <v>20135.400000000001</v>
      </c>
      <c r="K181" s="18">
        <v>14141.72</v>
      </c>
      <c r="L181" s="18">
        <f t="shared" si="11"/>
        <v>5993.6800000000021</v>
      </c>
      <c r="M181" s="3">
        <f t="shared" si="12"/>
        <v>0.29766878234353433</v>
      </c>
      <c r="N181" s="4">
        <f t="shared" si="13"/>
        <v>45809</v>
      </c>
      <c r="O181" t="str">
        <f t="shared" si="14"/>
        <v>Jun</v>
      </c>
    </row>
    <row r="182" spans="1:15" ht="15" customHeight="1" x14ac:dyDescent="0.25">
      <c r="A182" t="s">
        <v>219</v>
      </c>
      <c r="B182" s="2">
        <v>45666</v>
      </c>
      <c r="C182" t="s">
        <v>16</v>
      </c>
      <c r="D182" t="s">
        <v>17</v>
      </c>
      <c r="E182" t="s">
        <v>39</v>
      </c>
      <c r="F182" t="s">
        <v>46</v>
      </c>
      <c r="G182" t="s">
        <v>28</v>
      </c>
      <c r="H182">
        <v>5</v>
      </c>
      <c r="I182" s="18">
        <v>15283.26</v>
      </c>
      <c r="J182" s="18">
        <f t="shared" si="10"/>
        <v>76416.3</v>
      </c>
      <c r="K182" s="18">
        <v>57623.839999999997</v>
      </c>
      <c r="L182" s="18">
        <f t="shared" si="11"/>
        <v>18792.460000000006</v>
      </c>
      <c r="M182" s="3">
        <f t="shared" si="12"/>
        <v>0.24592213964821649</v>
      </c>
      <c r="N182" s="4">
        <f t="shared" si="13"/>
        <v>45658</v>
      </c>
      <c r="O182" t="str">
        <f t="shared" si="14"/>
        <v>Jan</v>
      </c>
    </row>
    <row r="183" spans="1:15" ht="15" customHeight="1" x14ac:dyDescent="0.25">
      <c r="A183" t="s">
        <v>220</v>
      </c>
      <c r="B183" s="2">
        <v>45993</v>
      </c>
      <c r="C183" t="s">
        <v>22</v>
      </c>
      <c r="D183" t="s">
        <v>23</v>
      </c>
      <c r="E183" t="s">
        <v>52</v>
      </c>
      <c r="F183" t="s">
        <v>62</v>
      </c>
      <c r="G183" t="s">
        <v>20</v>
      </c>
      <c r="H183">
        <v>1</v>
      </c>
      <c r="I183" s="18">
        <v>2810.17</v>
      </c>
      <c r="J183" s="18">
        <f t="shared" si="10"/>
        <v>2810.17</v>
      </c>
      <c r="K183" s="18">
        <v>1744.9</v>
      </c>
      <c r="L183" s="18">
        <f t="shared" si="11"/>
        <v>1065.27</v>
      </c>
      <c r="M183" s="3">
        <f t="shared" si="12"/>
        <v>0.37907671066163257</v>
      </c>
      <c r="N183" s="4">
        <f t="shared" si="13"/>
        <v>45992</v>
      </c>
      <c r="O183" t="str">
        <f t="shared" si="14"/>
        <v>Dec</v>
      </c>
    </row>
    <row r="184" spans="1:15" ht="15" customHeight="1" x14ac:dyDescent="0.25">
      <c r="A184" t="s">
        <v>221</v>
      </c>
      <c r="B184" s="2">
        <v>45674</v>
      </c>
      <c r="C184" t="s">
        <v>22</v>
      </c>
      <c r="D184" t="s">
        <v>23</v>
      </c>
      <c r="E184" t="s">
        <v>24</v>
      </c>
      <c r="F184" t="s">
        <v>62</v>
      </c>
      <c r="G184" t="s">
        <v>20</v>
      </c>
      <c r="H184">
        <v>1</v>
      </c>
      <c r="I184" s="18">
        <v>1778.77</v>
      </c>
      <c r="J184" s="18">
        <f t="shared" si="10"/>
        <v>1778.77</v>
      </c>
      <c r="K184" s="18">
        <v>1210.47</v>
      </c>
      <c r="L184" s="18">
        <f t="shared" si="11"/>
        <v>568.29999999999995</v>
      </c>
      <c r="M184" s="3">
        <f t="shared" si="12"/>
        <v>0.31949043440129976</v>
      </c>
      <c r="N184" s="4">
        <f t="shared" si="13"/>
        <v>45658</v>
      </c>
      <c r="O184" t="str">
        <f t="shared" si="14"/>
        <v>Jan</v>
      </c>
    </row>
    <row r="185" spans="1:15" ht="15" customHeight="1" x14ac:dyDescent="0.25">
      <c r="A185" t="s">
        <v>222</v>
      </c>
      <c r="B185" s="2">
        <v>45914</v>
      </c>
      <c r="C185" t="s">
        <v>22</v>
      </c>
      <c r="D185" t="s">
        <v>17</v>
      </c>
      <c r="E185" t="s">
        <v>39</v>
      </c>
      <c r="F185" t="s">
        <v>62</v>
      </c>
      <c r="G185" t="s">
        <v>20</v>
      </c>
      <c r="H185">
        <v>3</v>
      </c>
      <c r="I185" s="18">
        <v>1415.27</v>
      </c>
      <c r="J185" s="18">
        <f t="shared" si="10"/>
        <v>4245.8099999999995</v>
      </c>
      <c r="K185" s="18">
        <v>3034.11</v>
      </c>
      <c r="L185" s="18">
        <f t="shared" si="11"/>
        <v>1211.6999999999994</v>
      </c>
      <c r="M185" s="3">
        <f t="shared" si="12"/>
        <v>0.28538724059720044</v>
      </c>
      <c r="N185" s="4">
        <f t="shared" si="13"/>
        <v>45901</v>
      </c>
      <c r="O185" t="str">
        <f t="shared" si="14"/>
        <v>Sep</v>
      </c>
    </row>
    <row r="186" spans="1:15" ht="15" customHeight="1" x14ac:dyDescent="0.25">
      <c r="A186" t="s">
        <v>223</v>
      </c>
      <c r="B186" s="2">
        <v>45746</v>
      </c>
      <c r="C186" t="s">
        <v>26</v>
      </c>
      <c r="D186" t="s">
        <v>17</v>
      </c>
      <c r="E186" t="s">
        <v>52</v>
      </c>
      <c r="F186" t="s">
        <v>40</v>
      </c>
      <c r="G186" t="s">
        <v>20</v>
      </c>
      <c r="H186">
        <v>6</v>
      </c>
      <c r="I186" s="18">
        <v>837.46</v>
      </c>
      <c r="J186" s="18">
        <f t="shared" si="10"/>
        <v>5024.76</v>
      </c>
      <c r="K186" s="18">
        <v>3960.7</v>
      </c>
      <c r="L186" s="18">
        <f t="shared" si="11"/>
        <v>1064.0600000000004</v>
      </c>
      <c r="M186" s="3">
        <f t="shared" si="12"/>
        <v>0.21176334790119336</v>
      </c>
      <c r="N186" s="4">
        <f t="shared" si="13"/>
        <v>45717</v>
      </c>
      <c r="O186" t="str">
        <f t="shared" si="14"/>
        <v>Mar</v>
      </c>
    </row>
    <row r="187" spans="1:15" ht="15" customHeight="1" x14ac:dyDescent="0.25">
      <c r="A187" t="s">
        <v>224</v>
      </c>
      <c r="B187" s="2">
        <v>45784</v>
      </c>
      <c r="C187" t="s">
        <v>22</v>
      </c>
      <c r="D187" t="s">
        <v>17</v>
      </c>
      <c r="E187" t="s">
        <v>24</v>
      </c>
      <c r="F187" t="s">
        <v>27</v>
      </c>
      <c r="G187" t="s">
        <v>28</v>
      </c>
      <c r="H187">
        <v>5</v>
      </c>
      <c r="I187" s="18">
        <v>19126.98</v>
      </c>
      <c r="J187" s="18">
        <f t="shared" si="10"/>
        <v>95634.9</v>
      </c>
      <c r="K187" s="18">
        <v>71647.39</v>
      </c>
      <c r="L187" s="18">
        <f t="shared" si="11"/>
        <v>23987.509999999995</v>
      </c>
      <c r="M187" s="3">
        <f t="shared" si="12"/>
        <v>0.25082381013625776</v>
      </c>
      <c r="N187" s="4">
        <f t="shared" si="13"/>
        <v>45778</v>
      </c>
      <c r="O187" t="str">
        <f t="shared" si="14"/>
        <v>May</v>
      </c>
    </row>
    <row r="188" spans="1:15" ht="15" customHeight="1" x14ac:dyDescent="0.25">
      <c r="A188" t="s">
        <v>225</v>
      </c>
      <c r="B188" s="2">
        <v>45836</v>
      </c>
      <c r="C188" t="s">
        <v>22</v>
      </c>
      <c r="D188" t="s">
        <v>17</v>
      </c>
      <c r="E188" t="s">
        <v>52</v>
      </c>
      <c r="F188" t="s">
        <v>50</v>
      </c>
      <c r="G188" t="s">
        <v>28</v>
      </c>
      <c r="H188">
        <v>2</v>
      </c>
      <c r="I188" s="18">
        <v>551.99</v>
      </c>
      <c r="J188" s="18">
        <f t="shared" si="10"/>
        <v>1103.98</v>
      </c>
      <c r="K188" s="18">
        <v>784.23</v>
      </c>
      <c r="L188" s="18">
        <f t="shared" si="11"/>
        <v>319.75</v>
      </c>
      <c r="M188" s="3">
        <f t="shared" si="12"/>
        <v>0.2896338701788076</v>
      </c>
      <c r="N188" s="4">
        <f t="shared" si="13"/>
        <v>45809</v>
      </c>
      <c r="O188" t="str">
        <f t="shared" si="14"/>
        <v>Jun</v>
      </c>
    </row>
    <row r="189" spans="1:15" ht="15" customHeight="1" x14ac:dyDescent="0.25">
      <c r="A189" t="s">
        <v>226</v>
      </c>
      <c r="B189" s="2">
        <v>45806</v>
      </c>
      <c r="C189" t="s">
        <v>31</v>
      </c>
      <c r="D189" t="s">
        <v>23</v>
      </c>
      <c r="E189" t="s">
        <v>33</v>
      </c>
      <c r="F189" t="s">
        <v>37</v>
      </c>
      <c r="G189" t="s">
        <v>20</v>
      </c>
      <c r="H189">
        <v>8</v>
      </c>
      <c r="I189" s="18">
        <v>14139.74</v>
      </c>
      <c r="J189" s="18">
        <f t="shared" si="10"/>
        <v>113117.92</v>
      </c>
      <c r="K189" s="18">
        <v>85897.36</v>
      </c>
      <c r="L189" s="18">
        <f t="shared" si="11"/>
        <v>27220.559999999998</v>
      </c>
      <c r="M189" s="3">
        <f t="shared" si="12"/>
        <v>0.24063879533852814</v>
      </c>
      <c r="N189" s="4">
        <f t="shared" si="13"/>
        <v>45778</v>
      </c>
      <c r="O189" t="str">
        <f t="shared" si="14"/>
        <v>May</v>
      </c>
    </row>
    <row r="190" spans="1:15" ht="15" customHeight="1" x14ac:dyDescent="0.25">
      <c r="A190" t="s">
        <v>227</v>
      </c>
      <c r="B190" s="2">
        <v>45796</v>
      </c>
      <c r="C190" t="s">
        <v>31</v>
      </c>
      <c r="D190" t="s">
        <v>23</v>
      </c>
      <c r="E190" t="s">
        <v>33</v>
      </c>
      <c r="F190" t="s">
        <v>50</v>
      </c>
      <c r="G190" t="s">
        <v>28</v>
      </c>
      <c r="H190">
        <v>2</v>
      </c>
      <c r="I190" s="18">
        <v>399.02</v>
      </c>
      <c r="J190" s="18">
        <f t="shared" si="10"/>
        <v>798.04</v>
      </c>
      <c r="K190" s="18">
        <v>575.26</v>
      </c>
      <c r="L190" s="18">
        <f t="shared" si="11"/>
        <v>222.77999999999997</v>
      </c>
      <c r="M190" s="3">
        <f t="shared" si="12"/>
        <v>0.27915893940153375</v>
      </c>
      <c r="N190" s="4">
        <f t="shared" si="13"/>
        <v>45778</v>
      </c>
      <c r="O190" t="str">
        <f t="shared" si="14"/>
        <v>May</v>
      </c>
    </row>
    <row r="191" spans="1:15" ht="15" customHeight="1" x14ac:dyDescent="0.25">
      <c r="A191" t="s">
        <v>228</v>
      </c>
      <c r="B191" s="2">
        <v>45773</v>
      </c>
      <c r="C191" t="s">
        <v>31</v>
      </c>
      <c r="D191" t="s">
        <v>23</v>
      </c>
      <c r="E191" t="s">
        <v>33</v>
      </c>
      <c r="F191" t="s">
        <v>53</v>
      </c>
      <c r="G191" t="s">
        <v>44</v>
      </c>
      <c r="H191">
        <v>6</v>
      </c>
      <c r="I191" s="18">
        <v>1794.77</v>
      </c>
      <c r="J191" s="18">
        <f t="shared" si="10"/>
        <v>10768.619999999999</v>
      </c>
      <c r="K191" s="18">
        <v>6505.65</v>
      </c>
      <c r="L191" s="18">
        <f t="shared" si="11"/>
        <v>4262.9699999999993</v>
      </c>
      <c r="M191" s="3">
        <f t="shared" si="12"/>
        <v>0.39586966575104326</v>
      </c>
      <c r="N191" s="4">
        <f t="shared" si="13"/>
        <v>45748</v>
      </c>
      <c r="O191" t="str">
        <f t="shared" si="14"/>
        <v>Apr</v>
      </c>
    </row>
    <row r="192" spans="1:15" ht="15" customHeight="1" x14ac:dyDescent="0.25">
      <c r="A192" t="s">
        <v>229</v>
      </c>
      <c r="B192" s="2">
        <v>45738</v>
      </c>
      <c r="C192" t="s">
        <v>26</v>
      </c>
      <c r="D192" t="s">
        <v>23</v>
      </c>
      <c r="E192" t="s">
        <v>18</v>
      </c>
      <c r="F192" t="s">
        <v>43</v>
      </c>
      <c r="G192" t="s">
        <v>44</v>
      </c>
      <c r="H192">
        <v>4</v>
      </c>
      <c r="I192" s="18">
        <v>775.77</v>
      </c>
      <c r="J192" s="18">
        <f t="shared" si="10"/>
        <v>3103.08</v>
      </c>
      <c r="K192" s="18">
        <v>2013.71</v>
      </c>
      <c r="L192" s="18">
        <f t="shared" si="11"/>
        <v>1089.3699999999999</v>
      </c>
      <c r="M192" s="3">
        <f t="shared" si="12"/>
        <v>0.35106088144682057</v>
      </c>
      <c r="N192" s="4">
        <f t="shared" si="13"/>
        <v>45717</v>
      </c>
      <c r="O192" t="str">
        <f t="shared" si="14"/>
        <v>Mar</v>
      </c>
    </row>
    <row r="193" spans="1:15" ht="15" customHeight="1" x14ac:dyDescent="0.25">
      <c r="A193" t="s">
        <v>230</v>
      </c>
      <c r="B193" s="2">
        <v>45991</v>
      </c>
      <c r="C193" t="s">
        <v>16</v>
      </c>
      <c r="D193" t="s">
        <v>17</v>
      </c>
      <c r="E193" t="s">
        <v>24</v>
      </c>
      <c r="F193" t="s">
        <v>62</v>
      </c>
      <c r="G193" t="s">
        <v>20</v>
      </c>
      <c r="H193">
        <v>3</v>
      </c>
      <c r="I193" s="18">
        <v>1185.21</v>
      </c>
      <c r="J193" s="18">
        <f t="shared" si="10"/>
        <v>3555.63</v>
      </c>
      <c r="K193" s="18">
        <v>2777.04</v>
      </c>
      <c r="L193" s="18">
        <f t="shared" si="11"/>
        <v>778.59000000000015</v>
      </c>
      <c r="M193" s="3">
        <f t="shared" si="12"/>
        <v>0.2189738527349584</v>
      </c>
      <c r="N193" s="4">
        <f t="shared" si="13"/>
        <v>45962</v>
      </c>
      <c r="O193" t="str">
        <f t="shared" si="14"/>
        <v>Nov</v>
      </c>
    </row>
    <row r="194" spans="1:15" ht="15" customHeight="1" x14ac:dyDescent="0.25">
      <c r="A194" t="s">
        <v>231</v>
      </c>
      <c r="B194" s="2">
        <v>45753</v>
      </c>
      <c r="C194" t="s">
        <v>22</v>
      </c>
      <c r="D194" t="s">
        <v>17</v>
      </c>
      <c r="E194" t="s">
        <v>52</v>
      </c>
      <c r="F194" t="s">
        <v>27</v>
      </c>
      <c r="G194" t="s">
        <v>28</v>
      </c>
      <c r="H194">
        <v>2</v>
      </c>
      <c r="I194" s="18">
        <v>10436.75</v>
      </c>
      <c r="J194" s="18">
        <f t="shared" ref="J194:J257" si="15">H194*I194</f>
        <v>20873.5</v>
      </c>
      <c r="K194" s="18">
        <v>13785.07</v>
      </c>
      <c r="L194" s="18">
        <f t="shared" ref="L194:L257" si="16">J194-K194</f>
        <v>7088.43</v>
      </c>
      <c r="M194" s="3">
        <f t="shared" ref="M194:M257" si="17">IFERROR(L194/J194,0)</f>
        <v>0.33958991065226246</v>
      </c>
      <c r="N194" s="4">
        <f t="shared" ref="N194:N257" si="18">DATE(YEAR(B194),MONTH(B194),1)</f>
        <v>45748</v>
      </c>
      <c r="O194" t="str">
        <f t="shared" ref="O194:O257" si="19">TEXT(N194,"mmm")</f>
        <v>Apr</v>
      </c>
    </row>
    <row r="195" spans="1:15" ht="15" customHeight="1" x14ac:dyDescent="0.25">
      <c r="A195" t="s">
        <v>232</v>
      </c>
      <c r="B195" s="2">
        <v>45916</v>
      </c>
      <c r="C195" t="s">
        <v>26</v>
      </c>
      <c r="D195" t="s">
        <v>23</v>
      </c>
      <c r="E195" t="s">
        <v>18</v>
      </c>
      <c r="F195" t="s">
        <v>40</v>
      </c>
      <c r="G195" t="s">
        <v>20</v>
      </c>
      <c r="H195">
        <v>2</v>
      </c>
      <c r="I195" s="18">
        <v>1041.5</v>
      </c>
      <c r="J195" s="18">
        <f t="shared" si="15"/>
        <v>2083</v>
      </c>
      <c r="K195" s="18">
        <v>1573.64</v>
      </c>
      <c r="L195" s="18">
        <f t="shared" si="16"/>
        <v>509.3599999999999</v>
      </c>
      <c r="M195" s="3">
        <f t="shared" si="17"/>
        <v>0.24453192510801725</v>
      </c>
      <c r="N195" s="4">
        <f t="shared" si="18"/>
        <v>45901</v>
      </c>
      <c r="O195" t="str">
        <f t="shared" si="19"/>
        <v>Sep</v>
      </c>
    </row>
    <row r="196" spans="1:15" ht="15" customHeight="1" x14ac:dyDescent="0.25">
      <c r="A196" t="s">
        <v>233</v>
      </c>
      <c r="B196" s="2">
        <v>45830</v>
      </c>
      <c r="C196" t="s">
        <v>16</v>
      </c>
      <c r="D196" t="s">
        <v>17</v>
      </c>
      <c r="E196" t="s">
        <v>18</v>
      </c>
      <c r="F196" t="s">
        <v>27</v>
      </c>
      <c r="G196" t="s">
        <v>28</v>
      </c>
      <c r="H196">
        <v>7</v>
      </c>
      <c r="I196" s="18">
        <v>19498.91</v>
      </c>
      <c r="J196" s="18">
        <f t="shared" si="15"/>
        <v>136492.37</v>
      </c>
      <c r="K196" s="18">
        <v>96045.23</v>
      </c>
      <c r="L196" s="18">
        <f t="shared" si="16"/>
        <v>40447.14</v>
      </c>
      <c r="M196" s="3">
        <f t="shared" si="17"/>
        <v>0.29633260818901452</v>
      </c>
      <c r="N196" s="4">
        <f t="shared" si="18"/>
        <v>45809</v>
      </c>
      <c r="O196" t="str">
        <f t="shared" si="19"/>
        <v>Jun</v>
      </c>
    </row>
    <row r="197" spans="1:15" ht="15" customHeight="1" x14ac:dyDescent="0.25">
      <c r="A197" t="s">
        <v>234</v>
      </c>
      <c r="B197" s="2">
        <v>45752</v>
      </c>
      <c r="C197" t="s">
        <v>26</v>
      </c>
      <c r="D197" t="s">
        <v>17</v>
      </c>
      <c r="E197" t="s">
        <v>39</v>
      </c>
      <c r="F197" t="s">
        <v>35</v>
      </c>
      <c r="G197" t="s">
        <v>20</v>
      </c>
      <c r="H197">
        <v>1</v>
      </c>
      <c r="I197" s="18">
        <v>3380.16</v>
      </c>
      <c r="J197" s="18">
        <f t="shared" si="15"/>
        <v>3380.16</v>
      </c>
      <c r="K197" s="18">
        <v>2151.56</v>
      </c>
      <c r="L197" s="18">
        <f t="shared" si="16"/>
        <v>1228.5999999999999</v>
      </c>
      <c r="M197" s="3">
        <f t="shared" si="17"/>
        <v>0.36347391839439552</v>
      </c>
      <c r="N197" s="4">
        <f t="shared" si="18"/>
        <v>45748</v>
      </c>
      <c r="O197" t="str">
        <f t="shared" si="19"/>
        <v>Apr</v>
      </c>
    </row>
    <row r="198" spans="1:15" ht="15" customHeight="1" x14ac:dyDescent="0.25">
      <c r="A198" t="s">
        <v>235</v>
      </c>
      <c r="B198" s="2">
        <v>45956</v>
      </c>
      <c r="C198" t="s">
        <v>16</v>
      </c>
      <c r="D198" t="s">
        <v>17</v>
      </c>
      <c r="E198" t="s">
        <v>39</v>
      </c>
      <c r="F198" t="s">
        <v>62</v>
      </c>
      <c r="G198" t="s">
        <v>20</v>
      </c>
      <c r="H198">
        <v>6</v>
      </c>
      <c r="I198" s="18">
        <v>3159.28</v>
      </c>
      <c r="J198" s="18">
        <f t="shared" si="15"/>
        <v>18955.68</v>
      </c>
      <c r="K198" s="18">
        <v>11276.92</v>
      </c>
      <c r="L198" s="18">
        <f t="shared" si="16"/>
        <v>7678.76</v>
      </c>
      <c r="M198" s="3">
        <f t="shared" si="17"/>
        <v>0.40509018932583796</v>
      </c>
      <c r="N198" s="4">
        <f t="shared" si="18"/>
        <v>45931</v>
      </c>
      <c r="O198" t="str">
        <f t="shared" si="19"/>
        <v>Oct</v>
      </c>
    </row>
    <row r="199" spans="1:15" ht="15" customHeight="1" x14ac:dyDescent="0.25">
      <c r="A199" t="s">
        <v>236</v>
      </c>
      <c r="B199" s="2">
        <v>45739</v>
      </c>
      <c r="C199" t="s">
        <v>26</v>
      </c>
      <c r="D199" t="s">
        <v>23</v>
      </c>
      <c r="E199" t="s">
        <v>52</v>
      </c>
      <c r="F199" t="s">
        <v>43</v>
      </c>
      <c r="G199" t="s">
        <v>44</v>
      </c>
      <c r="H199">
        <v>2</v>
      </c>
      <c r="I199" s="18">
        <v>982.52</v>
      </c>
      <c r="J199" s="18">
        <f t="shared" si="15"/>
        <v>1965.04</v>
      </c>
      <c r="K199" s="18">
        <v>1583.34</v>
      </c>
      <c r="L199" s="18">
        <f t="shared" si="16"/>
        <v>381.70000000000005</v>
      </c>
      <c r="M199" s="3">
        <f t="shared" si="17"/>
        <v>0.19424540976265117</v>
      </c>
      <c r="N199" s="4">
        <f t="shared" si="18"/>
        <v>45717</v>
      </c>
      <c r="O199" t="str">
        <f t="shared" si="19"/>
        <v>Mar</v>
      </c>
    </row>
    <row r="200" spans="1:15" ht="15" customHeight="1" x14ac:dyDescent="0.25">
      <c r="A200" t="s">
        <v>237</v>
      </c>
      <c r="B200" s="2">
        <v>45726</v>
      </c>
      <c r="C200" t="s">
        <v>22</v>
      </c>
      <c r="D200" t="s">
        <v>23</v>
      </c>
      <c r="E200" t="s">
        <v>52</v>
      </c>
      <c r="F200" t="s">
        <v>40</v>
      </c>
      <c r="G200" t="s">
        <v>20</v>
      </c>
      <c r="H200">
        <v>6</v>
      </c>
      <c r="I200" s="18">
        <v>997.92</v>
      </c>
      <c r="J200" s="18">
        <f t="shared" si="15"/>
        <v>5987.5199999999995</v>
      </c>
      <c r="K200" s="18">
        <v>4262.01</v>
      </c>
      <c r="L200" s="18">
        <f t="shared" si="16"/>
        <v>1725.5099999999993</v>
      </c>
      <c r="M200" s="3">
        <f t="shared" si="17"/>
        <v>0.2881844236010902</v>
      </c>
      <c r="N200" s="4">
        <f t="shared" si="18"/>
        <v>45717</v>
      </c>
      <c r="O200" t="str">
        <f t="shared" si="19"/>
        <v>Mar</v>
      </c>
    </row>
    <row r="201" spans="1:15" ht="15" customHeight="1" x14ac:dyDescent="0.25">
      <c r="A201" t="s">
        <v>238</v>
      </c>
      <c r="B201" s="2">
        <v>46006</v>
      </c>
      <c r="C201" t="s">
        <v>16</v>
      </c>
      <c r="D201" t="s">
        <v>23</v>
      </c>
      <c r="E201" t="s">
        <v>33</v>
      </c>
      <c r="F201" t="s">
        <v>62</v>
      </c>
      <c r="G201" t="s">
        <v>20</v>
      </c>
      <c r="H201">
        <v>8</v>
      </c>
      <c r="I201" s="18">
        <v>1578.85</v>
      </c>
      <c r="J201" s="18">
        <f t="shared" si="15"/>
        <v>12630.8</v>
      </c>
      <c r="K201" s="18">
        <v>8422.58</v>
      </c>
      <c r="L201" s="18">
        <f t="shared" si="16"/>
        <v>4208.2199999999993</v>
      </c>
      <c r="M201" s="3">
        <f t="shared" si="17"/>
        <v>0.33317129556322639</v>
      </c>
      <c r="N201" s="4">
        <f t="shared" si="18"/>
        <v>45992</v>
      </c>
      <c r="O201" t="str">
        <f t="shared" si="19"/>
        <v>Dec</v>
      </c>
    </row>
    <row r="202" spans="1:15" ht="15" customHeight="1" x14ac:dyDescent="0.25">
      <c r="A202" t="s">
        <v>239</v>
      </c>
      <c r="B202" s="2">
        <v>45916</v>
      </c>
      <c r="C202" t="s">
        <v>31</v>
      </c>
      <c r="D202" t="s">
        <v>17</v>
      </c>
      <c r="E202" t="s">
        <v>18</v>
      </c>
      <c r="F202" t="s">
        <v>53</v>
      </c>
      <c r="G202" t="s">
        <v>44</v>
      </c>
      <c r="H202">
        <v>6</v>
      </c>
      <c r="I202" s="18">
        <v>2277.8000000000002</v>
      </c>
      <c r="J202" s="18">
        <f t="shared" si="15"/>
        <v>13666.800000000001</v>
      </c>
      <c r="K202" s="18">
        <v>9376</v>
      </c>
      <c r="L202" s="18">
        <f t="shared" si="16"/>
        <v>4290.8000000000011</v>
      </c>
      <c r="M202" s="3">
        <f t="shared" si="17"/>
        <v>0.31395791260573075</v>
      </c>
      <c r="N202" s="4">
        <f t="shared" si="18"/>
        <v>45901</v>
      </c>
      <c r="O202" t="str">
        <f t="shared" si="19"/>
        <v>Sep</v>
      </c>
    </row>
    <row r="203" spans="1:15" ht="15" customHeight="1" x14ac:dyDescent="0.25">
      <c r="A203" t="s">
        <v>240</v>
      </c>
      <c r="B203" s="2">
        <v>45919</v>
      </c>
      <c r="C203" t="s">
        <v>22</v>
      </c>
      <c r="D203" t="s">
        <v>17</v>
      </c>
      <c r="E203" t="s">
        <v>18</v>
      </c>
      <c r="F203" t="s">
        <v>40</v>
      </c>
      <c r="G203" t="s">
        <v>20</v>
      </c>
      <c r="H203">
        <v>7</v>
      </c>
      <c r="I203" s="18">
        <v>381.67</v>
      </c>
      <c r="J203" s="18">
        <f t="shared" si="15"/>
        <v>2671.69</v>
      </c>
      <c r="K203" s="18">
        <v>1586.6</v>
      </c>
      <c r="L203" s="18">
        <f t="shared" si="16"/>
        <v>1085.0900000000001</v>
      </c>
      <c r="M203" s="3">
        <f t="shared" si="17"/>
        <v>0.40614367684873626</v>
      </c>
      <c r="N203" s="4">
        <f t="shared" si="18"/>
        <v>45901</v>
      </c>
      <c r="O203" t="str">
        <f t="shared" si="19"/>
        <v>Sep</v>
      </c>
    </row>
    <row r="204" spans="1:15" ht="15" customHeight="1" x14ac:dyDescent="0.25">
      <c r="A204" t="s">
        <v>241</v>
      </c>
      <c r="B204" s="2">
        <v>45860</v>
      </c>
      <c r="C204" t="s">
        <v>16</v>
      </c>
      <c r="D204" t="s">
        <v>23</v>
      </c>
      <c r="E204" t="s">
        <v>18</v>
      </c>
      <c r="F204" t="s">
        <v>27</v>
      </c>
      <c r="G204" t="s">
        <v>28</v>
      </c>
      <c r="H204">
        <v>2</v>
      </c>
      <c r="I204" s="18">
        <v>8226.07</v>
      </c>
      <c r="J204" s="18">
        <f t="shared" si="15"/>
        <v>16452.14</v>
      </c>
      <c r="K204" s="18">
        <v>10902.62</v>
      </c>
      <c r="L204" s="18">
        <f t="shared" si="16"/>
        <v>5549.5199999999986</v>
      </c>
      <c r="M204" s="3">
        <f t="shared" si="17"/>
        <v>0.33731295746328432</v>
      </c>
      <c r="N204" s="4">
        <f t="shared" si="18"/>
        <v>45839</v>
      </c>
      <c r="O204" t="str">
        <f t="shared" si="19"/>
        <v>Jul</v>
      </c>
    </row>
    <row r="205" spans="1:15" ht="15" customHeight="1" x14ac:dyDescent="0.25">
      <c r="A205" t="s">
        <v>242</v>
      </c>
      <c r="B205" s="2">
        <v>45899</v>
      </c>
      <c r="C205" t="s">
        <v>22</v>
      </c>
      <c r="D205" t="s">
        <v>17</v>
      </c>
      <c r="E205" t="s">
        <v>24</v>
      </c>
      <c r="F205" t="s">
        <v>37</v>
      </c>
      <c r="G205" t="s">
        <v>20</v>
      </c>
      <c r="H205">
        <v>3</v>
      </c>
      <c r="I205" s="18">
        <v>14431.53</v>
      </c>
      <c r="J205" s="18">
        <f t="shared" si="15"/>
        <v>43294.590000000004</v>
      </c>
      <c r="K205" s="18">
        <v>35276.43</v>
      </c>
      <c r="L205" s="18">
        <f t="shared" si="16"/>
        <v>8018.1600000000035</v>
      </c>
      <c r="M205" s="3">
        <f t="shared" si="17"/>
        <v>0.1852000446245132</v>
      </c>
      <c r="N205" s="4">
        <f t="shared" si="18"/>
        <v>45870</v>
      </c>
      <c r="O205" t="str">
        <f t="shared" si="19"/>
        <v>Aug</v>
      </c>
    </row>
    <row r="206" spans="1:15" ht="15" customHeight="1" x14ac:dyDescent="0.25">
      <c r="A206" t="s">
        <v>243</v>
      </c>
      <c r="B206" s="2">
        <v>45887</v>
      </c>
      <c r="C206" t="s">
        <v>31</v>
      </c>
      <c r="D206" t="s">
        <v>17</v>
      </c>
      <c r="E206" t="s">
        <v>33</v>
      </c>
      <c r="F206" t="s">
        <v>43</v>
      </c>
      <c r="G206" t="s">
        <v>44</v>
      </c>
      <c r="H206">
        <v>3</v>
      </c>
      <c r="I206" s="18">
        <v>978.14</v>
      </c>
      <c r="J206" s="18">
        <f t="shared" si="15"/>
        <v>2934.42</v>
      </c>
      <c r="K206" s="18">
        <v>1946.88</v>
      </c>
      <c r="L206" s="18">
        <f t="shared" si="16"/>
        <v>987.54</v>
      </c>
      <c r="M206" s="3">
        <f t="shared" si="17"/>
        <v>0.336536692089067</v>
      </c>
      <c r="N206" s="4">
        <f t="shared" si="18"/>
        <v>45870</v>
      </c>
      <c r="O206" t="str">
        <f t="shared" si="19"/>
        <v>Aug</v>
      </c>
    </row>
    <row r="207" spans="1:15" ht="15" customHeight="1" x14ac:dyDescent="0.25">
      <c r="A207" t="s">
        <v>244</v>
      </c>
      <c r="B207" s="2">
        <v>45723</v>
      </c>
      <c r="C207" t="s">
        <v>22</v>
      </c>
      <c r="D207" t="s">
        <v>23</v>
      </c>
      <c r="E207" t="s">
        <v>52</v>
      </c>
      <c r="F207" t="s">
        <v>53</v>
      </c>
      <c r="G207" t="s">
        <v>44</v>
      </c>
      <c r="H207">
        <v>8</v>
      </c>
      <c r="I207" s="18">
        <v>1123.68</v>
      </c>
      <c r="J207" s="18">
        <f t="shared" si="15"/>
        <v>8989.44</v>
      </c>
      <c r="K207" s="18">
        <v>6388.5</v>
      </c>
      <c r="L207" s="18">
        <f t="shared" si="16"/>
        <v>2600.9400000000005</v>
      </c>
      <c r="M207" s="3">
        <f t="shared" si="17"/>
        <v>0.2893328171721487</v>
      </c>
      <c r="N207" s="4">
        <f t="shared" si="18"/>
        <v>45717</v>
      </c>
      <c r="O207" t="str">
        <f t="shared" si="19"/>
        <v>Mar</v>
      </c>
    </row>
    <row r="208" spans="1:15" ht="15" customHeight="1" x14ac:dyDescent="0.25">
      <c r="A208" t="s">
        <v>245</v>
      </c>
      <c r="B208" s="2">
        <v>45893</v>
      </c>
      <c r="C208" t="s">
        <v>16</v>
      </c>
      <c r="D208" t="s">
        <v>23</v>
      </c>
      <c r="E208" t="s">
        <v>52</v>
      </c>
      <c r="F208" t="s">
        <v>46</v>
      </c>
      <c r="G208" t="s">
        <v>28</v>
      </c>
      <c r="H208">
        <v>2</v>
      </c>
      <c r="I208" s="18">
        <v>10461.26</v>
      </c>
      <c r="J208" s="18">
        <f t="shared" si="15"/>
        <v>20922.52</v>
      </c>
      <c r="K208" s="18">
        <v>15450.18</v>
      </c>
      <c r="L208" s="18">
        <f t="shared" si="16"/>
        <v>5472.34</v>
      </c>
      <c r="M208" s="3">
        <f t="shared" si="17"/>
        <v>0.26155262368013033</v>
      </c>
      <c r="N208" s="4">
        <f t="shared" si="18"/>
        <v>45870</v>
      </c>
      <c r="O208" t="str">
        <f t="shared" si="19"/>
        <v>Aug</v>
      </c>
    </row>
    <row r="209" spans="1:15" ht="15" customHeight="1" x14ac:dyDescent="0.25">
      <c r="A209" t="s">
        <v>246</v>
      </c>
      <c r="B209" s="2">
        <v>45692</v>
      </c>
      <c r="C209" t="s">
        <v>22</v>
      </c>
      <c r="D209" t="s">
        <v>23</v>
      </c>
      <c r="E209" t="s">
        <v>33</v>
      </c>
      <c r="F209" t="s">
        <v>19</v>
      </c>
      <c r="G209" t="s">
        <v>20</v>
      </c>
      <c r="H209">
        <v>1</v>
      </c>
      <c r="I209" s="18">
        <v>1115.01</v>
      </c>
      <c r="J209" s="18">
        <f t="shared" si="15"/>
        <v>1115.01</v>
      </c>
      <c r="K209" s="18">
        <v>658.54</v>
      </c>
      <c r="L209" s="18">
        <f t="shared" si="16"/>
        <v>456.47</v>
      </c>
      <c r="M209" s="3">
        <f t="shared" si="17"/>
        <v>0.40938646290167802</v>
      </c>
      <c r="N209" s="4">
        <f t="shared" si="18"/>
        <v>45689</v>
      </c>
      <c r="O209" t="str">
        <f t="shared" si="19"/>
        <v>Feb</v>
      </c>
    </row>
    <row r="210" spans="1:15" ht="15" customHeight="1" x14ac:dyDescent="0.25">
      <c r="A210" t="s">
        <v>247</v>
      </c>
      <c r="B210" s="2">
        <v>45769</v>
      </c>
      <c r="C210" t="s">
        <v>26</v>
      </c>
      <c r="D210" t="s">
        <v>23</v>
      </c>
      <c r="E210" t="s">
        <v>39</v>
      </c>
      <c r="F210" t="s">
        <v>37</v>
      </c>
      <c r="G210" t="s">
        <v>20</v>
      </c>
      <c r="H210">
        <v>6</v>
      </c>
      <c r="I210" s="18">
        <v>11470.02</v>
      </c>
      <c r="J210" s="18">
        <f t="shared" si="15"/>
        <v>68820.12</v>
      </c>
      <c r="K210" s="18">
        <v>52675.55</v>
      </c>
      <c r="L210" s="18">
        <f t="shared" si="16"/>
        <v>16144.569999999992</v>
      </c>
      <c r="M210" s="3">
        <f t="shared" si="17"/>
        <v>0.23459084349169973</v>
      </c>
      <c r="N210" s="4">
        <f t="shared" si="18"/>
        <v>45748</v>
      </c>
      <c r="O210" t="str">
        <f t="shared" si="19"/>
        <v>Apr</v>
      </c>
    </row>
    <row r="211" spans="1:15" ht="15" customHeight="1" x14ac:dyDescent="0.25">
      <c r="A211" t="s">
        <v>248</v>
      </c>
      <c r="B211" s="2">
        <v>45731</v>
      </c>
      <c r="C211" t="s">
        <v>31</v>
      </c>
      <c r="D211" t="s">
        <v>17</v>
      </c>
      <c r="E211" t="s">
        <v>33</v>
      </c>
      <c r="F211" t="s">
        <v>50</v>
      </c>
      <c r="G211" t="s">
        <v>28</v>
      </c>
      <c r="H211">
        <v>5</v>
      </c>
      <c r="I211" s="18">
        <v>508.09</v>
      </c>
      <c r="J211" s="18">
        <f t="shared" si="15"/>
        <v>2540.4499999999998</v>
      </c>
      <c r="K211" s="18">
        <v>2051.7800000000002</v>
      </c>
      <c r="L211" s="18">
        <f t="shared" si="16"/>
        <v>488.66999999999962</v>
      </c>
      <c r="M211" s="3">
        <f t="shared" si="17"/>
        <v>0.19235568501643396</v>
      </c>
      <c r="N211" s="4">
        <f t="shared" si="18"/>
        <v>45717</v>
      </c>
      <c r="O211" t="str">
        <f t="shared" si="19"/>
        <v>Mar</v>
      </c>
    </row>
    <row r="212" spans="1:15" ht="15" customHeight="1" x14ac:dyDescent="0.25">
      <c r="A212" t="s">
        <v>249</v>
      </c>
      <c r="B212" s="2">
        <v>45911</v>
      </c>
      <c r="C212" t="s">
        <v>26</v>
      </c>
      <c r="D212" t="s">
        <v>17</v>
      </c>
      <c r="E212" t="s">
        <v>52</v>
      </c>
      <c r="F212" t="s">
        <v>37</v>
      </c>
      <c r="G212" t="s">
        <v>20</v>
      </c>
      <c r="H212">
        <v>6</v>
      </c>
      <c r="I212" s="18">
        <v>15216.87</v>
      </c>
      <c r="J212" s="18">
        <f t="shared" si="15"/>
        <v>91301.22</v>
      </c>
      <c r="K212" s="18">
        <v>61900.6</v>
      </c>
      <c r="L212" s="18">
        <f t="shared" si="16"/>
        <v>29400.620000000003</v>
      </c>
      <c r="M212" s="3">
        <f t="shared" si="17"/>
        <v>0.3220178218867174</v>
      </c>
      <c r="N212" s="4">
        <f t="shared" si="18"/>
        <v>45901</v>
      </c>
      <c r="O212" t="str">
        <f t="shared" si="19"/>
        <v>Sep</v>
      </c>
    </row>
    <row r="213" spans="1:15" ht="15" customHeight="1" x14ac:dyDescent="0.25">
      <c r="A213" t="s">
        <v>250</v>
      </c>
      <c r="B213" s="2">
        <v>45933</v>
      </c>
      <c r="C213" t="s">
        <v>22</v>
      </c>
      <c r="D213" t="s">
        <v>17</v>
      </c>
      <c r="E213" t="s">
        <v>33</v>
      </c>
      <c r="F213" t="s">
        <v>40</v>
      </c>
      <c r="G213" t="s">
        <v>20</v>
      </c>
      <c r="H213">
        <v>3</v>
      </c>
      <c r="I213" s="18">
        <v>591.05999999999995</v>
      </c>
      <c r="J213" s="18">
        <f t="shared" si="15"/>
        <v>1773.1799999999998</v>
      </c>
      <c r="K213" s="18">
        <v>1417.72</v>
      </c>
      <c r="L213" s="18">
        <f t="shared" si="16"/>
        <v>355.45999999999981</v>
      </c>
      <c r="M213" s="3">
        <f t="shared" si="17"/>
        <v>0.200464701835121</v>
      </c>
      <c r="N213" s="4">
        <f t="shared" si="18"/>
        <v>45931</v>
      </c>
      <c r="O213" t="str">
        <f t="shared" si="19"/>
        <v>Oct</v>
      </c>
    </row>
    <row r="214" spans="1:15" ht="15" customHeight="1" x14ac:dyDescent="0.25">
      <c r="A214" t="s">
        <v>251</v>
      </c>
      <c r="B214" s="2">
        <v>45929</v>
      </c>
      <c r="C214" t="s">
        <v>22</v>
      </c>
      <c r="D214" t="s">
        <v>17</v>
      </c>
      <c r="E214" t="s">
        <v>18</v>
      </c>
      <c r="F214" t="s">
        <v>35</v>
      </c>
      <c r="G214" t="s">
        <v>20</v>
      </c>
      <c r="H214">
        <v>4</v>
      </c>
      <c r="I214" s="18">
        <v>2790.93</v>
      </c>
      <c r="J214" s="18">
        <f t="shared" si="15"/>
        <v>11163.72</v>
      </c>
      <c r="K214" s="18">
        <v>6686.81</v>
      </c>
      <c r="L214" s="18">
        <f t="shared" si="16"/>
        <v>4476.9099999999989</v>
      </c>
      <c r="M214" s="3">
        <f t="shared" si="17"/>
        <v>0.40102313565728981</v>
      </c>
      <c r="N214" s="4">
        <f t="shared" si="18"/>
        <v>45901</v>
      </c>
      <c r="O214" t="str">
        <f t="shared" si="19"/>
        <v>Sep</v>
      </c>
    </row>
    <row r="215" spans="1:15" ht="15" customHeight="1" x14ac:dyDescent="0.25">
      <c r="A215" t="s">
        <v>252</v>
      </c>
      <c r="B215" s="2">
        <v>45932</v>
      </c>
      <c r="C215" t="s">
        <v>31</v>
      </c>
      <c r="D215" t="s">
        <v>17</v>
      </c>
      <c r="E215" t="s">
        <v>52</v>
      </c>
      <c r="F215" t="s">
        <v>53</v>
      </c>
      <c r="G215" t="s">
        <v>44</v>
      </c>
      <c r="H215">
        <v>1</v>
      </c>
      <c r="I215" s="18">
        <v>3330.57</v>
      </c>
      <c r="J215" s="18">
        <f t="shared" si="15"/>
        <v>3330.57</v>
      </c>
      <c r="K215" s="18">
        <v>2082.14</v>
      </c>
      <c r="L215" s="18">
        <f t="shared" si="16"/>
        <v>1248.4300000000003</v>
      </c>
      <c r="M215" s="3">
        <f t="shared" si="17"/>
        <v>0.37483974214623927</v>
      </c>
      <c r="N215" s="4">
        <f t="shared" si="18"/>
        <v>45931</v>
      </c>
      <c r="O215" t="str">
        <f t="shared" si="19"/>
        <v>Oct</v>
      </c>
    </row>
    <row r="216" spans="1:15" ht="15" customHeight="1" x14ac:dyDescent="0.25">
      <c r="A216" t="s">
        <v>253</v>
      </c>
      <c r="B216" s="2">
        <v>45828</v>
      </c>
      <c r="C216" t="s">
        <v>31</v>
      </c>
      <c r="D216" t="s">
        <v>23</v>
      </c>
      <c r="E216" t="s">
        <v>24</v>
      </c>
      <c r="F216" t="s">
        <v>27</v>
      </c>
      <c r="G216" t="s">
        <v>28</v>
      </c>
      <c r="H216">
        <v>2</v>
      </c>
      <c r="I216" s="18">
        <v>9707.7800000000007</v>
      </c>
      <c r="J216" s="18">
        <f t="shared" si="15"/>
        <v>19415.560000000001</v>
      </c>
      <c r="K216" s="18">
        <v>14776.01</v>
      </c>
      <c r="L216" s="18">
        <f t="shared" si="16"/>
        <v>4639.5500000000011</v>
      </c>
      <c r="M216" s="3">
        <f t="shared" si="17"/>
        <v>0.23896040083314624</v>
      </c>
      <c r="N216" s="4">
        <f t="shared" si="18"/>
        <v>45809</v>
      </c>
      <c r="O216" t="str">
        <f t="shared" si="19"/>
        <v>Jun</v>
      </c>
    </row>
    <row r="217" spans="1:15" ht="15" customHeight="1" x14ac:dyDescent="0.25">
      <c r="A217" t="s">
        <v>254</v>
      </c>
      <c r="B217" s="2">
        <v>45780</v>
      </c>
      <c r="C217" t="s">
        <v>26</v>
      </c>
      <c r="D217" t="s">
        <v>17</v>
      </c>
      <c r="E217" t="s">
        <v>33</v>
      </c>
      <c r="F217" t="s">
        <v>50</v>
      </c>
      <c r="G217" t="s">
        <v>28</v>
      </c>
      <c r="H217">
        <v>8</v>
      </c>
      <c r="I217" s="18">
        <v>643.29999999999995</v>
      </c>
      <c r="J217" s="18">
        <f t="shared" si="15"/>
        <v>5146.3999999999996</v>
      </c>
      <c r="K217" s="18">
        <v>3428.65</v>
      </c>
      <c r="L217" s="18">
        <f t="shared" si="16"/>
        <v>1717.7499999999995</v>
      </c>
      <c r="M217" s="3">
        <f t="shared" si="17"/>
        <v>0.33377700917145958</v>
      </c>
      <c r="N217" s="4">
        <f t="shared" si="18"/>
        <v>45778</v>
      </c>
      <c r="O217" t="str">
        <f t="shared" si="19"/>
        <v>May</v>
      </c>
    </row>
    <row r="218" spans="1:15" ht="15" customHeight="1" x14ac:dyDescent="0.25">
      <c r="A218" t="s">
        <v>255</v>
      </c>
      <c r="B218" s="2">
        <v>45912</v>
      </c>
      <c r="C218" t="s">
        <v>22</v>
      </c>
      <c r="D218" t="s">
        <v>23</v>
      </c>
      <c r="E218" t="s">
        <v>33</v>
      </c>
      <c r="F218" t="s">
        <v>40</v>
      </c>
      <c r="G218" t="s">
        <v>20</v>
      </c>
      <c r="H218">
        <v>6</v>
      </c>
      <c r="I218" s="18">
        <v>1114.27</v>
      </c>
      <c r="J218" s="18">
        <f t="shared" si="15"/>
        <v>6685.62</v>
      </c>
      <c r="K218" s="18">
        <v>4472.47</v>
      </c>
      <c r="L218" s="18">
        <f t="shared" si="16"/>
        <v>2213.1499999999996</v>
      </c>
      <c r="M218" s="3">
        <f t="shared" si="17"/>
        <v>0.33103137779293462</v>
      </c>
      <c r="N218" s="4">
        <f t="shared" si="18"/>
        <v>45901</v>
      </c>
      <c r="O218" t="str">
        <f t="shared" si="19"/>
        <v>Sep</v>
      </c>
    </row>
    <row r="219" spans="1:15" ht="15" customHeight="1" x14ac:dyDescent="0.25">
      <c r="A219" t="s">
        <v>256</v>
      </c>
      <c r="B219" s="2">
        <v>45771</v>
      </c>
      <c r="C219" t="s">
        <v>31</v>
      </c>
      <c r="D219" t="s">
        <v>17</v>
      </c>
      <c r="E219" t="s">
        <v>33</v>
      </c>
      <c r="F219" t="s">
        <v>35</v>
      </c>
      <c r="G219" t="s">
        <v>20</v>
      </c>
      <c r="H219">
        <v>7</v>
      </c>
      <c r="I219" s="18">
        <v>2911.64</v>
      </c>
      <c r="J219" s="18">
        <f t="shared" si="15"/>
        <v>20381.48</v>
      </c>
      <c r="K219" s="18">
        <v>12780.94</v>
      </c>
      <c r="L219" s="18">
        <f t="shared" si="16"/>
        <v>7600.5399999999991</v>
      </c>
      <c r="M219" s="3">
        <f t="shared" si="17"/>
        <v>0.37291403764594128</v>
      </c>
      <c r="N219" s="4">
        <f t="shared" si="18"/>
        <v>45748</v>
      </c>
      <c r="O219" t="str">
        <f t="shared" si="19"/>
        <v>Apr</v>
      </c>
    </row>
    <row r="220" spans="1:15" ht="15" customHeight="1" x14ac:dyDescent="0.25">
      <c r="A220" t="s">
        <v>257</v>
      </c>
      <c r="B220" s="2">
        <v>45783</v>
      </c>
      <c r="C220" t="s">
        <v>22</v>
      </c>
      <c r="D220" t="s">
        <v>17</v>
      </c>
      <c r="E220" t="s">
        <v>52</v>
      </c>
      <c r="F220" t="s">
        <v>40</v>
      </c>
      <c r="G220" t="s">
        <v>20</v>
      </c>
      <c r="H220">
        <v>8</v>
      </c>
      <c r="I220" s="18">
        <v>560.86</v>
      </c>
      <c r="J220" s="18">
        <f t="shared" si="15"/>
        <v>4486.88</v>
      </c>
      <c r="K220" s="18">
        <v>3293.4</v>
      </c>
      <c r="L220" s="18">
        <f t="shared" si="16"/>
        <v>1193.48</v>
      </c>
      <c r="M220" s="3">
        <f t="shared" si="17"/>
        <v>0.2659932960096994</v>
      </c>
      <c r="N220" s="4">
        <f t="shared" si="18"/>
        <v>45778</v>
      </c>
      <c r="O220" t="str">
        <f t="shared" si="19"/>
        <v>May</v>
      </c>
    </row>
    <row r="221" spans="1:15" ht="15" customHeight="1" x14ac:dyDescent="0.25">
      <c r="A221" t="s">
        <v>258</v>
      </c>
      <c r="B221" s="2">
        <v>45838</v>
      </c>
      <c r="C221" t="s">
        <v>16</v>
      </c>
      <c r="D221" t="s">
        <v>23</v>
      </c>
      <c r="E221" t="s">
        <v>18</v>
      </c>
      <c r="F221" t="s">
        <v>35</v>
      </c>
      <c r="G221" t="s">
        <v>20</v>
      </c>
      <c r="H221">
        <v>1</v>
      </c>
      <c r="I221" s="18">
        <v>4923.47</v>
      </c>
      <c r="J221" s="18">
        <f t="shared" si="15"/>
        <v>4923.47</v>
      </c>
      <c r="K221" s="18">
        <v>3847.08</v>
      </c>
      <c r="L221" s="18">
        <f t="shared" si="16"/>
        <v>1076.3900000000003</v>
      </c>
      <c r="M221" s="3">
        <f t="shared" si="17"/>
        <v>0.21862426296900361</v>
      </c>
      <c r="N221" s="4">
        <f t="shared" si="18"/>
        <v>45809</v>
      </c>
      <c r="O221" t="str">
        <f t="shared" si="19"/>
        <v>Jun</v>
      </c>
    </row>
    <row r="222" spans="1:15" ht="15" customHeight="1" x14ac:dyDescent="0.25">
      <c r="A222" t="s">
        <v>259</v>
      </c>
      <c r="B222" s="2">
        <v>45869</v>
      </c>
      <c r="C222" t="s">
        <v>26</v>
      </c>
      <c r="D222" t="s">
        <v>23</v>
      </c>
      <c r="E222" t="s">
        <v>33</v>
      </c>
      <c r="F222" t="s">
        <v>35</v>
      </c>
      <c r="G222" t="s">
        <v>20</v>
      </c>
      <c r="H222">
        <v>3</v>
      </c>
      <c r="I222" s="18">
        <v>2520.61</v>
      </c>
      <c r="J222" s="18">
        <f t="shared" si="15"/>
        <v>7561.83</v>
      </c>
      <c r="K222" s="18">
        <v>5303.69</v>
      </c>
      <c r="L222" s="18">
        <f t="shared" si="16"/>
        <v>2258.1400000000003</v>
      </c>
      <c r="M222" s="3">
        <f t="shared" si="17"/>
        <v>0.29862348135305877</v>
      </c>
      <c r="N222" s="4">
        <f t="shared" si="18"/>
        <v>45839</v>
      </c>
      <c r="O222" t="str">
        <f t="shared" si="19"/>
        <v>Jul</v>
      </c>
    </row>
    <row r="223" spans="1:15" ht="15" customHeight="1" x14ac:dyDescent="0.25">
      <c r="A223" t="s">
        <v>260</v>
      </c>
      <c r="B223" s="2">
        <v>45984</v>
      </c>
      <c r="C223" t="s">
        <v>16</v>
      </c>
      <c r="D223" t="s">
        <v>17</v>
      </c>
      <c r="E223" t="s">
        <v>33</v>
      </c>
      <c r="F223" t="s">
        <v>62</v>
      </c>
      <c r="G223" t="s">
        <v>20</v>
      </c>
      <c r="H223">
        <v>1</v>
      </c>
      <c r="I223" s="18">
        <v>4927.54</v>
      </c>
      <c r="J223" s="18">
        <f t="shared" si="15"/>
        <v>4927.54</v>
      </c>
      <c r="K223" s="18">
        <v>3344.43</v>
      </c>
      <c r="L223" s="18">
        <f t="shared" si="16"/>
        <v>1583.1100000000001</v>
      </c>
      <c r="M223" s="3">
        <f t="shared" si="17"/>
        <v>0.32127796019920696</v>
      </c>
      <c r="N223" s="4">
        <f t="shared" si="18"/>
        <v>45962</v>
      </c>
      <c r="O223" t="str">
        <f t="shared" si="19"/>
        <v>Nov</v>
      </c>
    </row>
    <row r="224" spans="1:15" ht="15" customHeight="1" x14ac:dyDescent="0.25">
      <c r="A224" t="s">
        <v>261</v>
      </c>
      <c r="B224" s="2">
        <v>45804</v>
      </c>
      <c r="C224" t="s">
        <v>31</v>
      </c>
      <c r="D224" t="s">
        <v>23</v>
      </c>
      <c r="E224" t="s">
        <v>52</v>
      </c>
      <c r="F224" t="s">
        <v>37</v>
      </c>
      <c r="G224" t="s">
        <v>20</v>
      </c>
      <c r="H224">
        <v>3</v>
      </c>
      <c r="I224" s="18">
        <v>15873.94</v>
      </c>
      <c r="J224" s="18">
        <f t="shared" si="15"/>
        <v>47621.82</v>
      </c>
      <c r="K224" s="18">
        <v>28721.45</v>
      </c>
      <c r="L224" s="18">
        <f t="shared" si="16"/>
        <v>18900.37</v>
      </c>
      <c r="M224" s="3">
        <f t="shared" si="17"/>
        <v>0.39688466337489831</v>
      </c>
      <c r="N224" s="4">
        <f t="shared" si="18"/>
        <v>45778</v>
      </c>
      <c r="O224" t="str">
        <f t="shared" si="19"/>
        <v>May</v>
      </c>
    </row>
    <row r="225" spans="1:15" ht="15" customHeight="1" x14ac:dyDescent="0.25">
      <c r="A225" t="s">
        <v>262</v>
      </c>
      <c r="B225" s="2">
        <v>45975</v>
      </c>
      <c r="C225" t="s">
        <v>22</v>
      </c>
      <c r="D225" t="s">
        <v>23</v>
      </c>
      <c r="E225" t="s">
        <v>52</v>
      </c>
      <c r="F225" t="s">
        <v>50</v>
      </c>
      <c r="G225" t="s">
        <v>28</v>
      </c>
      <c r="H225">
        <v>7</v>
      </c>
      <c r="I225" s="18">
        <v>478.97</v>
      </c>
      <c r="J225" s="18">
        <f t="shared" si="15"/>
        <v>3352.79</v>
      </c>
      <c r="K225" s="18">
        <v>2716.54</v>
      </c>
      <c r="L225" s="18">
        <f t="shared" si="16"/>
        <v>636.25</v>
      </c>
      <c r="M225" s="3">
        <f t="shared" si="17"/>
        <v>0.18976732810584618</v>
      </c>
      <c r="N225" s="4">
        <f t="shared" si="18"/>
        <v>45962</v>
      </c>
      <c r="O225" t="str">
        <f t="shared" si="19"/>
        <v>Nov</v>
      </c>
    </row>
    <row r="226" spans="1:15" ht="15" customHeight="1" x14ac:dyDescent="0.25">
      <c r="A226" t="s">
        <v>263</v>
      </c>
      <c r="B226" s="2">
        <v>45811</v>
      </c>
      <c r="C226" t="s">
        <v>16</v>
      </c>
      <c r="D226" t="s">
        <v>23</v>
      </c>
      <c r="E226" t="s">
        <v>52</v>
      </c>
      <c r="F226" t="s">
        <v>19</v>
      </c>
      <c r="G226" t="s">
        <v>20</v>
      </c>
      <c r="H226">
        <v>7</v>
      </c>
      <c r="I226" s="18">
        <v>1131.01</v>
      </c>
      <c r="J226" s="18">
        <f t="shared" si="15"/>
        <v>7917.07</v>
      </c>
      <c r="K226" s="18">
        <v>5642.09</v>
      </c>
      <c r="L226" s="18">
        <f t="shared" si="16"/>
        <v>2274.9799999999996</v>
      </c>
      <c r="M226" s="3">
        <f t="shared" si="17"/>
        <v>0.28735125494659003</v>
      </c>
      <c r="N226" s="4">
        <f t="shared" si="18"/>
        <v>45809</v>
      </c>
      <c r="O226" t="str">
        <f t="shared" si="19"/>
        <v>Jun</v>
      </c>
    </row>
    <row r="227" spans="1:15" ht="15" customHeight="1" x14ac:dyDescent="0.25">
      <c r="A227" t="s">
        <v>264</v>
      </c>
      <c r="B227" s="2">
        <v>45700</v>
      </c>
      <c r="C227" t="s">
        <v>31</v>
      </c>
      <c r="D227" t="s">
        <v>23</v>
      </c>
      <c r="E227" t="s">
        <v>33</v>
      </c>
      <c r="F227" t="s">
        <v>40</v>
      </c>
      <c r="G227" t="s">
        <v>20</v>
      </c>
      <c r="H227">
        <v>2</v>
      </c>
      <c r="I227" s="18">
        <v>894.46</v>
      </c>
      <c r="J227" s="18">
        <f t="shared" si="15"/>
        <v>1788.92</v>
      </c>
      <c r="K227" s="18">
        <v>1432.2</v>
      </c>
      <c r="L227" s="18">
        <f t="shared" si="16"/>
        <v>356.72</v>
      </c>
      <c r="M227" s="3">
        <f t="shared" si="17"/>
        <v>0.19940522773516983</v>
      </c>
      <c r="N227" s="4">
        <f t="shared" si="18"/>
        <v>45689</v>
      </c>
      <c r="O227" t="str">
        <f t="shared" si="19"/>
        <v>Feb</v>
      </c>
    </row>
    <row r="228" spans="1:15" ht="15" customHeight="1" x14ac:dyDescent="0.25">
      <c r="A228" t="s">
        <v>265</v>
      </c>
      <c r="B228" s="2">
        <v>45901</v>
      </c>
      <c r="C228" t="s">
        <v>16</v>
      </c>
      <c r="D228" t="s">
        <v>23</v>
      </c>
      <c r="E228" t="s">
        <v>39</v>
      </c>
      <c r="F228" t="s">
        <v>27</v>
      </c>
      <c r="G228" t="s">
        <v>28</v>
      </c>
      <c r="H228">
        <v>5</v>
      </c>
      <c r="I228" s="18">
        <v>10541.62</v>
      </c>
      <c r="J228" s="18">
        <f t="shared" si="15"/>
        <v>52708.100000000006</v>
      </c>
      <c r="K228" s="18">
        <v>37699.07</v>
      </c>
      <c r="L228" s="18">
        <f t="shared" si="16"/>
        <v>15009.030000000006</v>
      </c>
      <c r="M228" s="3">
        <f t="shared" si="17"/>
        <v>0.28475756098208821</v>
      </c>
      <c r="N228" s="4">
        <f t="shared" si="18"/>
        <v>45901</v>
      </c>
      <c r="O228" t="str">
        <f t="shared" si="19"/>
        <v>Sep</v>
      </c>
    </row>
    <row r="229" spans="1:15" ht="15" customHeight="1" x14ac:dyDescent="0.25">
      <c r="A229" t="s">
        <v>266</v>
      </c>
      <c r="B229" s="2">
        <v>45666</v>
      </c>
      <c r="C229" t="s">
        <v>31</v>
      </c>
      <c r="D229" t="s">
        <v>17</v>
      </c>
      <c r="E229" t="s">
        <v>33</v>
      </c>
      <c r="F229" t="s">
        <v>53</v>
      </c>
      <c r="G229" t="s">
        <v>44</v>
      </c>
      <c r="H229">
        <v>7</v>
      </c>
      <c r="I229" s="18">
        <v>2259.5</v>
      </c>
      <c r="J229" s="18">
        <f t="shared" si="15"/>
        <v>15816.5</v>
      </c>
      <c r="K229" s="18">
        <v>10309.61</v>
      </c>
      <c r="L229" s="18">
        <f t="shared" si="16"/>
        <v>5506.8899999999994</v>
      </c>
      <c r="M229" s="3">
        <f t="shared" si="17"/>
        <v>0.34817374261056488</v>
      </c>
      <c r="N229" s="4">
        <f t="shared" si="18"/>
        <v>45658</v>
      </c>
      <c r="O229" t="str">
        <f t="shared" si="19"/>
        <v>Jan</v>
      </c>
    </row>
    <row r="230" spans="1:15" ht="15" customHeight="1" x14ac:dyDescent="0.25">
      <c r="A230" t="s">
        <v>267</v>
      </c>
      <c r="B230" s="2">
        <v>45827</v>
      </c>
      <c r="C230" t="s">
        <v>16</v>
      </c>
      <c r="D230" t="s">
        <v>23</v>
      </c>
      <c r="E230" t="s">
        <v>24</v>
      </c>
      <c r="F230" t="s">
        <v>43</v>
      </c>
      <c r="G230" t="s">
        <v>44</v>
      </c>
      <c r="H230">
        <v>2</v>
      </c>
      <c r="I230" s="18">
        <v>1059.17</v>
      </c>
      <c r="J230" s="18">
        <f t="shared" si="15"/>
        <v>2118.34</v>
      </c>
      <c r="K230" s="18">
        <v>1723.98</v>
      </c>
      <c r="L230" s="18">
        <f t="shared" si="16"/>
        <v>394.36000000000013</v>
      </c>
      <c r="M230" s="3">
        <f t="shared" si="17"/>
        <v>0.18616463834889588</v>
      </c>
      <c r="N230" s="4">
        <f t="shared" si="18"/>
        <v>45809</v>
      </c>
      <c r="O230" t="str">
        <f t="shared" si="19"/>
        <v>Jun</v>
      </c>
    </row>
    <row r="231" spans="1:15" ht="15" customHeight="1" x14ac:dyDescent="0.25">
      <c r="A231" t="s">
        <v>268</v>
      </c>
      <c r="B231" s="2">
        <v>45776</v>
      </c>
      <c r="C231" t="s">
        <v>22</v>
      </c>
      <c r="D231" t="s">
        <v>17</v>
      </c>
      <c r="E231" t="s">
        <v>52</v>
      </c>
      <c r="F231" t="s">
        <v>19</v>
      </c>
      <c r="G231" t="s">
        <v>20</v>
      </c>
      <c r="H231">
        <v>6</v>
      </c>
      <c r="I231" s="18">
        <v>3758.68</v>
      </c>
      <c r="J231" s="18">
        <f t="shared" si="15"/>
        <v>22552.079999999998</v>
      </c>
      <c r="K231" s="18">
        <v>14559.59</v>
      </c>
      <c r="L231" s="18">
        <f t="shared" si="16"/>
        <v>7992.489999999998</v>
      </c>
      <c r="M231" s="3">
        <f t="shared" si="17"/>
        <v>0.35440145653970712</v>
      </c>
      <c r="N231" s="4">
        <f t="shared" si="18"/>
        <v>45748</v>
      </c>
      <c r="O231" t="str">
        <f t="shared" si="19"/>
        <v>Apr</v>
      </c>
    </row>
    <row r="232" spans="1:15" ht="15" customHeight="1" x14ac:dyDescent="0.25">
      <c r="A232" t="s">
        <v>269</v>
      </c>
      <c r="B232" s="2">
        <v>45840</v>
      </c>
      <c r="C232" t="s">
        <v>31</v>
      </c>
      <c r="D232" t="s">
        <v>23</v>
      </c>
      <c r="E232" t="s">
        <v>18</v>
      </c>
      <c r="F232" t="s">
        <v>50</v>
      </c>
      <c r="G232" t="s">
        <v>28</v>
      </c>
      <c r="H232">
        <v>7</v>
      </c>
      <c r="I232" s="18">
        <v>403.54</v>
      </c>
      <c r="J232" s="18">
        <f t="shared" si="15"/>
        <v>2824.78</v>
      </c>
      <c r="K232" s="18">
        <v>2057.7600000000002</v>
      </c>
      <c r="L232" s="18">
        <f t="shared" si="16"/>
        <v>767.02</v>
      </c>
      <c r="M232" s="3">
        <f t="shared" si="17"/>
        <v>0.27153265033029117</v>
      </c>
      <c r="N232" s="4">
        <f t="shared" si="18"/>
        <v>45839</v>
      </c>
      <c r="O232" t="str">
        <f t="shared" si="19"/>
        <v>Jul</v>
      </c>
    </row>
    <row r="233" spans="1:15" ht="15" customHeight="1" x14ac:dyDescent="0.25">
      <c r="A233" t="s">
        <v>270</v>
      </c>
      <c r="B233" s="2">
        <v>45795</v>
      </c>
      <c r="C233" t="s">
        <v>16</v>
      </c>
      <c r="D233" t="s">
        <v>17</v>
      </c>
      <c r="E233" t="s">
        <v>24</v>
      </c>
      <c r="F233" t="s">
        <v>35</v>
      </c>
      <c r="G233" t="s">
        <v>20</v>
      </c>
      <c r="H233">
        <v>7</v>
      </c>
      <c r="I233" s="18">
        <v>2083.6999999999998</v>
      </c>
      <c r="J233" s="18">
        <f t="shared" si="15"/>
        <v>14585.899999999998</v>
      </c>
      <c r="K233" s="18">
        <v>8832.82</v>
      </c>
      <c r="L233" s="18">
        <f t="shared" si="16"/>
        <v>5753.0799999999981</v>
      </c>
      <c r="M233" s="3">
        <f t="shared" si="17"/>
        <v>0.39442749504658603</v>
      </c>
      <c r="N233" s="4">
        <f t="shared" si="18"/>
        <v>45778</v>
      </c>
      <c r="O233" t="str">
        <f t="shared" si="19"/>
        <v>May</v>
      </c>
    </row>
    <row r="234" spans="1:15" ht="15" customHeight="1" x14ac:dyDescent="0.25">
      <c r="A234" t="s">
        <v>271</v>
      </c>
      <c r="B234" s="2">
        <v>45842</v>
      </c>
      <c r="C234" t="s">
        <v>22</v>
      </c>
      <c r="D234" t="s">
        <v>23</v>
      </c>
      <c r="E234" t="s">
        <v>18</v>
      </c>
      <c r="F234" t="s">
        <v>27</v>
      </c>
      <c r="G234" t="s">
        <v>28</v>
      </c>
      <c r="H234">
        <v>3</v>
      </c>
      <c r="I234" s="18">
        <v>10526.66</v>
      </c>
      <c r="J234" s="18">
        <f t="shared" si="15"/>
        <v>31579.98</v>
      </c>
      <c r="K234" s="18">
        <v>22537.89</v>
      </c>
      <c r="L234" s="18">
        <f t="shared" si="16"/>
        <v>9042.09</v>
      </c>
      <c r="M234" s="3">
        <f t="shared" si="17"/>
        <v>0.28632348722196788</v>
      </c>
      <c r="N234" s="4">
        <f t="shared" si="18"/>
        <v>45839</v>
      </c>
      <c r="O234" t="str">
        <f t="shared" si="19"/>
        <v>Jul</v>
      </c>
    </row>
    <row r="235" spans="1:15" ht="15" customHeight="1" x14ac:dyDescent="0.25">
      <c r="A235" t="s">
        <v>272</v>
      </c>
      <c r="B235" s="2">
        <v>45703</v>
      </c>
      <c r="C235" t="s">
        <v>22</v>
      </c>
      <c r="D235" t="s">
        <v>17</v>
      </c>
      <c r="E235" t="s">
        <v>18</v>
      </c>
      <c r="F235" t="s">
        <v>46</v>
      </c>
      <c r="G235" t="s">
        <v>28</v>
      </c>
      <c r="H235">
        <v>6</v>
      </c>
      <c r="I235" s="18">
        <v>19395.2</v>
      </c>
      <c r="J235" s="18">
        <f t="shared" si="15"/>
        <v>116371.20000000001</v>
      </c>
      <c r="K235" s="18">
        <v>67839.960000000006</v>
      </c>
      <c r="L235" s="18">
        <f t="shared" si="16"/>
        <v>48531.240000000005</v>
      </c>
      <c r="M235" s="3">
        <f t="shared" si="17"/>
        <v>0.41703823626464281</v>
      </c>
      <c r="N235" s="4">
        <f t="shared" si="18"/>
        <v>45689</v>
      </c>
      <c r="O235" t="str">
        <f t="shared" si="19"/>
        <v>Feb</v>
      </c>
    </row>
    <row r="236" spans="1:15" ht="15" customHeight="1" x14ac:dyDescent="0.25">
      <c r="A236" t="s">
        <v>273</v>
      </c>
      <c r="B236" s="2">
        <v>45944</v>
      </c>
      <c r="C236" t="s">
        <v>26</v>
      </c>
      <c r="D236" t="s">
        <v>17</v>
      </c>
      <c r="E236" t="s">
        <v>52</v>
      </c>
      <c r="F236" t="s">
        <v>53</v>
      </c>
      <c r="G236" t="s">
        <v>44</v>
      </c>
      <c r="H236">
        <v>7</v>
      </c>
      <c r="I236" s="18">
        <v>2137.6999999999998</v>
      </c>
      <c r="J236" s="18">
        <f t="shared" si="15"/>
        <v>14963.899999999998</v>
      </c>
      <c r="K236" s="18">
        <v>9644.84</v>
      </c>
      <c r="L236" s="18">
        <f t="shared" si="16"/>
        <v>5319.0599999999977</v>
      </c>
      <c r="M236" s="3">
        <f t="shared" si="17"/>
        <v>0.35545947246372928</v>
      </c>
      <c r="N236" s="4">
        <f t="shared" si="18"/>
        <v>45931</v>
      </c>
      <c r="O236" t="str">
        <f t="shared" si="19"/>
        <v>Oct</v>
      </c>
    </row>
    <row r="237" spans="1:15" ht="15" customHeight="1" x14ac:dyDescent="0.25">
      <c r="A237" t="s">
        <v>274</v>
      </c>
      <c r="B237" s="2">
        <v>45690</v>
      </c>
      <c r="C237" t="s">
        <v>26</v>
      </c>
      <c r="D237" t="s">
        <v>23</v>
      </c>
      <c r="E237" t="s">
        <v>24</v>
      </c>
      <c r="F237" t="s">
        <v>35</v>
      </c>
      <c r="G237" t="s">
        <v>20</v>
      </c>
      <c r="H237">
        <v>5</v>
      </c>
      <c r="I237" s="18">
        <v>3150.03</v>
      </c>
      <c r="J237" s="18">
        <f t="shared" si="15"/>
        <v>15750.150000000001</v>
      </c>
      <c r="K237" s="18">
        <v>9425.85</v>
      </c>
      <c r="L237" s="18">
        <f t="shared" si="16"/>
        <v>6324.3000000000011</v>
      </c>
      <c r="M237" s="3">
        <f t="shared" si="17"/>
        <v>0.40153903296159088</v>
      </c>
      <c r="N237" s="4">
        <f t="shared" si="18"/>
        <v>45689</v>
      </c>
      <c r="O237" t="str">
        <f t="shared" si="19"/>
        <v>Feb</v>
      </c>
    </row>
    <row r="238" spans="1:15" ht="15" customHeight="1" x14ac:dyDescent="0.25">
      <c r="A238" t="s">
        <v>275</v>
      </c>
      <c r="B238" s="2">
        <v>45962</v>
      </c>
      <c r="C238" t="s">
        <v>26</v>
      </c>
      <c r="D238" t="s">
        <v>17</v>
      </c>
      <c r="E238" t="s">
        <v>39</v>
      </c>
      <c r="F238" t="s">
        <v>62</v>
      </c>
      <c r="G238" t="s">
        <v>20</v>
      </c>
      <c r="H238">
        <v>3</v>
      </c>
      <c r="I238" s="18">
        <v>4468.33</v>
      </c>
      <c r="J238" s="18">
        <f t="shared" si="15"/>
        <v>13404.99</v>
      </c>
      <c r="K238" s="18">
        <v>10827.45</v>
      </c>
      <c r="L238" s="18">
        <f t="shared" si="16"/>
        <v>2577.5399999999991</v>
      </c>
      <c r="M238" s="3">
        <f t="shared" si="17"/>
        <v>0.19228212777480619</v>
      </c>
      <c r="N238" s="4">
        <f t="shared" si="18"/>
        <v>45962</v>
      </c>
      <c r="O238" t="str">
        <f t="shared" si="19"/>
        <v>Nov</v>
      </c>
    </row>
    <row r="239" spans="1:15" ht="15" customHeight="1" x14ac:dyDescent="0.25">
      <c r="A239" t="s">
        <v>276</v>
      </c>
      <c r="B239" s="2">
        <v>45883</v>
      </c>
      <c r="C239" t="s">
        <v>22</v>
      </c>
      <c r="D239" t="s">
        <v>17</v>
      </c>
      <c r="E239" t="s">
        <v>52</v>
      </c>
      <c r="F239" t="s">
        <v>46</v>
      </c>
      <c r="G239" t="s">
        <v>28</v>
      </c>
      <c r="H239">
        <v>6</v>
      </c>
      <c r="I239" s="18">
        <v>16386.41</v>
      </c>
      <c r="J239" s="18">
        <f t="shared" si="15"/>
        <v>98318.459999999992</v>
      </c>
      <c r="K239" s="18">
        <v>73431.12</v>
      </c>
      <c r="L239" s="18">
        <f t="shared" si="16"/>
        <v>24887.339999999997</v>
      </c>
      <c r="M239" s="3">
        <f t="shared" si="17"/>
        <v>0.25312988018730154</v>
      </c>
      <c r="N239" s="4">
        <f t="shared" si="18"/>
        <v>45870</v>
      </c>
      <c r="O239" t="str">
        <f t="shared" si="19"/>
        <v>Aug</v>
      </c>
    </row>
    <row r="240" spans="1:15" ht="15" customHeight="1" x14ac:dyDescent="0.25">
      <c r="A240" t="s">
        <v>277</v>
      </c>
      <c r="B240" s="2">
        <v>45861</v>
      </c>
      <c r="C240" t="s">
        <v>22</v>
      </c>
      <c r="D240" t="s">
        <v>17</v>
      </c>
      <c r="E240" t="s">
        <v>18</v>
      </c>
      <c r="F240" t="s">
        <v>46</v>
      </c>
      <c r="G240" t="s">
        <v>28</v>
      </c>
      <c r="H240">
        <v>4</v>
      </c>
      <c r="I240" s="18">
        <v>13295.32</v>
      </c>
      <c r="J240" s="18">
        <f t="shared" si="15"/>
        <v>53181.279999999999</v>
      </c>
      <c r="K240" s="18">
        <v>34422.76</v>
      </c>
      <c r="L240" s="18">
        <f t="shared" si="16"/>
        <v>18758.519999999997</v>
      </c>
      <c r="M240" s="3">
        <f t="shared" si="17"/>
        <v>0.35272787717783394</v>
      </c>
      <c r="N240" s="4">
        <f t="shared" si="18"/>
        <v>45839</v>
      </c>
      <c r="O240" t="str">
        <f t="shared" si="19"/>
        <v>Jul</v>
      </c>
    </row>
    <row r="241" spans="1:15" ht="15" customHeight="1" x14ac:dyDescent="0.25">
      <c r="A241" t="s">
        <v>278</v>
      </c>
      <c r="B241" s="2">
        <v>45946</v>
      </c>
      <c r="C241" t="s">
        <v>31</v>
      </c>
      <c r="D241" t="s">
        <v>17</v>
      </c>
      <c r="E241" t="s">
        <v>39</v>
      </c>
      <c r="F241" t="s">
        <v>53</v>
      </c>
      <c r="G241" t="s">
        <v>44</v>
      </c>
      <c r="H241">
        <v>1</v>
      </c>
      <c r="I241" s="18">
        <v>2588</v>
      </c>
      <c r="J241" s="18">
        <f t="shared" si="15"/>
        <v>2588</v>
      </c>
      <c r="K241" s="18">
        <v>1787.76</v>
      </c>
      <c r="L241" s="18">
        <f t="shared" si="16"/>
        <v>800.24</v>
      </c>
      <c r="M241" s="3">
        <f t="shared" si="17"/>
        <v>0.30921174652241112</v>
      </c>
      <c r="N241" s="4">
        <f t="shared" si="18"/>
        <v>45931</v>
      </c>
      <c r="O241" t="str">
        <f t="shared" si="19"/>
        <v>Oct</v>
      </c>
    </row>
    <row r="242" spans="1:15" ht="15" customHeight="1" x14ac:dyDescent="0.25">
      <c r="A242" t="s">
        <v>279</v>
      </c>
      <c r="B242" s="2">
        <v>46012</v>
      </c>
      <c r="C242" t="s">
        <v>22</v>
      </c>
      <c r="D242" t="s">
        <v>17</v>
      </c>
      <c r="E242" t="s">
        <v>18</v>
      </c>
      <c r="F242" t="s">
        <v>19</v>
      </c>
      <c r="G242" t="s">
        <v>20</v>
      </c>
      <c r="H242">
        <v>5</v>
      </c>
      <c r="I242" s="18">
        <v>4732.54</v>
      </c>
      <c r="J242" s="18">
        <f t="shared" si="15"/>
        <v>23662.7</v>
      </c>
      <c r="K242" s="18">
        <v>17464.939999999999</v>
      </c>
      <c r="L242" s="18">
        <f t="shared" si="16"/>
        <v>6197.760000000002</v>
      </c>
      <c r="M242" s="3">
        <f t="shared" si="17"/>
        <v>0.26192108254763835</v>
      </c>
      <c r="N242" s="4">
        <f t="shared" si="18"/>
        <v>45992</v>
      </c>
      <c r="O242" t="str">
        <f t="shared" si="19"/>
        <v>Dec</v>
      </c>
    </row>
    <row r="243" spans="1:15" ht="15" customHeight="1" x14ac:dyDescent="0.25">
      <c r="A243" t="s">
        <v>280</v>
      </c>
      <c r="B243" s="2">
        <v>45887</v>
      </c>
      <c r="C243" t="s">
        <v>26</v>
      </c>
      <c r="D243" t="s">
        <v>23</v>
      </c>
      <c r="E243" t="s">
        <v>18</v>
      </c>
      <c r="F243" t="s">
        <v>62</v>
      </c>
      <c r="G243" t="s">
        <v>20</v>
      </c>
      <c r="H243">
        <v>7</v>
      </c>
      <c r="I243" s="18">
        <v>4219.51</v>
      </c>
      <c r="J243" s="18">
        <f t="shared" si="15"/>
        <v>29536.57</v>
      </c>
      <c r="K243" s="18">
        <v>22736.45</v>
      </c>
      <c r="L243" s="18">
        <f t="shared" si="16"/>
        <v>6800.119999999999</v>
      </c>
      <c r="M243" s="3">
        <f t="shared" si="17"/>
        <v>0.23022713876391196</v>
      </c>
      <c r="N243" s="4">
        <f t="shared" si="18"/>
        <v>45870</v>
      </c>
      <c r="O243" t="str">
        <f t="shared" si="19"/>
        <v>Aug</v>
      </c>
    </row>
    <row r="244" spans="1:15" ht="15" customHeight="1" x14ac:dyDescent="0.25">
      <c r="A244" t="s">
        <v>281</v>
      </c>
      <c r="B244" s="2">
        <v>45785</v>
      </c>
      <c r="C244" t="s">
        <v>22</v>
      </c>
      <c r="D244" t="s">
        <v>23</v>
      </c>
      <c r="E244" t="s">
        <v>18</v>
      </c>
      <c r="F244" t="s">
        <v>46</v>
      </c>
      <c r="G244" t="s">
        <v>28</v>
      </c>
      <c r="H244">
        <v>7</v>
      </c>
      <c r="I244" s="18">
        <v>12819.67</v>
      </c>
      <c r="J244" s="18">
        <f t="shared" si="15"/>
        <v>89737.69</v>
      </c>
      <c r="K244" s="18">
        <v>59189.47</v>
      </c>
      <c r="L244" s="18">
        <f t="shared" si="16"/>
        <v>30548.22</v>
      </c>
      <c r="M244" s="3">
        <f t="shared" si="17"/>
        <v>0.34041683043100396</v>
      </c>
      <c r="N244" s="4">
        <f t="shared" si="18"/>
        <v>45778</v>
      </c>
      <c r="O244" t="str">
        <f t="shared" si="19"/>
        <v>May</v>
      </c>
    </row>
    <row r="245" spans="1:15" ht="15" customHeight="1" x14ac:dyDescent="0.25">
      <c r="A245" t="s">
        <v>282</v>
      </c>
      <c r="B245" s="2">
        <v>45708</v>
      </c>
      <c r="C245" t="s">
        <v>31</v>
      </c>
      <c r="D245" t="s">
        <v>17</v>
      </c>
      <c r="E245" t="s">
        <v>18</v>
      </c>
      <c r="F245" t="s">
        <v>27</v>
      </c>
      <c r="G245" t="s">
        <v>28</v>
      </c>
      <c r="H245">
        <v>6</v>
      </c>
      <c r="I245" s="18">
        <v>12361.85</v>
      </c>
      <c r="J245" s="18">
        <f t="shared" si="15"/>
        <v>74171.100000000006</v>
      </c>
      <c r="K245" s="18">
        <v>56767.75</v>
      </c>
      <c r="L245" s="18">
        <f t="shared" si="16"/>
        <v>17403.350000000006</v>
      </c>
      <c r="M245" s="3">
        <f t="shared" si="17"/>
        <v>0.2346378845669001</v>
      </c>
      <c r="N245" s="4">
        <f t="shared" si="18"/>
        <v>45689</v>
      </c>
      <c r="O245" t="str">
        <f t="shared" si="19"/>
        <v>Feb</v>
      </c>
    </row>
    <row r="246" spans="1:15" ht="15" customHeight="1" x14ac:dyDescent="0.25">
      <c r="A246" t="s">
        <v>283</v>
      </c>
      <c r="B246" s="2">
        <v>45905</v>
      </c>
      <c r="C246" t="s">
        <v>31</v>
      </c>
      <c r="D246" t="s">
        <v>17</v>
      </c>
      <c r="E246" t="s">
        <v>39</v>
      </c>
      <c r="F246" t="s">
        <v>19</v>
      </c>
      <c r="G246" t="s">
        <v>20</v>
      </c>
      <c r="H246">
        <v>2</v>
      </c>
      <c r="I246" s="18">
        <v>3976.28</v>
      </c>
      <c r="J246" s="18">
        <f t="shared" si="15"/>
        <v>7952.56</v>
      </c>
      <c r="K246" s="18">
        <v>6407.87</v>
      </c>
      <c r="L246" s="18">
        <f t="shared" si="16"/>
        <v>1544.6900000000005</v>
      </c>
      <c r="M246" s="3">
        <f t="shared" si="17"/>
        <v>0.19423808182522362</v>
      </c>
      <c r="N246" s="4">
        <f t="shared" si="18"/>
        <v>45901</v>
      </c>
      <c r="O246" t="str">
        <f t="shared" si="19"/>
        <v>Sep</v>
      </c>
    </row>
    <row r="247" spans="1:15" ht="15" customHeight="1" x14ac:dyDescent="0.25">
      <c r="A247" t="s">
        <v>284</v>
      </c>
      <c r="B247" s="2">
        <v>45833</v>
      </c>
      <c r="C247" t="s">
        <v>22</v>
      </c>
      <c r="D247" t="s">
        <v>17</v>
      </c>
      <c r="E247" t="s">
        <v>18</v>
      </c>
      <c r="F247" t="s">
        <v>40</v>
      </c>
      <c r="G247" t="s">
        <v>20</v>
      </c>
      <c r="H247">
        <v>8</v>
      </c>
      <c r="I247" s="18">
        <v>759.24</v>
      </c>
      <c r="J247" s="18">
        <f t="shared" si="15"/>
        <v>6073.92</v>
      </c>
      <c r="K247" s="18">
        <v>3665.18</v>
      </c>
      <c r="L247" s="18">
        <f t="shared" si="16"/>
        <v>2408.7400000000002</v>
      </c>
      <c r="M247" s="3">
        <f t="shared" si="17"/>
        <v>0.39657091301828146</v>
      </c>
      <c r="N247" s="4">
        <f t="shared" si="18"/>
        <v>45809</v>
      </c>
      <c r="O247" t="str">
        <f t="shared" si="19"/>
        <v>Jun</v>
      </c>
    </row>
    <row r="248" spans="1:15" ht="15" customHeight="1" x14ac:dyDescent="0.25">
      <c r="A248" t="s">
        <v>285</v>
      </c>
      <c r="B248" s="2">
        <v>45811</v>
      </c>
      <c r="C248" t="s">
        <v>31</v>
      </c>
      <c r="D248" t="s">
        <v>23</v>
      </c>
      <c r="E248" t="s">
        <v>33</v>
      </c>
      <c r="F248" t="s">
        <v>37</v>
      </c>
      <c r="G248" t="s">
        <v>20</v>
      </c>
      <c r="H248">
        <v>6</v>
      </c>
      <c r="I248" s="18">
        <v>21255.97</v>
      </c>
      <c r="J248" s="18">
        <f t="shared" si="15"/>
        <v>127535.82</v>
      </c>
      <c r="K248" s="18">
        <v>94697.06</v>
      </c>
      <c r="L248" s="18">
        <f t="shared" si="16"/>
        <v>32838.760000000009</v>
      </c>
      <c r="M248" s="3">
        <f t="shared" si="17"/>
        <v>0.25748656338274228</v>
      </c>
      <c r="N248" s="4">
        <f t="shared" si="18"/>
        <v>45809</v>
      </c>
      <c r="O248" t="str">
        <f t="shared" si="19"/>
        <v>Jun</v>
      </c>
    </row>
    <row r="249" spans="1:15" ht="15" customHeight="1" x14ac:dyDescent="0.25">
      <c r="A249" t="s">
        <v>286</v>
      </c>
      <c r="B249" s="2">
        <v>45747</v>
      </c>
      <c r="C249" t="s">
        <v>22</v>
      </c>
      <c r="D249" t="s">
        <v>23</v>
      </c>
      <c r="E249" t="s">
        <v>52</v>
      </c>
      <c r="F249" t="s">
        <v>50</v>
      </c>
      <c r="G249" t="s">
        <v>28</v>
      </c>
      <c r="H249">
        <v>7</v>
      </c>
      <c r="I249" s="18">
        <v>898.46</v>
      </c>
      <c r="J249" s="18">
        <f t="shared" si="15"/>
        <v>6289.22</v>
      </c>
      <c r="K249" s="18">
        <v>3997.71</v>
      </c>
      <c r="L249" s="18">
        <f t="shared" si="16"/>
        <v>2291.5100000000002</v>
      </c>
      <c r="M249" s="3">
        <f t="shared" si="17"/>
        <v>0.36435519825987961</v>
      </c>
      <c r="N249" s="4">
        <f t="shared" si="18"/>
        <v>45717</v>
      </c>
      <c r="O249" t="str">
        <f t="shared" si="19"/>
        <v>Mar</v>
      </c>
    </row>
    <row r="250" spans="1:15" ht="15" customHeight="1" x14ac:dyDescent="0.25">
      <c r="A250" t="s">
        <v>287</v>
      </c>
      <c r="B250" s="2">
        <v>45985</v>
      </c>
      <c r="C250" t="s">
        <v>16</v>
      </c>
      <c r="D250" t="s">
        <v>23</v>
      </c>
      <c r="E250" t="s">
        <v>52</v>
      </c>
      <c r="F250" t="s">
        <v>43</v>
      </c>
      <c r="G250" t="s">
        <v>44</v>
      </c>
      <c r="H250">
        <v>4</v>
      </c>
      <c r="I250" s="18">
        <v>994.86</v>
      </c>
      <c r="J250" s="18">
        <f t="shared" si="15"/>
        <v>3979.44</v>
      </c>
      <c r="K250" s="18">
        <v>2718.33</v>
      </c>
      <c r="L250" s="18">
        <f t="shared" si="16"/>
        <v>1261.1100000000001</v>
      </c>
      <c r="M250" s="3">
        <f t="shared" si="17"/>
        <v>0.31690639889029615</v>
      </c>
      <c r="N250" s="4">
        <f t="shared" si="18"/>
        <v>45962</v>
      </c>
      <c r="O250" t="str">
        <f t="shared" si="19"/>
        <v>Nov</v>
      </c>
    </row>
    <row r="251" spans="1:15" ht="15" customHeight="1" x14ac:dyDescent="0.25">
      <c r="A251" t="s">
        <v>288</v>
      </c>
      <c r="B251" s="2">
        <v>45800</v>
      </c>
      <c r="C251" t="s">
        <v>16</v>
      </c>
      <c r="D251" t="s">
        <v>17</v>
      </c>
      <c r="E251" t="s">
        <v>24</v>
      </c>
      <c r="F251" t="s">
        <v>19</v>
      </c>
      <c r="G251" t="s">
        <v>20</v>
      </c>
      <c r="H251">
        <v>3</v>
      </c>
      <c r="I251" s="18">
        <v>1686.48</v>
      </c>
      <c r="J251" s="18">
        <f t="shared" si="15"/>
        <v>5059.4400000000005</v>
      </c>
      <c r="K251" s="18">
        <v>3173.78</v>
      </c>
      <c r="L251" s="18">
        <f t="shared" si="16"/>
        <v>1885.6600000000003</v>
      </c>
      <c r="M251" s="3">
        <f t="shared" si="17"/>
        <v>0.37270132662903405</v>
      </c>
      <c r="N251" s="4">
        <f t="shared" si="18"/>
        <v>45778</v>
      </c>
      <c r="O251" t="str">
        <f t="shared" si="19"/>
        <v>May</v>
      </c>
    </row>
    <row r="252" spans="1:15" ht="15" customHeight="1" x14ac:dyDescent="0.25">
      <c r="A252" t="s">
        <v>289</v>
      </c>
      <c r="B252" s="2">
        <v>45928</v>
      </c>
      <c r="C252" t="s">
        <v>22</v>
      </c>
      <c r="D252" t="s">
        <v>23</v>
      </c>
      <c r="E252" t="s">
        <v>39</v>
      </c>
      <c r="F252" t="s">
        <v>46</v>
      </c>
      <c r="G252" t="s">
        <v>28</v>
      </c>
      <c r="H252">
        <v>7</v>
      </c>
      <c r="I252" s="18">
        <v>19106.79</v>
      </c>
      <c r="J252" s="18">
        <f t="shared" si="15"/>
        <v>133747.53</v>
      </c>
      <c r="K252" s="18">
        <v>88741.74</v>
      </c>
      <c r="L252" s="18">
        <f t="shared" si="16"/>
        <v>45005.789999999994</v>
      </c>
      <c r="M252" s="3">
        <f t="shared" si="17"/>
        <v>0.33649810205840808</v>
      </c>
      <c r="N252" s="4">
        <f t="shared" si="18"/>
        <v>45901</v>
      </c>
      <c r="O252" t="str">
        <f t="shared" si="19"/>
        <v>Sep</v>
      </c>
    </row>
    <row r="253" spans="1:15" ht="15" customHeight="1" x14ac:dyDescent="0.25">
      <c r="A253" t="s">
        <v>290</v>
      </c>
      <c r="B253" s="2">
        <v>45972</v>
      </c>
      <c r="C253" t="s">
        <v>26</v>
      </c>
      <c r="D253" t="s">
        <v>23</v>
      </c>
      <c r="E253" t="s">
        <v>33</v>
      </c>
      <c r="F253" t="s">
        <v>62</v>
      </c>
      <c r="G253" t="s">
        <v>20</v>
      </c>
      <c r="H253">
        <v>2</v>
      </c>
      <c r="I253" s="18">
        <v>1892.59</v>
      </c>
      <c r="J253" s="18">
        <f t="shared" si="15"/>
        <v>3785.18</v>
      </c>
      <c r="K253" s="18">
        <v>2301.65</v>
      </c>
      <c r="L253" s="18">
        <f t="shared" si="16"/>
        <v>1483.5299999999997</v>
      </c>
      <c r="M253" s="3">
        <f t="shared" si="17"/>
        <v>0.39193116311509618</v>
      </c>
      <c r="N253" s="4">
        <f t="shared" si="18"/>
        <v>45962</v>
      </c>
      <c r="O253" t="str">
        <f t="shared" si="19"/>
        <v>Nov</v>
      </c>
    </row>
    <row r="254" spans="1:15" ht="15" customHeight="1" x14ac:dyDescent="0.25">
      <c r="A254" t="s">
        <v>291</v>
      </c>
      <c r="B254" s="2">
        <v>45856</v>
      </c>
      <c r="C254" t="s">
        <v>31</v>
      </c>
      <c r="D254" t="s">
        <v>23</v>
      </c>
      <c r="E254" t="s">
        <v>24</v>
      </c>
      <c r="F254" t="s">
        <v>43</v>
      </c>
      <c r="G254" t="s">
        <v>44</v>
      </c>
      <c r="H254">
        <v>7</v>
      </c>
      <c r="I254" s="18">
        <v>825.1</v>
      </c>
      <c r="J254" s="18">
        <f t="shared" si="15"/>
        <v>5775.7</v>
      </c>
      <c r="K254" s="18">
        <v>4024.51</v>
      </c>
      <c r="L254" s="18">
        <f t="shared" si="16"/>
        <v>1751.1899999999996</v>
      </c>
      <c r="M254" s="3">
        <f t="shared" si="17"/>
        <v>0.303199612168222</v>
      </c>
      <c r="N254" s="4">
        <f t="shared" si="18"/>
        <v>45839</v>
      </c>
      <c r="O254" t="str">
        <f t="shared" si="19"/>
        <v>Jul</v>
      </c>
    </row>
    <row r="255" spans="1:15" ht="15" customHeight="1" x14ac:dyDescent="0.25">
      <c r="A255" t="s">
        <v>292</v>
      </c>
      <c r="B255" s="2">
        <v>45805</v>
      </c>
      <c r="C255" t="s">
        <v>16</v>
      </c>
      <c r="D255" t="s">
        <v>17</v>
      </c>
      <c r="E255" t="s">
        <v>52</v>
      </c>
      <c r="F255" t="s">
        <v>35</v>
      </c>
      <c r="G255" t="s">
        <v>20</v>
      </c>
      <c r="H255">
        <v>8</v>
      </c>
      <c r="I255" s="18">
        <v>3560.04</v>
      </c>
      <c r="J255" s="18">
        <f t="shared" si="15"/>
        <v>28480.32</v>
      </c>
      <c r="K255" s="18">
        <v>22434.67</v>
      </c>
      <c r="L255" s="18">
        <f t="shared" si="16"/>
        <v>6045.6500000000015</v>
      </c>
      <c r="M255" s="3">
        <f t="shared" si="17"/>
        <v>0.2122746514084112</v>
      </c>
      <c r="N255" s="4">
        <f t="shared" si="18"/>
        <v>45778</v>
      </c>
      <c r="O255" t="str">
        <f t="shared" si="19"/>
        <v>May</v>
      </c>
    </row>
    <row r="256" spans="1:15" ht="15" customHeight="1" x14ac:dyDescent="0.25">
      <c r="A256" t="s">
        <v>293</v>
      </c>
      <c r="B256" s="2">
        <v>45757</v>
      </c>
      <c r="C256" t="s">
        <v>22</v>
      </c>
      <c r="D256" t="s">
        <v>23</v>
      </c>
      <c r="E256" t="s">
        <v>18</v>
      </c>
      <c r="F256" t="s">
        <v>43</v>
      </c>
      <c r="G256" t="s">
        <v>44</v>
      </c>
      <c r="H256">
        <v>8</v>
      </c>
      <c r="I256" s="18">
        <v>656.73</v>
      </c>
      <c r="J256" s="18">
        <f t="shared" si="15"/>
        <v>5253.84</v>
      </c>
      <c r="K256" s="18">
        <v>4106.26</v>
      </c>
      <c r="L256" s="18">
        <f t="shared" si="16"/>
        <v>1147.58</v>
      </c>
      <c r="M256" s="3">
        <f t="shared" si="17"/>
        <v>0.21842690298905179</v>
      </c>
      <c r="N256" s="4">
        <f t="shared" si="18"/>
        <v>45748</v>
      </c>
      <c r="O256" t="str">
        <f t="shared" si="19"/>
        <v>Apr</v>
      </c>
    </row>
    <row r="257" spans="1:15" ht="15" customHeight="1" x14ac:dyDescent="0.25">
      <c r="A257" t="s">
        <v>294</v>
      </c>
      <c r="B257" s="2">
        <v>45947</v>
      </c>
      <c r="C257" t="s">
        <v>31</v>
      </c>
      <c r="D257" t="s">
        <v>17</v>
      </c>
      <c r="E257" t="s">
        <v>33</v>
      </c>
      <c r="F257" t="s">
        <v>37</v>
      </c>
      <c r="G257" t="s">
        <v>20</v>
      </c>
      <c r="H257">
        <v>1</v>
      </c>
      <c r="I257" s="18">
        <v>20502.259999999998</v>
      </c>
      <c r="J257" s="18">
        <f t="shared" si="15"/>
        <v>20502.259999999998</v>
      </c>
      <c r="K257" s="18">
        <v>14536.64</v>
      </c>
      <c r="L257" s="18">
        <f t="shared" si="16"/>
        <v>5965.619999999999</v>
      </c>
      <c r="M257" s="3">
        <f t="shared" si="17"/>
        <v>0.29097377557400989</v>
      </c>
      <c r="N257" s="4">
        <f t="shared" si="18"/>
        <v>45931</v>
      </c>
      <c r="O257" t="str">
        <f t="shared" si="19"/>
        <v>Oct</v>
      </c>
    </row>
    <row r="258" spans="1:15" ht="15" customHeight="1" x14ac:dyDescent="0.25">
      <c r="A258" t="s">
        <v>295</v>
      </c>
      <c r="B258" s="2">
        <v>45911</v>
      </c>
      <c r="C258" t="s">
        <v>26</v>
      </c>
      <c r="D258" t="s">
        <v>23</v>
      </c>
      <c r="E258" t="s">
        <v>24</v>
      </c>
      <c r="F258" t="s">
        <v>50</v>
      </c>
      <c r="G258" t="s">
        <v>28</v>
      </c>
      <c r="H258">
        <v>2</v>
      </c>
      <c r="I258" s="18">
        <v>797.19</v>
      </c>
      <c r="J258" s="18">
        <f t="shared" ref="J258:J321" si="20">H258*I258</f>
        <v>1594.38</v>
      </c>
      <c r="K258" s="18">
        <v>1132.56</v>
      </c>
      <c r="L258" s="18">
        <f t="shared" ref="L258:L321" si="21">J258-K258</f>
        <v>461.82000000000016</v>
      </c>
      <c r="M258" s="3">
        <f t="shared" ref="M258:M321" si="22">IFERROR(L258/J258,0)</f>
        <v>0.28965491288149636</v>
      </c>
      <c r="N258" s="4">
        <f t="shared" ref="N258:N321" si="23">DATE(YEAR(B258),MONTH(B258),1)</f>
        <v>45901</v>
      </c>
      <c r="O258" t="str">
        <f t="shared" ref="O258:O321" si="24">TEXT(N258,"mmm")</f>
        <v>Sep</v>
      </c>
    </row>
    <row r="259" spans="1:15" ht="15" customHeight="1" x14ac:dyDescent="0.25">
      <c r="A259" t="s">
        <v>296</v>
      </c>
      <c r="B259" s="2">
        <v>45937</v>
      </c>
      <c r="C259" t="s">
        <v>22</v>
      </c>
      <c r="D259" t="s">
        <v>17</v>
      </c>
      <c r="E259" t="s">
        <v>39</v>
      </c>
      <c r="F259" t="s">
        <v>53</v>
      </c>
      <c r="G259" t="s">
        <v>44</v>
      </c>
      <c r="H259">
        <v>4</v>
      </c>
      <c r="I259" s="18">
        <v>1667.68</v>
      </c>
      <c r="J259" s="18">
        <f t="shared" si="20"/>
        <v>6670.72</v>
      </c>
      <c r="K259" s="18">
        <v>5468.89</v>
      </c>
      <c r="L259" s="18">
        <f t="shared" si="21"/>
        <v>1201.83</v>
      </c>
      <c r="M259" s="3">
        <f t="shared" si="22"/>
        <v>0.18016495970449964</v>
      </c>
      <c r="N259" s="4">
        <f t="shared" si="23"/>
        <v>45931</v>
      </c>
      <c r="O259" t="str">
        <f t="shared" si="24"/>
        <v>Oct</v>
      </c>
    </row>
    <row r="260" spans="1:15" ht="15" customHeight="1" x14ac:dyDescent="0.25">
      <c r="A260" t="s">
        <v>297</v>
      </c>
      <c r="B260" s="2">
        <v>45702</v>
      </c>
      <c r="C260" t="s">
        <v>22</v>
      </c>
      <c r="D260" t="s">
        <v>23</v>
      </c>
      <c r="E260" t="s">
        <v>33</v>
      </c>
      <c r="F260" t="s">
        <v>40</v>
      </c>
      <c r="G260" t="s">
        <v>20</v>
      </c>
      <c r="H260">
        <v>6</v>
      </c>
      <c r="I260" s="18">
        <v>497.51</v>
      </c>
      <c r="J260" s="18">
        <f t="shared" si="20"/>
        <v>2985.06</v>
      </c>
      <c r="K260" s="18">
        <v>2168.54</v>
      </c>
      <c r="L260" s="18">
        <f t="shared" si="21"/>
        <v>816.52</v>
      </c>
      <c r="M260" s="3">
        <f t="shared" si="22"/>
        <v>0.27353554032414756</v>
      </c>
      <c r="N260" s="4">
        <f t="shared" si="23"/>
        <v>45689</v>
      </c>
      <c r="O260" t="str">
        <f t="shared" si="24"/>
        <v>Feb</v>
      </c>
    </row>
    <row r="261" spans="1:15" ht="15" customHeight="1" x14ac:dyDescent="0.25">
      <c r="A261" t="s">
        <v>298</v>
      </c>
      <c r="B261" s="2">
        <v>45729</v>
      </c>
      <c r="C261" t="s">
        <v>31</v>
      </c>
      <c r="D261" t="s">
        <v>17</v>
      </c>
      <c r="E261" t="s">
        <v>39</v>
      </c>
      <c r="F261" t="s">
        <v>53</v>
      </c>
      <c r="G261" t="s">
        <v>44</v>
      </c>
      <c r="H261">
        <v>6</v>
      </c>
      <c r="I261" s="18">
        <v>1394.95</v>
      </c>
      <c r="J261" s="18">
        <f t="shared" si="20"/>
        <v>8369.7000000000007</v>
      </c>
      <c r="K261" s="18">
        <v>6053.35</v>
      </c>
      <c r="L261" s="18">
        <f t="shared" si="21"/>
        <v>2316.3500000000004</v>
      </c>
      <c r="M261" s="3">
        <f t="shared" si="22"/>
        <v>0.27675424447710195</v>
      </c>
      <c r="N261" s="4">
        <f t="shared" si="23"/>
        <v>45717</v>
      </c>
      <c r="O261" t="str">
        <f t="shared" si="24"/>
        <v>Mar</v>
      </c>
    </row>
    <row r="262" spans="1:15" ht="15" customHeight="1" x14ac:dyDescent="0.25">
      <c r="A262" t="s">
        <v>299</v>
      </c>
      <c r="B262" s="2">
        <v>45806</v>
      </c>
      <c r="C262" t="s">
        <v>31</v>
      </c>
      <c r="D262" t="s">
        <v>23</v>
      </c>
      <c r="E262" t="s">
        <v>52</v>
      </c>
      <c r="F262" t="s">
        <v>62</v>
      </c>
      <c r="G262" t="s">
        <v>20</v>
      </c>
      <c r="H262">
        <v>7</v>
      </c>
      <c r="I262" s="18">
        <v>1820.71</v>
      </c>
      <c r="J262" s="18">
        <f t="shared" si="20"/>
        <v>12744.970000000001</v>
      </c>
      <c r="K262" s="18">
        <v>10427.89</v>
      </c>
      <c r="L262" s="18">
        <f t="shared" si="21"/>
        <v>2317.0800000000017</v>
      </c>
      <c r="M262" s="3">
        <f t="shared" si="22"/>
        <v>0.18180348796427151</v>
      </c>
      <c r="N262" s="4">
        <f t="shared" si="23"/>
        <v>45778</v>
      </c>
      <c r="O262" t="str">
        <f t="shared" si="24"/>
        <v>May</v>
      </c>
    </row>
    <row r="263" spans="1:15" ht="15" customHeight="1" x14ac:dyDescent="0.25">
      <c r="A263" t="s">
        <v>300</v>
      </c>
      <c r="B263" s="2">
        <v>45732</v>
      </c>
      <c r="C263" t="s">
        <v>22</v>
      </c>
      <c r="D263" t="s">
        <v>17</v>
      </c>
      <c r="E263" t="s">
        <v>24</v>
      </c>
      <c r="F263" t="s">
        <v>46</v>
      </c>
      <c r="G263" t="s">
        <v>28</v>
      </c>
      <c r="H263">
        <v>3</v>
      </c>
      <c r="I263" s="18">
        <v>13257.16</v>
      </c>
      <c r="J263" s="18">
        <f t="shared" si="20"/>
        <v>39771.479999999996</v>
      </c>
      <c r="K263" s="18">
        <v>25632.41</v>
      </c>
      <c r="L263" s="18">
        <f t="shared" si="21"/>
        <v>14139.069999999996</v>
      </c>
      <c r="M263" s="3">
        <f t="shared" si="22"/>
        <v>0.35550776586639465</v>
      </c>
      <c r="N263" s="4">
        <f t="shared" si="23"/>
        <v>45717</v>
      </c>
      <c r="O263" t="str">
        <f t="shared" si="24"/>
        <v>Mar</v>
      </c>
    </row>
    <row r="264" spans="1:15" ht="15" customHeight="1" x14ac:dyDescent="0.25">
      <c r="A264" t="s">
        <v>301</v>
      </c>
      <c r="B264" s="2">
        <v>45696</v>
      </c>
      <c r="C264" t="s">
        <v>16</v>
      </c>
      <c r="D264" t="s">
        <v>23</v>
      </c>
      <c r="E264" t="s">
        <v>24</v>
      </c>
      <c r="F264" t="s">
        <v>19</v>
      </c>
      <c r="G264" t="s">
        <v>20</v>
      </c>
      <c r="H264">
        <v>6</v>
      </c>
      <c r="I264" s="18">
        <v>3150.2</v>
      </c>
      <c r="J264" s="18">
        <f t="shared" si="20"/>
        <v>18901.199999999997</v>
      </c>
      <c r="K264" s="18">
        <v>13176.61</v>
      </c>
      <c r="L264" s="18">
        <f t="shared" si="21"/>
        <v>5724.5899999999965</v>
      </c>
      <c r="M264" s="3">
        <f t="shared" si="22"/>
        <v>0.30286913000232774</v>
      </c>
      <c r="N264" s="4">
        <f t="shared" si="23"/>
        <v>45689</v>
      </c>
      <c r="O264" t="str">
        <f t="shared" si="24"/>
        <v>Feb</v>
      </c>
    </row>
    <row r="265" spans="1:15" ht="15" customHeight="1" x14ac:dyDescent="0.25">
      <c r="A265" t="s">
        <v>302</v>
      </c>
      <c r="B265" s="2">
        <v>45983</v>
      </c>
      <c r="C265" t="s">
        <v>26</v>
      </c>
      <c r="D265" t="s">
        <v>17</v>
      </c>
      <c r="E265" t="s">
        <v>39</v>
      </c>
      <c r="F265" t="s">
        <v>46</v>
      </c>
      <c r="G265" t="s">
        <v>28</v>
      </c>
      <c r="H265">
        <v>7</v>
      </c>
      <c r="I265" s="18">
        <v>10689.1</v>
      </c>
      <c r="J265" s="18">
        <f t="shared" si="20"/>
        <v>74823.7</v>
      </c>
      <c r="K265" s="18">
        <v>52281.68</v>
      </c>
      <c r="L265" s="18">
        <f t="shared" si="21"/>
        <v>22542.019999999997</v>
      </c>
      <c r="M265" s="3">
        <f t="shared" si="22"/>
        <v>0.3012684483659589</v>
      </c>
      <c r="N265" s="4">
        <f t="shared" si="23"/>
        <v>45962</v>
      </c>
      <c r="O265" t="str">
        <f t="shared" si="24"/>
        <v>Nov</v>
      </c>
    </row>
    <row r="266" spans="1:15" ht="15" customHeight="1" x14ac:dyDescent="0.25">
      <c r="A266" t="s">
        <v>303</v>
      </c>
      <c r="B266" s="2">
        <v>45938</v>
      </c>
      <c r="C266" t="s">
        <v>16</v>
      </c>
      <c r="D266" t="s">
        <v>23</v>
      </c>
      <c r="E266" t="s">
        <v>24</v>
      </c>
      <c r="F266" t="s">
        <v>62</v>
      </c>
      <c r="G266" t="s">
        <v>20</v>
      </c>
      <c r="H266">
        <v>6</v>
      </c>
      <c r="I266" s="18">
        <v>5259.3</v>
      </c>
      <c r="J266" s="18">
        <f t="shared" si="20"/>
        <v>31555.800000000003</v>
      </c>
      <c r="K266" s="18">
        <v>24075.21</v>
      </c>
      <c r="L266" s="18">
        <f t="shared" si="21"/>
        <v>7480.5900000000038</v>
      </c>
      <c r="M266" s="3">
        <f t="shared" si="22"/>
        <v>0.23705911433080457</v>
      </c>
      <c r="N266" s="4">
        <f t="shared" si="23"/>
        <v>45931</v>
      </c>
      <c r="O266" t="str">
        <f t="shared" si="24"/>
        <v>Oct</v>
      </c>
    </row>
    <row r="267" spans="1:15" ht="15" customHeight="1" x14ac:dyDescent="0.25">
      <c r="A267" t="s">
        <v>304</v>
      </c>
      <c r="B267" s="2">
        <v>45666</v>
      </c>
      <c r="C267" t="s">
        <v>31</v>
      </c>
      <c r="D267" t="s">
        <v>17</v>
      </c>
      <c r="E267" t="s">
        <v>52</v>
      </c>
      <c r="F267" t="s">
        <v>19</v>
      </c>
      <c r="G267" t="s">
        <v>20</v>
      </c>
      <c r="H267">
        <v>1</v>
      </c>
      <c r="I267" s="18">
        <v>4959.13</v>
      </c>
      <c r="J267" s="18">
        <f t="shared" si="20"/>
        <v>4959.13</v>
      </c>
      <c r="K267" s="18">
        <v>3385.46</v>
      </c>
      <c r="L267" s="18">
        <f t="shared" si="21"/>
        <v>1573.67</v>
      </c>
      <c r="M267" s="3">
        <f t="shared" si="22"/>
        <v>0.31732783774573364</v>
      </c>
      <c r="N267" s="4">
        <f t="shared" si="23"/>
        <v>45658</v>
      </c>
      <c r="O267" t="str">
        <f t="shared" si="24"/>
        <v>Jan</v>
      </c>
    </row>
    <row r="268" spans="1:15" ht="15" customHeight="1" x14ac:dyDescent="0.25">
      <c r="A268" t="s">
        <v>305</v>
      </c>
      <c r="B268" s="2">
        <v>45798</v>
      </c>
      <c r="C268" t="s">
        <v>31</v>
      </c>
      <c r="D268" t="s">
        <v>23</v>
      </c>
      <c r="E268" t="s">
        <v>24</v>
      </c>
      <c r="F268" t="s">
        <v>19</v>
      </c>
      <c r="G268" t="s">
        <v>20</v>
      </c>
      <c r="H268">
        <v>2</v>
      </c>
      <c r="I268" s="18">
        <v>3753.27</v>
      </c>
      <c r="J268" s="18">
        <f t="shared" si="20"/>
        <v>7506.54</v>
      </c>
      <c r="K268" s="18">
        <v>5982.05</v>
      </c>
      <c r="L268" s="18">
        <f t="shared" si="21"/>
        <v>1524.4899999999998</v>
      </c>
      <c r="M268" s="3">
        <f t="shared" si="22"/>
        <v>0.20308824038771522</v>
      </c>
      <c r="N268" s="4">
        <f t="shared" si="23"/>
        <v>45778</v>
      </c>
      <c r="O268" t="str">
        <f t="shared" si="24"/>
        <v>May</v>
      </c>
    </row>
    <row r="269" spans="1:15" ht="15" customHeight="1" x14ac:dyDescent="0.25">
      <c r="A269" t="s">
        <v>306</v>
      </c>
      <c r="B269" s="2">
        <v>45978</v>
      </c>
      <c r="C269" t="s">
        <v>22</v>
      </c>
      <c r="D269" t="s">
        <v>23</v>
      </c>
      <c r="E269" t="s">
        <v>52</v>
      </c>
      <c r="F269" t="s">
        <v>27</v>
      </c>
      <c r="G269" t="s">
        <v>28</v>
      </c>
      <c r="H269">
        <v>2</v>
      </c>
      <c r="I269" s="18">
        <v>21745.21</v>
      </c>
      <c r="J269" s="18">
        <f t="shared" si="20"/>
        <v>43490.42</v>
      </c>
      <c r="K269" s="18">
        <v>25235.78</v>
      </c>
      <c r="L269" s="18">
        <f t="shared" si="21"/>
        <v>18254.64</v>
      </c>
      <c r="M269" s="3">
        <f t="shared" si="22"/>
        <v>0.41973933569737887</v>
      </c>
      <c r="N269" s="4">
        <f t="shared" si="23"/>
        <v>45962</v>
      </c>
      <c r="O269" t="str">
        <f t="shared" si="24"/>
        <v>Nov</v>
      </c>
    </row>
    <row r="270" spans="1:15" ht="15" customHeight="1" x14ac:dyDescent="0.25">
      <c r="A270" t="s">
        <v>307</v>
      </c>
      <c r="B270" s="2">
        <v>45961</v>
      </c>
      <c r="C270" t="s">
        <v>22</v>
      </c>
      <c r="D270" t="s">
        <v>23</v>
      </c>
      <c r="E270" t="s">
        <v>24</v>
      </c>
      <c r="F270" t="s">
        <v>53</v>
      </c>
      <c r="G270" t="s">
        <v>44</v>
      </c>
      <c r="H270">
        <v>1</v>
      </c>
      <c r="I270" s="18">
        <v>4722.8</v>
      </c>
      <c r="J270" s="18">
        <f t="shared" si="20"/>
        <v>4722.8</v>
      </c>
      <c r="K270" s="18">
        <v>3665.39</v>
      </c>
      <c r="L270" s="18">
        <f t="shared" si="21"/>
        <v>1057.4100000000003</v>
      </c>
      <c r="M270" s="3">
        <f t="shared" si="22"/>
        <v>0.22389472346912853</v>
      </c>
      <c r="N270" s="4">
        <f t="shared" si="23"/>
        <v>45931</v>
      </c>
      <c r="O270" t="str">
        <f t="shared" si="24"/>
        <v>Oct</v>
      </c>
    </row>
    <row r="271" spans="1:15" ht="15" customHeight="1" x14ac:dyDescent="0.25">
      <c r="A271" t="s">
        <v>308</v>
      </c>
      <c r="B271" s="2">
        <v>45694</v>
      </c>
      <c r="C271" t="s">
        <v>26</v>
      </c>
      <c r="D271" t="s">
        <v>23</v>
      </c>
      <c r="E271" t="s">
        <v>24</v>
      </c>
      <c r="F271" t="s">
        <v>53</v>
      </c>
      <c r="G271" t="s">
        <v>44</v>
      </c>
      <c r="H271">
        <v>2</v>
      </c>
      <c r="I271" s="18">
        <v>1501.56</v>
      </c>
      <c r="J271" s="18">
        <f t="shared" si="20"/>
        <v>3003.12</v>
      </c>
      <c r="K271" s="18">
        <v>2006.73</v>
      </c>
      <c r="L271" s="18">
        <f t="shared" si="21"/>
        <v>996.38999999999987</v>
      </c>
      <c r="M271" s="3">
        <f t="shared" si="22"/>
        <v>0.33178494365859501</v>
      </c>
      <c r="N271" s="4">
        <f t="shared" si="23"/>
        <v>45689</v>
      </c>
      <c r="O271" t="str">
        <f t="shared" si="24"/>
        <v>Feb</v>
      </c>
    </row>
    <row r="272" spans="1:15" ht="15" customHeight="1" x14ac:dyDescent="0.25">
      <c r="A272" t="s">
        <v>309</v>
      </c>
      <c r="B272" s="2">
        <v>45726</v>
      </c>
      <c r="C272" t="s">
        <v>31</v>
      </c>
      <c r="D272" t="s">
        <v>17</v>
      </c>
      <c r="E272" t="s">
        <v>33</v>
      </c>
      <c r="F272" t="s">
        <v>35</v>
      </c>
      <c r="G272" t="s">
        <v>20</v>
      </c>
      <c r="H272">
        <v>3</v>
      </c>
      <c r="I272" s="18">
        <v>957.39</v>
      </c>
      <c r="J272" s="18">
        <f t="shared" si="20"/>
        <v>2872.17</v>
      </c>
      <c r="K272" s="18">
        <v>2163.85</v>
      </c>
      <c r="L272" s="18">
        <f t="shared" si="21"/>
        <v>708.32000000000016</v>
      </c>
      <c r="M272" s="3">
        <f t="shared" si="22"/>
        <v>0.24661492878207075</v>
      </c>
      <c r="N272" s="4">
        <f t="shared" si="23"/>
        <v>45717</v>
      </c>
      <c r="O272" t="str">
        <f t="shared" si="24"/>
        <v>Mar</v>
      </c>
    </row>
    <row r="273" spans="1:15" ht="15" customHeight="1" x14ac:dyDescent="0.25">
      <c r="A273" t="s">
        <v>310</v>
      </c>
      <c r="B273" s="2">
        <v>46009</v>
      </c>
      <c r="C273" t="s">
        <v>22</v>
      </c>
      <c r="D273" t="s">
        <v>17</v>
      </c>
      <c r="E273" t="s">
        <v>24</v>
      </c>
      <c r="F273" t="s">
        <v>40</v>
      </c>
      <c r="G273" t="s">
        <v>20</v>
      </c>
      <c r="H273">
        <v>2</v>
      </c>
      <c r="I273" s="18">
        <v>1083.9100000000001</v>
      </c>
      <c r="J273" s="18">
        <f t="shared" si="20"/>
        <v>2167.8200000000002</v>
      </c>
      <c r="K273" s="18">
        <v>1321.41</v>
      </c>
      <c r="L273" s="18">
        <f t="shared" si="21"/>
        <v>846.41000000000008</v>
      </c>
      <c r="M273" s="3">
        <f t="shared" si="22"/>
        <v>0.39044293345388453</v>
      </c>
      <c r="N273" s="4">
        <f t="shared" si="23"/>
        <v>45992</v>
      </c>
      <c r="O273" t="str">
        <f t="shared" si="24"/>
        <v>Dec</v>
      </c>
    </row>
    <row r="274" spans="1:15" ht="15" customHeight="1" x14ac:dyDescent="0.25">
      <c r="A274" t="s">
        <v>311</v>
      </c>
      <c r="B274" s="2">
        <v>45819</v>
      </c>
      <c r="C274" t="s">
        <v>26</v>
      </c>
      <c r="D274" t="s">
        <v>23</v>
      </c>
      <c r="E274" t="s">
        <v>39</v>
      </c>
      <c r="F274" t="s">
        <v>35</v>
      </c>
      <c r="G274" t="s">
        <v>20</v>
      </c>
      <c r="H274">
        <v>2</v>
      </c>
      <c r="I274" s="18">
        <v>3008.44</v>
      </c>
      <c r="J274" s="18">
        <f t="shared" si="20"/>
        <v>6016.88</v>
      </c>
      <c r="K274" s="18">
        <v>4357.66</v>
      </c>
      <c r="L274" s="18">
        <f t="shared" si="21"/>
        <v>1659.2200000000003</v>
      </c>
      <c r="M274" s="3">
        <f t="shared" si="22"/>
        <v>0.27576085944875089</v>
      </c>
      <c r="N274" s="4">
        <f t="shared" si="23"/>
        <v>45809</v>
      </c>
      <c r="O274" t="str">
        <f t="shared" si="24"/>
        <v>Jun</v>
      </c>
    </row>
    <row r="275" spans="1:15" ht="15" customHeight="1" x14ac:dyDescent="0.25">
      <c r="A275" t="s">
        <v>312</v>
      </c>
      <c r="B275" s="2">
        <v>45763</v>
      </c>
      <c r="C275" t="s">
        <v>31</v>
      </c>
      <c r="D275" t="s">
        <v>17</v>
      </c>
      <c r="E275" t="s">
        <v>24</v>
      </c>
      <c r="F275" t="s">
        <v>50</v>
      </c>
      <c r="G275" t="s">
        <v>28</v>
      </c>
      <c r="H275">
        <v>7</v>
      </c>
      <c r="I275" s="18">
        <v>973.5</v>
      </c>
      <c r="J275" s="18">
        <f t="shared" si="20"/>
        <v>6814.5</v>
      </c>
      <c r="K275" s="18">
        <v>4041.66</v>
      </c>
      <c r="L275" s="18">
        <f t="shared" si="21"/>
        <v>2772.84</v>
      </c>
      <c r="M275" s="3">
        <f t="shared" si="22"/>
        <v>0.40690292758089369</v>
      </c>
      <c r="N275" s="4">
        <f t="shared" si="23"/>
        <v>45748</v>
      </c>
      <c r="O275" t="str">
        <f t="shared" si="24"/>
        <v>Apr</v>
      </c>
    </row>
    <row r="276" spans="1:15" ht="15" customHeight="1" x14ac:dyDescent="0.25">
      <c r="A276" t="s">
        <v>313</v>
      </c>
      <c r="B276" s="2">
        <v>45715</v>
      </c>
      <c r="C276" t="s">
        <v>31</v>
      </c>
      <c r="D276" t="s">
        <v>17</v>
      </c>
      <c r="E276" t="s">
        <v>33</v>
      </c>
      <c r="F276" t="s">
        <v>53</v>
      </c>
      <c r="G276" t="s">
        <v>44</v>
      </c>
      <c r="H276">
        <v>1</v>
      </c>
      <c r="I276" s="18">
        <v>1625.21</v>
      </c>
      <c r="J276" s="18">
        <f t="shared" si="20"/>
        <v>1625.21</v>
      </c>
      <c r="K276" s="18">
        <v>1306.9000000000001</v>
      </c>
      <c r="L276" s="18">
        <f t="shared" si="21"/>
        <v>318.30999999999995</v>
      </c>
      <c r="M276" s="3">
        <f t="shared" si="22"/>
        <v>0.1958577660733074</v>
      </c>
      <c r="N276" s="4">
        <f t="shared" si="23"/>
        <v>45689</v>
      </c>
      <c r="O276" t="str">
        <f t="shared" si="24"/>
        <v>Feb</v>
      </c>
    </row>
    <row r="277" spans="1:15" ht="15" customHeight="1" x14ac:dyDescent="0.25">
      <c r="A277" t="s">
        <v>314</v>
      </c>
      <c r="B277" s="2">
        <v>45873</v>
      </c>
      <c r="C277" t="s">
        <v>16</v>
      </c>
      <c r="D277" t="s">
        <v>23</v>
      </c>
      <c r="E277" t="s">
        <v>18</v>
      </c>
      <c r="F277" t="s">
        <v>46</v>
      </c>
      <c r="G277" t="s">
        <v>28</v>
      </c>
      <c r="H277">
        <v>8</v>
      </c>
      <c r="I277" s="18">
        <v>19582.580000000002</v>
      </c>
      <c r="J277" s="18">
        <f t="shared" si="20"/>
        <v>156660.64000000001</v>
      </c>
      <c r="K277" s="18">
        <v>119827.86</v>
      </c>
      <c r="L277" s="18">
        <f t="shared" si="21"/>
        <v>36832.780000000013</v>
      </c>
      <c r="M277" s="3">
        <f t="shared" si="22"/>
        <v>0.23511189536823041</v>
      </c>
      <c r="N277" s="4">
        <f t="shared" si="23"/>
        <v>45870</v>
      </c>
      <c r="O277" t="str">
        <f t="shared" si="24"/>
        <v>Aug</v>
      </c>
    </row>
    <row r="278" spans="1:15" ht="15" customHeight="1" x14ac:dyDescent="0.25">
      <c r="A278" t="s">
        <v>315</v>
      </c>
      <c r="B278" s="2">
        <v>45792</v>
      </c>
      <c r="C278" t="s">
        <v>22</v>
      </c>
      <c r="D278" t="s">
        <v>17</v>
      </c>
      <c r="E278" t="s">
        <v>24</v>
      </c>
      <c r="F278" t="s">
        <v>53</v>
      </c>
      <c r="G278" t="s">
        <v>44</v>
      </c>
      <c r="H278">
        <v>7</v>
      </c>
      <c r="I278" s="18">
        <v>1396.84</v>
      </c>
      <c r="J278" s="18">
        <f t="shared" si="20"/>
        <v>9777.8799999999992</v>
      </c>
      <c r="K278" s="18">
        <v>7146.23</v>
      </c>
      <c r="L278" s="18">
        <f t="shared" si="21"/>
        <v>2631.6499999999996</v>
      </c>
      <c r="M278" s="3">
        <f t="shared" si="22"/>
        <v>0.26914320895736088</v>
      </c>
      <c r="N278" s="4">
        <f t="shared" si="23"/>
        <v>45778</v>
      </c>
      <c r="O278" t="str">
        <f t="shared" si="24"/>
        <v>May</v>
      </c>
    </row>
    <row r="279" spans="1:15" ht="15" customHeight="1" x14ac:dyDescent="0.25">
      <c r="A279" t="s">
        <v>316</v>
      </c>
      <c r="B279" s="2">
        <v>45700</v>
      </c>
      <c r="C279" t="s">
        <v>31</v>
      </c>
      <c r="D279" t="s">
        <v>23</v>
      </c>
      <c r="E279" t="s">
        <v>33</v>
      </c>
      <c r="F279" t="s">
        <v>50</v>
      </c>
      <c r="G279" t="s">
        <v>28</v>
      </c>
      <c r="H279">
        <v>2</v>
      </c>
      <c r="I279" s="18">
        <v>513.70000000000005</v>
      </c>
      <c r="J279" s="18">
        <f t="shared" si="20"/>
        <v>1027.4000000000001</v>
      </c>
      <c r="K279" s="18">
        <v>721.97</v>
      </c>
      <c r="L279" s="18">
        <f t="shared" si="21"/>
        <v>305.43000000000006</v>
      </c>
      <c r="M279" s="3">
        <f t="shared" si="22"/>
        <v>0.29728440724158073</v>
      </c>
      <c r="N279" s="4">
        <f t="shared" si="23"/>
        <v>45689</v>
      </c>
      <c r="O279" t="str">
        <f t="shared" si="24"/>
        <v>Feb</v>
      </c>
    </row>
    <row r="280" spans="1:15" ht="15" customHeight="1" x14ac:dyDescent="0.25">
      <c r="A280" t="s">
        <v>317</v>
      </c>
      <c r="B280" s="2">
        <v>45825</v>
      </c>
      <c r="C280" t="s">
        <v>16</v>
      </c>
      <c r="D280" t="s">
        <v>23</v>
      </c>
      <c r="E280" t="s">
        <v>18</v>
      </c>
      <c r="F280" t="s">
        <v>43</v>
      </c>
      <c r="G280" t="s">
        <v>44</v>
      </c>
      <c r="H280">
        <v>7</v>
      </c>
      <c r="I280" s="18">
        <v>593.08000000000004</v>
      </c>
      <c r="J280" s="18">
        <f t="shared" si="20"/>
        <v>4151.5600000000004</v>
      </c>
      <c r="K280" s="18">
        <v>3251.3</v>
      </c>
      <c r="L280" s="18">
        <f t="shared" si="21"/>
        <v>900.26000000000022</v>
      </c>
      <c r="M280" s="3">
        <f t="shared" si="22"/>
        <v>0.21684860630702679</v>
      </c>
      <c r="N280" s="4">
        <f t="shared" si="23"/>
        <v>45809</v>
      </c>
      <c r="O280" t="str">
        <f t="shared" si="24"/>
        <v>Jun</v>
      </c>
    </row>
    <row r="281" spans="1:15" ht="15" customHeight="1" x14ac:dyDescent="0.25">
      <c r="A281" t="s">
        <v>318</v>
      </c>
      <c r="B281" s="2">
        <v>45880</v>
      </c>
      <c r="C281" t="s">
        <v>16</v>
      </c>
      <c r="D281" t="s">
        <v>23</v>
      </c>
      <c r="E281" t="s">
        <v>24</v>
      </c>
      <c r="F281" t="s">
        <v>19</v>
      </c>
      <c r="G281" t="s">
        <v>20</v>
      </c>
      <c r="H281">
        <v>3</v>
      </c>
      <c r="I281" s="18">
        <v>1247.25</v>
      </c>
      <c r="J281" s="18">
        <f t="shared" si="20"/>
        <v>3741.75</v>
      </c>
      <c r="K281" s="18">
        <v>2805.92</v>
      </c>
      <c r="L281" s="18">
        <f t="shared" si="21"/>
        <v>935.82999999999993</v>
      </c>
      <c r="M281" s="3">
        <f t="shared" si="22"/>
        <v>0.25010489744103692</v>
      </c>
      <c r="N281" s="4">
        <f t="shared" si="23"/>
        <v>45870</v>
      </c>
      <c r="O281" t="str">
        <f t="shared" si="24"/>
        <v>Aug</v>
      </c>
    </row>
    <row r="282" spans="1:15" ht="15" customHeight="1" x14ac:dyDescent="0.25">
      <c r="A282" t="s">
        <v>319</v>
      </c>
      <c r="B282" s="2">
        <v>45835</v>
      </c>
      <c r="C282" t="s">
        <v>26</v>
      </c>
      <c r="D282" t="s">
        <v>23</v>
      </c>
      <c r="E282" t="s">
        <v>18</v>
      </c>
      <c r="F282" t="s">
        <v>50</v>
      </c>
      <c r="G282" t="s">
        <v>28</v>
      </c>
      <c r="H282">
        <v>6</v>
      </c>
      <c r="I282" s="18">
        <v>388.66</v>
      </c>
      <c r="J282" s="18">
        <f t="shared" si="20"/>
        <v>2331.96</v>
      </c>
      <c r="K282" s="18">
        <v>1789.71</v>
      </c>
      <c r="L282" s="18">
        <f t="shared" si="21"/>
        <v>542.25</v>
      </c>
      <c r="M282" s="3">
        <f t="shared" si="22"/>
        <v>0.23252971749086604</v>
      </c>
      <c r="N282" s="4">
        <f t="shared" si="23"/>
        <v>45809</v>
      </c>
      <c r="O282" t="str">
        <f t="shared" si="24"/>
        <v>Jun</v>
      </c>
    </row>
    <row r="283" spans="1:15" ht="15" customHeight="1" x14ac:dyDescent="0.25">
      <c r="A283" t="s">
        <v>320</v>
      </c>
      <c r="B283" s="2">
        <v>45829</v>
      </c>
      <c r="C283" t="s">
        <v>16</v>
      </c>
      <c r="D283" t="s">
        <v>17</v>
      </c>
      <c r="E283" t="s">
        <v>33</v>
      </c>
      <c r="F283" t="s">
        <v>43</v>
      </c>
      <c r="G283" t="s">
        <v>44</v>
      </c>
      <c r="H283">
        <v>2</v>
      </c>
      <c r="I283" s="18">
        <v>518.6</v>
      </c>
      <c r="J283" s="18">
        <f t="shared" si="20"/>
        <v>1037.2</v>
      </c>
      <c r="K283" s="18">
        <v>728.72</v>
      </c>
      <c r="L283" s="18">
        <f t="shared" si="21"/>
        <v>308.48</v>
      </c>
      <c r="M283" s="3">
        <f t="shared" si="22"/>
        <v>0.2974161203239491</v>
      </c>
      <c r="N283" s="4">
        <f t="shared" si="23"/>
        <v>45809</v>
      </c>
      <c r="O283" t="str">
        <f t="shared" si="24"/>
        <v>Jun</v>
      </c>
    </row>
    <row r="284" spans="1:15" ht="15" customHeight="1" x14ac:dyDescent="0.25">
      <c r="A284" t="s">
        <v>321</v>
      </c>
      <c r="B284" s="2">
        <v>45743</v>
      </c>
      <c r="C284" t="s">
        <v>16</v>
      </c>
      <c r="D284" t="s">
        <v>23</v>
      </c>
      <c r="E284" t="s">
        <v>33</v>
      </c>
      <c r="F284" t="s">
        <v>46</v>
      </c>
      <c r="G284" t="s">
        <v>28</v>
      </c>
      <c r="H284">
        <v>2</v>
      </c>
      <c r="I284" s="18">
        <v>12489.89</v>
      </c>
      <c r="J284" s="18">
        <f t="shared" si="20"/>
        <v>24979.78</v>
      </c>
      <c r="K284" s="18">
        <v>18529.72</v>
      </c>
      <c r="L284" s="18">
        <f t="shared" si="21"/>
        <v>6450.0599999999977</v>
      </c>
      <c r="M284" s="3">
        <f t="shared" si="22"/>
        <v>0.25821124125192446</v>
      </c>
      <c r="N284" s="4">
        <f t="shared" si="23"/>
        <v>45717</v>
      </c>
      <c r="O284" t="str">
        <f t="shared" si="24"/>
        <v>Mar</v>
      </c>
    </row>
    <row r="285" spans="1:15" ht="15" customHeight="1" x14ac:dyDescent="0.25">
      <c r="A285" t="s">
        <v>322</v>
      </c>
      <c r="B285" s="2">
        <v>45659</v>
      </c>
      <c r="C285" t="s">
        <v>31</v>
      </c>
      <c r="D285" t="s">
        <v>23</v>
      </c>
      <c r="E285" t="s">
        <v>33</v>
      </c>
      <c r="F285" t="s">
        <v>37</v>
      </c>
      <c r="G285" t="s">
        <v>20</v>
      </c>
      <c r="H285">
        <v>8</v>
      </c>
      <c r="I285" s="18">
        <v>8950.69</v>
      </c>
      <c r="J285" s="18">
        <f t="shared" si="20"/>
        <v>71605.52</v>
      </c>
      <c r="K285" s="18">
        <v>57345.59</v>
      </c>
      <c r="L285" s="18">
        <f t="shared" si="21"/>
        <v>14259.930000000008</v>
      </c>
      <c r="M285" s="3">
        <f t="shared" si="22"/>
        <v>0.1991456803888863</v>
      </c>
      <c r="N285" s="4">
        <f t="shared" si="23"/>
        <v>45658</v>
      </c>
      <c r="O285" t="str">
        <f t="shared" si="24"/>
        <v>Jan</v>
      </c>
    </row>
    <row r="286" spans="1:15" ht="15" customHeight="1" x14ac:dyDescent="0.25">
      <c r="A286" t="s">
        <v>323</v>
      </c>
      <c r="B286" s="2">
        <v>45993</v>
      </c>
      <c r="C286" t="s">
        <v>16</v>
      </c>
      <c r="D286" t="s">
        <v>17</v>
      </c>
      <c r="E286" t="s">
        <v>18</v>
      </c>
      <c r="F286" t="s">
        <v>43</v>
      </c>
      <c r="G286" t="s">
        <v>44</v>
      </c>
      <c r="H286">
        <v>7</v>
      </c>
      <c r="I286" s="18">
        <v>545.91999999999996</v>
      </c>
      <c r="J286" s="18">
        <f t="shared" si="20"/>
        <v>3821.4399999999996</v>
      </c>
      <c r="K286" s="18">
        <v>2509.86</v>
      </c>
      <c r="L286" s="18">
        <f t="shared" si="21"/>
        <v>1311.5799999999995</v>
      </c>
      <c r="M286" s="3">
        <f t="shared" si="22"/>
        <v>0.34321616982080044</v>
      </c>
      <c r="N286" s="4">
        <f t="shared" si="23"/>
        <v>45992</v>
      </c>
      <c r="O286" t="str">
        <f t="shared" si="24"/>
        <v>Dec</v>
      </c>
    </row>
    <row r="287" spans="1:15" ht="15" customHeight="1" x14ac:dyDescent="0.25">
      <c r="A287" t="s">
        <v>324</v>
      </c>
      <c r="B287" s="2">
        <v>45915</v>
      </c>
      <c r="C287" t="s">
        <v>22</v>
      </c>
      <c r="D287" t="s">
        <v>17</v>
      </c>
      <c r="E287" t="s">
        <v>39</v>
      </c>
      <c r="F287" t="s">
        <v>37</v>
      </c>
      <c r="G287" t="s">
        <v>20</v>
      </c>
      <c r="H287">
        <v>1</v>
      </c>
      <c r="I287" s="18">
        <v>13022.16</v>
      </c>
      <c r="J287" s="18">
        <f t="shared" si="20"/>
        <v>13022.16</v>
      </c>
      <c r="K287" s="18">
        <v>7768.27</v>
      </c>
      <c r="L287" s="18">
        <f t="shared" si="21"/>
        <v>5253.8899999999994</v>
      </c>
      <c r="M287" s="3">
        <f t="shared" si="22"/>
        <v>0.40345764450751637</v>
      </c>
      <c r="N287" s="4">
        <f t="shared" si="23"/>
        <v>45901</v>
      </c>
      <c r="O287" t="str">
        <f t="shared" si="24"/>
        <v>Sep</v>
      </c>
    </row>
    <row r="288" spans="1:15" ht="15" customHeight="1" x14ac:dyDescent="0.25">
      <c r="A288" t="s">
        <v>325</v>
      </c>
      <c r="B288" s="2">
        <v>45825</v>
      </c>
      <c r="C288" t="s">
        <v>26</v>
      </c>
      <c r="D288" t="s">
        <v>23</v>
      </c>
      <c r="E288" t="s">
        <v>24</v>
      </c>
      <c r="F288" t="s">
        <v>19</v>
      </c>
      <c r="G288" t="s">
        <v>20</v>
      </c>
      <c r="H288">
        <v>6</v>
      </c>
      <c r="I288" s="18">
        <v>4363.16</v>
      </c>
      <c r="J288" s="18">
        <f t="shared" si="20"/>
        <v>26178.959999999999</v>
      </c>
      <c r="K288" s="18">
        <v>18726.169999999998</v>
      </c>
      <c r="L288" s="18">
        <f t="shared" si="21"/>
        <v>7452.7900000000009</v>
      </c>
      <c r="M288" s="3">
        <f t="shared" si="22"/>
        <v>0.28468625186027258</v>
      </c>
      <c r="N288" s="4">
        <f t="shared" si="23"/>
        <v>45809</v>
      </c>
      <c r="O288" t="str">
        <f t="shared" si="24"/>
        <v>Jun</v>
      </c>
    </row>
    <row r="289" spans="1:15" ht="15" customHeight="1" x14ac:dyDescent="0.25">
      <c r="A289" t="s">
        <v>326</v>
      </c>
      <c r="B289" s="2">
        <v>45846</v>
      </c>
      <c r="C289" t="s">
        <v>16</v>
      </c>
      <c r="D289" t="s">
        <v>23</v>
      </c>
      <c r="E289" t="s">
        <v>33</v>
      </c>
      <c r="F289" t="s">
        <v>62</v>
      </c>
      <c r="G289" t="s">
        <v>20</v>
      </c>
      <c r="H289">
        <v>4</v>
      </c>
      <c r="I289" s="18">
        <v>2325.2800000000002</v>
      </c>
      <c r="J289" s="18">
        <f t="shared" si="20"/>
        <v>9301.1200000000008</v>
      </c>
      <c r="K289" s="18">
        <v>7476.01</v>
      </c>
      <c r="L289" s="18">
        <f t="shared" si="21"/>
        <v>1825.1100000000006</v>
      </c>
      <c r="M289" s="3">
        <f t="shared" si="22"/>
        <v>0.19622475572834244</v>
      </c>
      <c r="N289" s="4">
        <f t="shared" si="23"/>
        <v>45839</v>
      </c>
      <c r="O289" t="str">
        <f t="shared" si="24"/>
        <v>Jul</v>
      </c>
    </row>
    <row r="290" spans="1:15" ht="15" customHeight="1" x14ac:dyDescent="0.25">
      <c r="A290" t="s">
        <v>327</v>
      </c>
      <c r="B290" s="2">
        <v>45835</v>
      </c>
      <c r="C290" t="s">
        <v>16</v>
      </c>
      <c r="D290" t="s">
        <v>23</v>
      </c>
      <c r="E290" t="s">
        <v>33</v>
      </c>
      <c r="F290" t="s">
        <v>37</v>
      </c>
      <c r="G290" t="s">
        <v>20</v>
      </c>
      <c r="H290">
        <v>7</v>
      </c>
      <c r="I290" s="18">
        <v>15499.28</v>
      </c>
      <c r="J290" s="18">
        <f t="shared" si="20"/>
        <v>108494.96</v>
      </c>
      <c r="K290" s="18">
        <v>81862.880000000005</v>
      </c>
      <c r="L290" s="18">
        <f t="shared" si="21"/>
        <v>26632.080000000002</v>
      </c>
      <c r="M290" s="3">
        <f t="shared" si="22"/>
        <v>0.24546836092662738</v>
      </c>
      <c r="N290" s="4">
        <f t="shared" si="23"/>
        <v>45809</v>
      </c>
      <c r="O290" t="str">
        <f t="shared" si="24"/>
        <v>Jun</v>
      </c>
    </row>
    <row r="291" spans="1:15" ht="15" customHeight="1" x14ac:dyDescent="0.25">
      <c r="A291" t="s">
        <v>328</v>
      </c>
      <c r="B291" s="2">
        <v>45779</v>
      </c>
      <c r="C291" t="s">
        <v>22</v>
      </c>
      <c r="D291" t="s">
        <v>17</v>
      </c>
      <c r="E291" t="s">
        <v>24</v>
      </c>
      <c r="F291" t="s">
        <v>43</v>
      </c>
      <c r="G291" t="s">
        <v>44</v>
      </c>
      <c r="H291">
        <v>5</v>
      </c>
      <c r="I291" s="18">
        <v>362.85</v>
      </c>
      <c r="J291" s="18">
        <f t="shared" si="20"/>
        <v>1814.25</v>
      </c>
      <c r="K291" s="18">
        <v>1453.41</v>
      </c>
      <c r="L291" s="18">
        <f t="shared" si="21"/>
        <v>360.83999999999992</v>
      </c>
      <c r="M291" s="3">
        <f t="shared" si="22"/>
        <v>0.198892104175279</v>
      </c>
      <c r="N291" s="4">
        <f t="shared" si="23"/>
        <v>45778</v>
      </c>
      <c r="O291" t="str">
        <f t="shared" si="24"/>
        <v>May</v>
      </c>
    </row>
    <row r="292" spans="1:15" ht="15" customHeight="1" x14ac:dyDescent="0.25">
      <c r="A292" t="s">
        <v>329</v>
      </c>
      <c r="B292" s="2">
        <v>45701</v>
      </c>
      <c r="C292" t="s">
        <v>22</v>
      </c>
      <c r="D292" t="s">
        <v>23</v>
      </c>
      <c r="E292" t="s">
        <v>52</v>
      </c>
      <c r="F292" t="s">
        <v>62</v>
      </c>
      <c r="G292" t="s">
        <v>20</v>
      </c>
      <c r="H292">
        <v>7</v>
      </c>
      <c r="I292" s="18">
        <v>1823.53</v>
      </c>
      <c r="J292" s="18">
        <f t="shared" si="20"/>
        <v>12764.71</v>
      </c>
      <c r="K292" s="18">
        <v>9143.07</v>
      </c>
      <c r="L292" s="18">
        <f t="shared" si="21"/>
        <v>3621.6399999999994</v>
      </c>
      <c r="M292" s="3">
        <f t="shared" si="22"/>
        <v>0.28372285778525325</v>
      </c>
      <c r="N292" s="4">
        <f t="shared" si="23"/>
        <v>45689</v>
      </c>
      <c r="O292" t="str">
        <f t="shared" si="24"/>
        <v>Feb</v>
      </c>
    </row>
    <row r="293" spans="1:15" ht="15" customHeight="1" x14ac:dyDescent="0.25">
      <c r="A293" t="s">
        <v>330</v>
      </c>
      <c r="B293" s="2">
        <v>45807</v>
      </c>
      <c r="C293" t="s">
        <v>16</v>
      </c>
      <c r="D293" t="s">
        <v>23</v>
      </c>
      <c r="E293" t="s">
        <v>52</v>
      </c>
      <c r="F293" t="s">
        <v>27</v>
      </c>
      <c r="G293" t="s">
        <v>28</v>
      </c>
      <c r="H293">
        <v>6</v>
      </c>
      <c r="I293" s="18">
        <v>13645.7</v>
      </c>
      <c r="J293" s="18">
        <f t="shared" si="20"/>
        <v>81874.200000000012</v>
      </c>
      <c r="K293" s="18">
        <v>52830.92</v>
      </c>
      <c r="L293" s="18">
        <f t="shared" si="21"/>
        <v>29043.280000000013</v>
      </c>
      <c r="M293" s="3">
        <f t="shared" si="22"/>
        <v>0.35473055003896231</v>
      </c>
      <c r="N293" s="4">
        <f t="shared" si="23"/>
        <v>45778</v>
      </c>
      <c r="O293" t="str">
        <f t="shared" si="24"/>
        <v>May</v>
      </c>
    </row>
    <row r="294" spans="1:15" ht="15" customHeight="1" x14ac:dyDescent="0.25">
      <c r="A294" t="s">
        <v>331</v>
      </c>
      <c r="B294" s="2">
        <v>45957</v>
      </c>
      <c r="C294" t="s">
        <v>26</v>
      </c>
      <c r="D294" t="s">
        <v>23</v>
      </c>
      <c r="E294" t="s">
        <v>24</v>
      </c>
      <c r="F294" t="s">
        <v>19</v>
      </c>
      <c r="G294" t="s">
        <v>20</v>
      </c>
      <c r="H294">
        <v>8</v>
      </c>
      <c r="I294" s="18">
        <v>1753.02</v>
      </c>
      <c r="J294" s="18">
        <f t="shared" si="20"/>
        <v>14024.16</v>
      </c>
      <c r="K294" s="18">
        <v>9502.25</v>
      </c>
      <c r="L294" s="18">
        <f t="shared" si="21"/>
        <v>4521.91</v>
      </c>
      <c r="M294" s="3">
        <f t="shared" si="22"/>
        <v>0.32243713705491095</v>
      </c>
      <c r="N294" s="4">
        <f t="shared" si="23"/>
        <v>45931</v>
      </c>
      <c r="O294" t="str">
        <f t="shared" si="24"/>
        <v>Oct</v>
      </c>
    </row>
    <row r="295" spans="1:15" ht="15" customHeight="1" x14ac:dyDescent="0.25">
      <c r="A295" t="s">
        <v>332</v>
      </c>
      <c r="B295" s="2">
        <v>45815</v>
      </c>
      <c r="C295" t="s">
        <v>16</v>
      </c>
      <c r="D295" t="s">
        <v>23</v>
      </c>
      <c r="E295" t="s">
        <v>39</v>
      </c>
      <c r="F295" t="s">
        <v>40</v>
      </c>
      <c r="G295" t="s">
        <v>20</v>
      </c>
      <c r="H295">
        <v>3</v>
      </c>
      <c r="I295" s="18">
        <v>363.04</v>
      </c>
      <c r="J295" s="18">
        <f t="shared" si="20"/>
        <v>1089.1200000000001</v>
      </c>
      <c r="K295" s="18">
        <v>711.21</v>
      </c>
      <c r="L295" s="18">
        <f t="shared" si="21"/>
        <v>377.91000000000008</v>
      </c>
      <c r="M295" s="3">
        <f t="shared" si="22"/>
        <v>0.34698655795504629</v>
      </c>
      <c r="N295" s="4">
        <f t="shared" si="23"/>
        <v>45809</v>
      </c>
      <c r="O295" t="str">
        <f t="shared" si="24"/>
        <v>Jun</v>
      </c>
    </row>
    <row r="296" spans="1:15" ht="15" customHeight="1" x14ac:dyDescent="0.25">
      <c r="A296" t="s">
        <v>333</v>
      </c>
      <c r="B296" s="2">
        <v>45733</v>
      </c>
      <c r="C296" t="s">
        <v>26</v>
      </c>
      <c r="D296" t="s">
        <v>23</v>
      </c>
      <c r="E296" t="s">
        <v>18</v>
      </c>
      <c r="F296" t="s">
        <v>19</v>
      </c>
      <c r="G296" t="s">
        <v>20</v>
      </c>
      <c r="H296">
        <v>7</v>
      </c>
      <c r="I296" s="18">
        <v>2940.9</v>
      </c>
      <c r="J296" s="18">
        <f t="shared" si="20"/>
        <v>20586.3</v>
      </c>
      <c r="K296" s="18">
        <v>15285.82</v>
      </c>
      <c r="L296" s="18">
        <f t="shared" si="21"/>
        <v>5300.48</v>
      </c>
      <c r="M296" s="3">
        <f t="shared" si="22"/>
        <v>0.25747608846660158</v>
      </c>
      <c r="N296" s="4">
        <f t="shared" si="23"/>
        <v>45717</v>
      </c>
      <c r="O296" t="str">
        <f t="shared" si="24"/>
        <v>Mar</v>
      </c>
    </row>
    <row r="297" spans="1:15" ht="15" customHeight="1" x14ac:dyDescent="0.25">
      <c r="A297" t="s">
        <v>334</v>
      </c>
      <c r="B297" s="2">
        <v>45865</v>
      </c>
      <c r="C297" t="s">
        <v>16</v>
      </c>
      <c r="D297" t="s">
        <v>23</v>
      </c>
      <c r="E297" t="s">
        <v>18</v>
      </c>
      <c r="F297" t="s">
        <v>40</v>
      </c>
      <c r="G297" t="s">
        <v>20</v>
      </c>
      <c r="H297">
        <v>8</v>
      </c>
      <c r="I297" s="18">
        <v>318.45</v>
      </c>
      <c r="J297" s="18">
        <f t="shared" si="20"/>
        <v>2547.6</v>
      </c>
      <c r="K297" s="18">
        <v>1962.96</v>
      </c>
      <c r="L297" s="18">
        <f t="shared" si="21"/>
        <v>584.63999999999987</v>
      </c>
      <c r="M297" s="3">
        <f t="shared" si="22"/>
        <v>0.22948657560056521</v>
      </c>
      <c r="N297" s="4">
        <f t="shared" si="23"/>
        <v>45839</v>
      </c>
      <c r="O297" t="str">
        <f t="shared" si="24"/>
        <v>Jul</v>
      </c>
    </row>
    <row r="298" spans="1:15" ht="15" customHeight="1" x14ac:dyDescent="0.25">
      <c r="A298" t="s">
        <v>335</v>
      </c>
      <c r="B298" s="2">
        <v>45771</v>
      </c>
      <c r="C298" t="s">
        <v>16</v>
      </c>
      <c r="D298" t="s">
        <v>23</v>
      </c>
      <c r="E298" t="s">
        <v>18</v>
      </c>
      <c r="F298" t="s">
        <v>35</v>
      </c>
      <c r="G298" t="s">
        <v>20</v>
      </c>
      <c r="H298">
        <v>2</v>
      </c>
      <c r="I298" s="18">
        <v>4249.84</v>
      </c>
      <c r="J298" s="18">
        <f t="shared" si="20"/>
        <v>8499.68</v>
      </c>
      <c r="K298" s="18">
        <v>5457.79</v>
      </c>
      <c r="L298" s="18">
        <f t="shared" si="21"/>
        <v>3041.8900000000003</v>
      </c>
      <c r="M298" s="3">
        <f t="shared" si="22"/>
        <v>0.35788288500272952</v>
      </c>
      <c r="N298" s="4">
        <f t="shared" si="23"/>
        <v>45748</v>
      </c>
      <c r="O298" t="str">
        <f t="shared" si="24"/>
        <v>Apr</v>
      </c>
    </row>
    <row r="299" spans="1:15" ht="15" customHeight="1" x14ac:dyDescent="0.25">
      <c r="A299" t="s">
        <v>336</v>
      </c>
      <c r="B299" s="2">
        <v>45759</v>
      </c>
      <c r="C299" t="s">
        <v>16</v>
      </c>
      <c r="D299" t="s">
        <v>23</v>
      </c>
      <c r="E299" t="s">
        <v>33</v>
      </c>
      <c r="F299" t="s">
        <v>40</v>
      </c>
      <c r="G299" t="s">
        <v>20</v>
      </c>
      <c r="H299">
        <v>6</v>
      </c>
      <c r="I299" s="18">
        <v>1087.22</v>
      </c>
      <c r="J299" s="18">
        <f t="shared" si="20"/>
        <v>6523.32</v>
      </c>
      <c r="K299" s="18">
        <v>5258.76</v>
      </c>
      <c r="L299" s="18">
        <f t="shared" si="21"/>
        <v>1264.5599999999995</v>
      </c>
      <c r="M299" s="3">
        <f t="shared" si="22"/>
        <v>0.19385221022424157</v>
      </c>
      <c r="N299" s="4">
        <f t="shared" si="23"/>
        <v>45748</v>
      </c>
      <c r="O299" t="str">
        <f t="shared" si="24"/>
        <v>Apr</v>
      </c>
    </row>
    <row r="300" spans="1:15" ht="15" customHeight="1" x14ac:dyDescent="0.25">
      <c r="A300" t="s">
        <v>337</v>
      </c>
      <c r="B300" s="2">
        <v>45879</v>
      </c>
      <c r="C300" t="s">
        <v>31</v>
      </c>
      <c r="D300" t="s">
        <v>17</v>
      </c>
      <c r="E300" t="s">
        <v>39</v>
      </c>
      <c r="F300" t="s">
        <v>43</v>
      </c>
      <c r="G300" t="s">
        <v>44</v>
      </c>
      <c r="H300">
        <v>7</v>
      </c>
      <c r="I300" s="18">
        <v>599.04999999999995</v>
      </c>
      <c r="J300" s="18">
        <f t="shared" si="20"/>
        <v>4193.3499999999995</v>
      </c>
      <c r="K300" s="18">
        <v>2648.23</v>
      </c>
      <c r="L300" s="18">
        <f t="shared" si="21"/>
        <v>1545.1199999999994</v>
      </c>
      <c r="M300" s="3">
        <f t="shared" si="22"/>
        <v>0.36846912373162261</v>
      </c>
      <c r="N300" s="4">
        <f t="shared" si="23"/>
        <v>45870</v>
      </c>
      <c r="O300" t="str">
        <f t="shared" si="24"/>
        <v>Aug</v>
      </c>
    </row>
    <row r="301" spans="1:15" ht="15" customHeight="1" x14ac:dyDescent="0.25">
      <c r="A301" t="s">
        <v>338</v>
      </c>
      <c r="B301" s="2">
        <v>45886</v>
      </c>
      <c r="C301" t="s">
        <v>22</v>
      </c>
      <c r="D301" t="s">
        <v>23</v>
      </c>
      <c r="E301" t="s">
        <v>18</v>
      </c>
      <c r="F301" t="s">
        <v>35</v>
      </c>
      <c r="G301" t="s">
        <v>20</v>
      </c>
      <c r="H301">
        <v>5</v>
      </c>
      <c r="I301" s="18">
        <v>2912.35</v>
      </c>
      <c r="J301" s="18">
        <f t="shared" si="20"/>
        <v>14561.75</v>
      </c>
      <c r="K301" s="18">
        <v>11530.97</v>
      </c>
      <c r="L301" s="18">
        <f t="shared" si="21"/>
        <v>3030.7800000000007</v>
      </c>
      <c r="M301" s="3">
        <f t="shared" si="22"/>
        <v>0.20813295105327317</v>
      </c>
      <c r="N301" s="4">
        <f t="shared" si="23"/>
        <v>45870</v>
      </c>
      <c r="O301" t="str">
        <f t="shared" si="24"/>
        <v>Aug</v>
      </c>
    </row>
    <row r="302" spans="1:15" ht="15" customHeight="1" x14ac:dyDescent="0.25">
      <c r="A302" t="s">
        <v>339</v>
      </c>
      <c r="B302" s="2">
        <v>45801</v>
      </c>
      <c r="C302" t="s">
        <v>16</v>
      </c>
      <c r="D302" t="s">
        <v>17</v>
      </c>
      <c r="E302" t="s">
        <v>39</v>
      </c>
      <c r="F302" t="s">
        <v>43</v>
      </c>
      <c r="G302" t="s">
        <v>44</v>
      </c>
      <c r="H302">
        <v>4</v>
      </c>
      <c r="I302" s="18">
        <v>465.87</v>
      </c>
      <c r="J302" s="18">
        <f t="shared" si="20"/>
        <v>1863.48</v>
      </c>
      <c r="K302" s="18">
        <v>1439.58</v>
      </c>
      <c r="L302" s="18">
        <f t="shared" si="21"/>
        <v>423.90000000000009</v>
      </c>
      <c r="M302" s="3">
        <f t="shared" si="22"/>
        <v>0.22747762251271819</v>
      </c>
      <c r="N302" s="4">
        <f t="shared" si="23"/>
        <v>45778</v>
      </c>
      <c r="O302" t="str">
        <f t="shared" si="24"/>
        <v>May</v>
      </c>
    </row>
    <row r="303" spans="1:15" ht="15" customHeight="1" x14ac:dyDescent="0.25">
      <c r="A303" t="s">
        <v>340</v>
      </c>
      <c r="B303" s="2">
        <v>45903</v>
      </c>
      <c r="C303" t="s">
        <v>26</v>
      </c>
      <c r="D303" t="s">
        <v>23</v>
      </c>
      <c r="E303" t="s">
        <v>18</v>
      </c>
      <c r="F303" t="s">
        <v>50</v>
      </c>
      <c r="G303" t="s">
        <v>28</v>
      </c>
      <c r="H303">
        <v>6</v>
      </c>
      <c r="I303" s="18">
        <v>588.55999999999995</v>
      </c>
      <c r="J303" s="18">
        <f t="shared" si="20"/>
        <v>3531.3599999999997</v>
      </c>
      <c r="K303" s="18">
        <v>2200.59</v>
      </c>
      <c r="L303" s="18">
        <f t="shared" si="21"/>
        <v>1330.7699999999995</v>
      </c>
      <c r="M303" s="3">
        <f t="shared" si="22"/>
        <v>0.37684348239771637</v>
      </c>
      <c r="N303" s="4">
        <f t="shared" si="23"/>
        <v>45901</v>
      </c>
      <c r="O303" t="str">
        <f t="shared" si="24"/>
        <v>Sep</v>
      </c>
    </row>
    <row r="304" spans="1:15" ht="15" customHeight="1" x14ac:dyDescent="0.25">
      <c r="A304" t="s">
        <v>341</v>
      </c>
      <c r="B304" s="2">
        <v>45801</v>
      </c>
      <c r="C304" t="s">
        <v>31</v>
      </c>
      <c r="D304" t="s">
        <v>17</v>
      </c>
      <c r="E304" t="s">
        <v>33</v>
      </c>
      <c r="F304" t="s">
        <v>37</v>
      </c>
      <c r="G304" t="s">
        <v>20</v>
      </c>
      <c r="H304">
        <v>4</v>
      </c>
      <c r="I304" s="18">
        <v>18313.75</v>
      </c>
      <c r="J304" s="18">
        <f t="shared" si="20"/>
        <v>73255</v>
      </c>
      <c r="K304" s="18">
        <v>44248.38</v>
      </c>
      <c r="L304" s="18">
        <f t="shared" si="21"/>
        <v>29006.620000000003</v>
      </c>
      <c r="M304" s="3">
        <f t="shared" si="22"/>
        <v>0.39596778376902603</v>
      </c>
      <c r="N304" s="4">
        <f t="shared" si="23"/>
        <v>45778</v>
      </c>
      <c r="O304" t="str">
        <f t="shared" si="24"/>
        <v>May</v>
      </c>
    </row>
    <row r="305" spans="1:15" ht="15" customHeight="1" x14ac:dyDescent="0.25">
      <c r="A305" t="s">
        <v>342</v>
      </c>
      <c r="B305" s="2">
        <v>45686</v>
      </c>
      <c r="C305" t="s">
        <v>26</v>
      </c>
      <c r="D305" t="s">
        <v>23</v>
      </c>
      <c r="E305" t="s">
        <v>39</v>
      </c>
      <c r="F305" t="s">
        <v>53</v>
      </c>
      <c r="G305" t="s">
        <v>44</v>
      </c>
      <c r="H305">
        <v>3</v>
      </c>
      <c r="I305" s="18">
        <v>3816.63</v>
      </c>
      <c r="J305" s="18">
        <f t="shared" si="20"/>
        <v>11449.89</v>
      </c>
      <c r="K305" s="18">
        <v>8269.16</v>
      </c>
      <c r="L305" s="18">
        <f t="shared" si="21"/>
        <v>3180.7299999999996</v>
      </c>
      <c r="M305" s="3">
        <f t="shared" si="22"/>
        <v>0.27779568187991321</v>
      </c>
      <c r="N305" s="4">
        <f t="shared" si="23"/>
        <v>45658</v>
      </c>
      <c r="O305" t="str">
        <f t="shared" si="24"/>
        <v>Jan</v>
      </c>
    </row>
    <row r="306" spans="1:15" ht="15" customHeight="1" x14ac:dyDescent="0.25">
      <c r="A306" t="s">
        <v>343</v>
      </c>
      <c r="B306" s="2">
        <v>45948</v>
      </c>
      <c r="C306" t="s">
        <v>16</v>
      </c>
      <c r="D306" t="s">
        <v>23</v>
      </c>
      <c r="E306" t="s">
        <v>18</v>
      </c>
      <c r="F306" t="s">
        <v>62</v>
      </c>
      <c r="G306" t="s">
        <v>20</v>
      </c>
      <c r="H306">
        <v>8</v>
      </c>
      <c r="I306" s="18">
        <v>2462.5700000000002</v>
      </c>
      <c r="J306" s="18">
        <f t="shared" si="20"/>
        <v>19700.560000000001</v>
      </c>
      <c r="K306" s="18">
        <v>12256.38</v>
      </c>
      <c r="L306" s="18">
        <f t="shared" si="21"/>
        <v>7444.1800000000021</v>
      </c>
      <c r="M306" s="3">
        <f t="shared" si="22"/>
        <v>0.37786641598005344</v>
      </c>
      <c r="N306" s="4">
        <f t="shared" si="23"/>
        <v>45931</v>
      </c>
      <c r="O306" t="str">
        <f t="shared" si="24"/>
        <v>Oct</v>
      </c>
    </row>
    <row r="307" spans="1:15" ht="15" customHeight="1" x14ac:dyDescent="0.25">
      <c r="A307" t="s">
        <v>344</v>
      </c>
      <c r="B307" s="2">
        <v>45777</v>
      </c>
      <c r="C307" t="s">
        <v>31</v>
      </c>
      <c r="D307" t="s">
        <v>23</v>
      </c>
      <c r="E307" t="s">
        <v>39</v>
      </c>
      <c r="F307" t="s">
        <v>62</v>
      </c>
      <c r="G307" t="s">
        <v>20</v>
      </c>
      <c r="H307">
        <v>8</v>
      </c>
      <c r="I307" s="18">
        <v>956.85</v>
      </c>
      <c r="J307" s="18">
        <f t="shared" si="20"/>
        <v>7654.8</v>
      </c>
      <c r="K307" s="18">
        <v>6126.1</v>
      </c>
      <c r="L307" s="18">
        <f t="shared" si="21"/>
        <v>1528.6999999999998</v>
      </c>
      <c r="M307" s="3">
        <f t="shared" si="22"/>
        <v>0.19970476041176774</v>
      </c>
      <c r="N307" s="4">
        <f t="shared" si="23"/>
        <v>45748</v>
      </c>
      <c r="O307" t="str">
        <f t="shared" si="24"/>
        <v>Apr</v>
      </c>
    </row>
    <row r="308" spans="1:15" ht="15" customHeight="1" x14ac:dyDescent="0.25">
      <c r="A308" t="s">
        <v>345</v>
      </c>
      <c r="B308" s="2">
        <v>45748</v>
      </c>
      <c r="C308" t="s">
        <v>26</v>
      </c>
      <c r="D308" t="s">
        <v>23</v>
      </c>
      <c r="E308" t="s">
        <v>39</v>
      </c>
      <c r="F308" t="s">
        <v>46</v>
      </c>
      <c r="G308" t="s">
        <v>28</v>
      </c>
      <c r="H308">
        <v>3</v>
      </c>
      <c r="I308" s="18">
        <v>10522.36</v>
      </c>
      <c r="J308" s="18">
        <f t="shared" si="20"/>
        <v>31567.08</v>
      </c>
      <c r="K308" s="18">
        <v>24721.93</v>
      </c>
      <c r="L308" s="18">
        <f t="shared" si="21"/>
        <v>6845.1500000000015</v>
      </c>
      <c r="M308" s="3">
        <f t="shared" si="22"/>
        <v>0.21684457352406372</v>
      </c>
      <c r="N308" s="4">
        <f t="shared" si="23"/>
        <v>45748</v>
      </c>
      <c r="O308" t="str">
        <f t="shared" si="24"/>
        <v>Apr</v>
      </c>
    </row>
    <row r="309" spans="1:15" ht="15" customHeight="1" x14ac:dyDescent="0.25">
      <c r="A309" t="s">
        <v>346</v>
      </c>
      <c r="B309" s="2">
        <v>46018</v>
      </c>
      <c r="C309" t="s">
        <v>22</v>
      </c>
      <c r="D309" t="s">
        <v>17</v>
      </c>
      <c r="E309" t="s">
        <v>39</v>
      </c>
      <c r="F309" t="s">
        <v>43</v>
      </c>
      <c r="G309" t="s">
        <v>44</v>
      </c>
      <c r="H309">
        <v>5</v>
      </c>
      <c r="I309" s="18">
        <v>572.92999999999995</v>
      </c>
      <c r="J309" s="18">
        <f t="shared" si="20"/>
        <v>2864.6499999999996</v>
      </c>
      <c r="K309" s="18">
        <v>2332.42</v>
      </c>
      <c r="L309" s="18">
        <f t="shared" si="21"/>
        <v>532.22999999999956</v>
      </c>
      <c r="M309" s="3">
        <f t="shared" si="22"/>
        <v>0.18579233065121381</v>
      </c>
      <c r="N309" s="4">
        <f t="shared" si="23"/>
        <v>45992</v>
      </c>
      <c r="O309" t="str">
        <f t="shared" si="24"/>
        <v>Dec</v>
      </c>
    </row>
    <row r="310" spans="1:15" ht="15" customHeight="1" x14ac:dyDescent="0.25">
      <c r="A310" t="s">
        <v>347</v>
      </c>
      <c r="B310" s="2">
        <v>45747</v>
      </c>
      <c r="C310" t="s">
        <v>26</v>
      </c>
      <c r="D310" t="s">
        <v>23</v>
      </c>
      <c r="E310" t="s">
        <v>52</v>
      </c>
      <c r="F310" t="s">
        <v>50</v>
      </c>
      <c r="G310" t="s">
        <v>28</v>
      </c>
      <c r="H310">
        <v>3</v>
      </c>
      <c r="I310" s="18">
        <v>466.37</v>
      </c>
      <c r="J310" s="18">
        <f t="shared" si="20"/>
        <v>1399.1100000000001</v>
      </c>
      <c r="K310" s="18">
        <v>1057.95</v>
      </c>
      <c r="L310" s="18">
        <f t="shared" si="21"/>
        <v>341.16000000000008</v>
      </c>
      <c r="M310" s="3">
        <f t="shared" si="22"/>
        <v>0.24384072731951029</v>
      </c>
      <c r="N310" s="4">
        <f t="shared" si="23"/>
        <v>45717</v>
      </c>
      <c r="O310" t="str">
        <f t="shared" si="24"/>
        <v>Mar</v>
      </c>
    </row>
    <row r="311" spans="1:15" ht="15" customHeight="1" x14ac:dyDescent="0.25">
      <c r="A311" t="s">
        <v>348</v>
      </c>
      <c r="B311" s="2">
        <v>45658</v>
      </c>
      <c r="C311" t="s">
        <v>31</v>
      </c>
      <c r="D311" t="s">
        <v>23</v>
      </c>
      <c r="E311" t="s">
        <v>24</v>
      </c>
      <c r="F311" t="s">
        <v>62</v>
      </c>
      <c r="G311" t="s">
        <v>20</v>
      </c>
      <c r="H311">
        <v>6</v>
      </c>
      <c r="I311" s="18">
        <v>1263.0999999999999</v>
      </c>
      <c r="J311" s="18">
        <f t="shared" si="20"/>
        <v>7578.5999999999995</v>
      </c>
      <c r="K311" s="18">
        <v>6155.4</v>
      </c>
      <c r="L311" s="18">
        <f t="shared" si="21"/>
        <v>1423.1999999999998</v>
      </c>
      <c r="M311" s="3">
        <f t="shared" si="22"/>
        <v>0.18779194046393791</v>
      </c>
      <c r="N311" s="4">
        <f t="shared" si="23"/>
        <v>45658</v>
      </c>
      <c r="O311" t="str">
        <f t="shared" si="24"/>
        <v>Jan</v>
      </c>
    </row>
    <row r="312" spans="1:15" ht="15" customHeight="1" x14ac:dyDescent="0.25">
      <c r="A312" t="s">
        <v>349</v>
      </c>
      <c r="B312" s="2">
        <v>45730</v>
      </c>
      <c r="C312" t="s">
        <v>16</v>
      </c>
      <c r="D312" t="s">
        <v>17</v>
      </c>
      <c r="E312" t="s">
        <v>24</v>
      </c>
      <c r="F312" t="s">
        <v>46</v>
      </c>
      <c r="G312" t="s">
        <v>28</v>
      </c>
      <c r="H312">
        <v>6</v>
      </c>
      <c r="I312" s="18">
        <v>23257.35</v>
      </c>
      <c r="J312" s="18">
        <f t="shared" si="20"/>
        <v>139544.09999999998</v>
      </c>
      <c r="K312" s="18">
        <v>86558.23</v>
      </c>
      <c r="L312" s="18">
        <f t="shared" si="21"/>
        <v>52985.869999999981</v>
      </c>
      <c r="M312" s="3">
        <f t="shared" si="22"/>
        <v>0.37970698868673047</v>
      </c>
      <c r="N312" s="4">
        <f t="shared" si="23"/>
        <v>45717</v>
      </c>
      <c r="O312" t="str">
        <f t="shared" si="24"/>
        <v>Mar</v>
      </c>
    </row>
    <row r="313" spans="1:15" ht="15" customHeight="1" x14ac:dyDescent="0.25">
      <c r="A313" t="s">
        <v>350</v>
      </c>
      <c r="B313" s="2">
        <v>45663</v>
      </c>
      <c r="C313" t="s">
        <v>16</v>
      </c>
      <c r="D313" t="s">
        <v>23</v>
      </c>
      <c r="E313" t="s">
        <v>24</v>
      </c>
      <c r="F313" t="s">
        <v>27</v>
      </c>
      <c r="G313" t="s">
        <v>28</v>
      </c>
      <c r="H313">
        <v>2</v>
      </c>
      <c r="I313" s="18">
        <v>12063.15</v>
      </c>
      <c r="J313" s="18">
        <f t="shared" si="20"/>
        <v>24126.3</v>
      </c>
      <c r="K313" s="18">
        <v>18550.349999999999</v>
      </c>
      <c r="L313" s="18">
        <f t="shared" si="21"/>
        <v>5575.9500000000007</v>
      </c>
      <c r="M313" s="3">
        <f t="shared" si="22"/>
        <v>0.23111500727421946</v>
      </c>
      <c r="N313" s="4">
        <f t="shared" si="23"/>
        <v>45658</v>
      </c>
      <c r="O313" t="str">
        <f t="shared" si="24"/>
        <v>Jan</v>
      </c>
    </row>
    <row r="314" spans="1:15" ht="15" customHeight="1" x14ac:dyDescent="0.25">
      <c r="A314" t="s">
        <v>351</v>
      </c>
      <c r="B314" s="2">
        <v>45882</v>
      </c>
      <c r="C314" t="s">
        <v>22</v>
      </c>
      <c r="D314" t="s">
        <v>23</v>
      </c>
      <c r="E314" t="s">
        <v>52</v>
      </c>
      <c r="F314" t="s">
        <v>43</v>
      </c>
      <c r="G314" t="s">
        <v>44</v>
      </c>
      <c r="H314">
        <v>7</v>
      </c>
      <c r="I314" s="18">
        <v>731.57</v>
      </c>
      <c r="J314" s="18">
        <f t="shared" si="20"/>
        <v>5120.9900000000007</v>
      </c>
      <c r="K314" s="18">
        <v>3431.49</v>
      </c>
      <c r="L314" s="18">
        <f t="shared" si="21"/>
        <v>1689.5000000000009</v>
      </c>
      <c r="M314" s="3">
        <f t="shared" si="22"/>
        <v>0.32991667626767496</v>
      </c>
      <c r="N314" s="4">
        <f t="shared" si="23"/>
        <v>45870</v>
      </c>
      <c r="O314" t="str">
        <f t="shared" si="24"/>
        <v>Aug</v>
      </c>
    </row>
    <row r="315" spans="1:15" ht="15" customHeight="1" x14ac:dyDescent="0.25">
      <c r="A315" t="s">
        <v>352</v>
      </c>
      <c r="B315" s="2">
        <v>45889</v>
      </c>
      <c r="C315" t="s">
        <v>26</v>
      </c>
      <c r="D315" t="s">
        <v>23</v>
      </c>
      <c r="E315" t="s">
        <v>24</v>
      </c>
      <c r="F315" t="s">
        <v>19</v>
      </c>
      <c r="G315" t="s">
        <v>20</v>
      </c>
      <c r="H315">
        <v>6</v>
      </c>
      <c r="I315" s="18">
        <v>3156.63</v>
      </c>
      <c r="J315" s="18">
        <f t="shared" si="20"/>
        <v>18939.78</v>
      </c>
      <c r="K315" s="18">
        <v>11461.11</v>
      </c>
      <c r="L315" s="18">
        <f t="shared" si="21"/>
        <v>7478.6699999999983</v>
      </c>
      <c r="M315" s="3">
        <f t="shared" si="22"/>
        <v>0.39486572705701961</v>
      </c>
      <c r="N315" s="4">
        <f t="shared" si="23"/>
        <v>45870</v>
      </c>
      <c r="O315" t="str">
        <f t="shared" si="24"/>
        <v>Aug</v>
      </c>
    </row>
    <row r="316" spans="1:15" ht="15" customHeight="1" x14ac:dyDescent="0.25">
      <c r="A316" t="s">
        <v>353</v>
      </c>
      <c r="B316" s="2">
        <v>45740</v>
      </c>
      <c r="C316" t="s">
        <v>31</v>
      </c>
      <c r="D316" t="s">
        <v>17</v>
      </c>
      <c r="E316" t="s">
        <v>52</v>
      </c>
      <c r="F316" t="s">
        <v>19</v>
      </c>
      <c r="G316" t="s">
        <v>20</v>
      </c>
      <c r="H316">
        <v>8</v>
      </c>
      <c r="I316" s="18">
        <v>1729.98</v>
      </c>
      <c r="J316" s="18">
        <f t="shared" si="20"/>
        <v>13839.84</v>
      </c>
      <c r="K316" s="18">
        <v>9459.77</v>
      </c>
      <c r="L316" s="18">
        <f t="shared" si="21"/>
        <v>4380.07</v>
      </c>
      <c r="M316" s="3">
        <f t="shared" si="22"/>
        <v>0.31648270500236997</v>
      </c>
      <c r="N316" s="4">
        <f t="shared" si="23"/>
        <v>45717</v>
      </c>
      <c r="O316" t="str">
        <f t="shared" si="24"/>
        <v>Mar</v>
      </c>
    </row>
    <row r="317" spans="1:15" ht="15" customHeight="1" x14ac:dyDescent="0.25">
      <c r="A317" t="s">
        <v>354</v>
      </c>
      <c r="B317" s="2">
        <v>45685</v>
      </c>
      <c r="C317" t="s">
        <v>26</v>
      </c>
      <c r="D317" t="s">
        <v>17</v>
      </c>
      <c r="E317" t="s">
        <v>39</v>
      </c>
      <c r="F317" t="s">
        <v>19</v>
      </c>
      <c r="G317" t="s">
        <v>20</v>
      </c>
      <c r="H317">
        <v>7</v>
      </c>
      <c r="I317" s="18">
        <v>2684.87</v>
      </c>
      <c r="J317" s="18">
        <f t="shared" si="20"/>
        <v>18794.09</v>
      </c>
      <c r="K317" s="18">
        <v>14157.38</v>
      </c>
      <c r="L317" s="18">
        <f t="shared" si="21"/>
        <v>4636.7100000000009</v>
      </c>
      <c r="M317" s="3">
        <f t="shared" si="22"/>
        <v>0.24671106714930072</v>
      </c>
      <c r="N317" s="4">
        <f t="shared" si="23"/>
        <v>45658</v>
      </c>
      <c r="O317" t="str">
        <f t="shared" si="24"/>
        <v>Jan</v>
      </c>
    </row>
    <row r="318" spans="1:15" ht="15" customHeight="1" x14ac:dyDescent="0.25">
      <c r="A318" t="s">
        <v>355</v>
      </c>
      <c r="B318" s="2">
        <v>45779</v>
      </c>
      <c r="C318" t="s">
        <v>22</v>
      </c>
      <c r="D318" t="s">
        <v>23</v>
      </c>
      <c r="E318" t="s">
        <v>39</v>
      </c>
      <c r="F318" t="s">
        <v>19</v>
      </c>
      <c r="G318" t="s">
        <v>20</v>
      </c>
      <c r="H318">
        <v>8</v>
      </c>
      <c r="I318" s="18">
        <v>3832.7</v>
      </c>
      <c r="J318" s="18">
        <f t="shared" si="20"/>
        <v>30661.599999999999</v>
      </c>
      <c r="K318" s="18">
        <v>20438.990000000002</v>
      </c>
      <c r="L318" s="18">
        <f t="shared" si="21"/>
        <v>10222.609999999997</v>
      </c>
      <c r="M318" s="3">
        <f t="shared" si="22"/>
        <v>0.33340106191457713</v>
      </c>
      <c r="N318" s="4">
        <f t="shared" si="23"/>
        <v>45778</v>
      </c>
      <c r="O318" t="str">
        <f t="shared" si="24"/>
        <v>May</v>
      </c>
    </row>
    <row r="319" spans="1:15" ht="15" customHeight="1" x14ac:dyDescent="0.25">
      <c r="A319" t="s">
        <v>356</v>
      </c>
      <c r="B319" s="2">
        <v>45996</v>
      </c>
      <c r="C319" t="s">
        <v>16</v>
      </c>
      <c r="D319" t="s">
        <v>17</v>
      </c>
      <c r="E319" t="s">
        <v>18</v>
      </c>
      <c r="F319" t="s">
        <v>62</v>
      </c>
      <c r="G319" t="s">
        <v>20</v>
      </c>
      <c r="H319">
        <v>1</v>
      </c>
      <c r="I319" s="18">
        <v>2386.4299999999998</v>
      </c>
      <c r="J319" s="18">
        <f t="shared" si="20"/>
        <v>2386.4299999999998</v>
      </c>
      <c r="K319" s="18">
        <v>1749.65</v>
      </c>
      <c r="L319" s="18">
        <f t="shared" si="21"/>
        <v>636.77999999999975</v>
      </c>
      <c r="M319" s="3">
        <f t="shared" si="22"/>
        <v>0.2668337223383882</v>
      </c>
      <c r="N319" s="4">
        <f t="shared" si="23"/>
        <v>45992</v>
      </c>
      <c r="O319" t="str">
        <f t="shared" si="24"/>
        <v>Dec</v>
      </c>
    </row>
    <row r="320" spans="1:15" ht="15" customHeight="1" x14ac:dyDescent="0.25">
      <c r="A320" t="s">
        <v>357</v>
      </c>
      <c r="B320" s="2">
        <v>45815</v>
      </c>
      <c r="C320" t="s">
        <v>31</v>
      </c>
      <c r="D320" t="s">
        <v>17</v>
      </c>
      <c r="E320" t="s">
        <v>24</v>
      </c>
      <c r="F320" t="s">
        <v>43</v>
      </c>
      <c r="G320" t="s">
        <v>44</v>
      </c>
      <c r="H320">
        <v>5</v>
      </c>
      <c r="I320" s="18">
        <v>1070.6500000000001</v>
      </c>
      <c r="J320" s="18">
        <f t="shared" si="20"/>
        <v>5353.25</v>
      </c>
      <c r="K320" s="18">
        <v>3803.97</v>
      </c>
      <c r="L320" s="18">
        <f t="shared" si="21"/>
        <v>1549.2800000000002</v>
      </c>
      <c r="M320" s="3">
        <f t="shared" si="22"/>
        <v>0.28940923737916224</v>
      </c>
      <c r="N320" s="4">
        <f t="shared" si="23"/>
        <v>45809</v>
      </c>
      <c r="O320" t="str">
        <f t="shared" si="24"/>
        <v>Jun</v>
      </c>
    </row>
    <row r="321" spans="1:15" ht="15" customHeight="1" x14ac:dyDescent="0.25">
      <c r="A321" t="s">
        <v>358</v>
      </c>
      <c r="B321" s="2">
        <v>45847</v>
      </c>
      <c r="C321" t="s">
        <v>26</v>
      </c>
      <c r="D321" t="s">
        <v>23</v>
      </c>
      <c r="E321" t="s">
        <v>52</v>
      </c>
      <c r="F321" t="s">
        <v>35</v>
      </c>
      <c r="G321" t="s">
        <v>20</v>
      </c>
      <c r="H321">
        <v>8</v>
      </c>
      <c r="I321" s="18">
        <v>1256.1600000000001</v>
      </c>
      <c r="J321" s="18">
        <f t="shared" si="20"/>
        <v>10049.280000000001</v>
      </c>
      <c r="K321" s="18">
        <v>6374.24</v>
      </c>
      <c r="L321" s="18">
        <f t="shared" si="21"/>
        <v>3675.0400000000009</v>
      </c>
      <c r="M321" s="3">
        <f t="shared" si="22"/>
        <v>0.36570182142402247</v>
      </c>
      <c r="N321" s="4">
        <f t="shared" si="23"/>
        <v>45839</v>
      </c>
      <c r="O321" t="str">
        <f t="shared" si="24"/>
        <v>Jul</v>
      </c>
    </row>
    <row r="322" spans="1:15" ht="15" customHeight="1" x14ac:dyDescent="0.25">
      <c r="A322" t="s">
        <v>359</v>
      </c>
      <c r="B322" s="2">
        <v>46014</v>
      </c>
      <c r="C322" t="s">
        <v>16</v>
      </c>
      <c r="D322" t="s">
        <v>17</v>
      </c>
      <c r="E322" t="s">
        <v>33</v>
      </c>
      <c r="F322" t="s">
        <v>19</v>
      </c>
      <c r="G322" t="s">
        <v>20</v>
      </c>
      <c r="H322">
        <v>7</v>
      </c>
      <c r="I322" s="18">
        <v>4065.83</v>
      </c>
      <c r="J322" s="18">
        <f t="shared" ref="J322:J385" si="25">H322*I322</f>
        <v>28460.809999999998</v>
      </c>
      <c r="K322" s="18">
        <v>20535.45</v>
      </c>
      <c r="L322" s="18">
        <f t="shared" ref="L322:L385" si="26">J322-K322</f>
        <v>7925.3599999999969</v>
      </c>
      <c r="M322" s="3">
        <f t="shared" ref="M322:M385" si="27">IFERROR(L322/J322,0)</f>
        <v>0.27846572181185275</v>
      </c>
      <c r="N322" s="4">
        <f t="shared" ref="N322:N385" si="28">DATE(YEAR(B322),MONTH(B322),1)</f>
        <v>45992</v>
      </c>
      <c r="O322" t="str">
        <f t="shared" ref="O322:O385" si="29">TEXT(N322,"mmm")</f>
        <v>Dec</v>
      </c>
    </row>
    <row r="323" spans="1:15" ht="15" customHeight="1" x14ac:dyDescent="0.25">
      <c r="A323" t="s">
        <v>360</v>
      </c>
      <c r="B323" s="2">
        <v>45872</v>
      </c>
      <c r="C323" t="s">
        <v>16</v>
      </c>
      <c r="D323" t="s">
        <v>23</v>
      </c>
      <c r="E323" t="s">
        <v>18</v>
      </c>
      <c r="F323" t="s">
        <v>50</v>
      </c>
      <c r="G323" t="s">
        <v>28</v>
      </c>
      <c r="H323">
        <v>4</v>
      </c>
      <c r="I323" s="18">
        <v>832.03</v>
      </c>
      <c r="J323" s="18">
        <f t="shared" si="25"/>
        <v>3328.12</v>
      </c>
      <c r="K323" s="18">
        <v>1993.37</v>
      </c>
      <c r="L323" s="18">
        <f t="shared" si="26"/>
        <v>1334.75</v>
      </c>
      <c r="M323" s="3">
        <f t="shared" si="27"/>
        <v>0.40105224571229403</v>
      </c>
      <c r="N323" s="4">
        <f t="shared" si="28"/>
        <v>45870</v>
      </c>
      <c r="O323" t="str">
        <f t="shared" si="29"/>
        <v>Aug</v>
      </c>
    </row>
    <row r="324" spans="1:15" ht="15" customHeight="1" x14ac:dyDescent="0.25">
      <c r="A324" t="s">
        <v>361</v>
      </c>
      <c r="B324" s="2">
        <v>45887</v>
      </c>
      <c r="C324" t="s">
        <v>22</v>
      </c>
      <c r="D324" t="s">
        <v>23</v>
      </c>
      <c r="E324" t="s">
        <v>52</v>
      </c>
      <c r="F324" t="s">
        <v>35</v>
      </c>
      <c r="G324" t="s">
        <v>20</v>
      </c>
      <c r="H324">
        <v>4</v>
      </c>
      <c r="I324" s="18">
        <v>2438</v>
      </c>
      <c r="J324" s="18">
        <f t="shared" si="25"/>
        <v>9752</v>
      </c>
      <c r="K324" s="18">
        <v>6647.06</v>
      </c>
      <c r="L324" s="18">
        <f t="shared" si="26"/>
        <v>3104.9399999999996</v>
      </c>
      <c r="M324" s="3">
        <f t="shared" si="27"/>
        <v>0.31839007383100898</v>
      </c>
      <c r="N324" s="4">
        <f t="shared" si="28"/>
        <v>45870</v>
      </c>
      <c r="O324" t="str">
        <f t="shared" si="29"/>
        <v>Aug</v>
      </c>
    </row>
    <row r="325" spans="1:15" ht="15" customHeight="1" x14ac:dyDescent="0.25">
      <c r="A325" t="s">
        <v>362</v>
      </c>
      <c r="B325" s="2">
        <v>45962</v>
      </c>
      <c r="C325" t="s">
        <v>26</v>
      </c>
      <c r="D325" t="s">
        <v>17</v>
      </c>
      <c r="E325" t="s">
        <v>18</v>
      </c>
      <c r="F325" t="s">
        <v>27</v>
      </c>
      <c r="G325" t="s">
        <v>28</v>
      </c>
      <c r="H325">
        <v>7</v>
      </c>
      <c r="I325" s="18">
        <v>14398.5</v>
      </c>
      <c r="J325" s="18">
        <f t="shared" si="25"/>
        <v>100789.5</v>
      </c>
      <c r="K325" s="18">
        <v>71811.81</v>
      </c>
      <c r="L325" s="18">
        <f t="shared" si="26"/>
        <v>28977.690000000002</v>
      </c>
      <c r="M325" s="3">
        <f t="shared" si="27"/>
        <v>0.28750703198249822</v>
      </c>
      <c r="N325" s="4">
        <f t="shared" si="28"/>
        <v>45962</v>
      </c>
      <c r="O325" t="str">
        <f t="shared" si="29"/>
        <v>Nov</v>
      </c>
    </row>
    <row r="326" spans="1:15" ht="15" customHeight="1" x14ac:dyDescent="0.25">
      <c r="A326" t="s">
        <v>363</v>
      </c>
      <c r="B326" s="2">
        <v>46016</v>
      </c>
      <c r="C326" t="s">
        <v>16</v>
      </c>
      <c r="D326" t="s">
        <v>23</v>
      </c>
      <c r="E326" t="s">
        <v>33</v>
      </c>
      <c r="F326" t="s">
        <v>62</v>
      </c>
      <c r="G326" t="s">
        <v>20</v>
      </c>
      <c r="H326">
        <v>7</v>
      </c>
      <c r="I326" s="18">
        <v>4033.1</v>
      </c>
      <c r="J326" s="18">
        <f t="shared" si="25"/>
        <v>28231.7</v>
      </c>
      <c r="K326" s="18">
        <v>20213.400000000001</v>
      </c>
      <c r="L326" s="18">
        <f t="shared" si="26"/>
        <v>8018.2999999999993</v>
      </c>
      <c r="M326" s="3">
        <f t="shared" si="27"/>
        <v>0.28401761140845216</v>
      </c>
      <c r="N326" s="4">
        <f t="shared" si="28"/>
        <v>45992</v>
      </c>
      <c r="O326" t="str">
        <f t="shared" si="29"/>
        <v>Dec</v>
      </c>
    </row>
    <row r="327" spans="1:15" ht="15" customHeight="1" x14ac:dyDescent="0.25">
      <c r="A327" t="s">
        <v>364</v>
      </c>
      <c r="B327" s="2">
        <v>45709</v>
      </c>
      <c r="C327" t="s">
        <v>22</v>
      </c>
      <c r="D327" t="s">
        <v>23</v>
      </c>
      <c r="E327" t="s">
        <v>52</v>
      </c>
      <c r="F327" t="s">
        <v>27</v>
      </c>
      <c r="G327" t="s">
        <v>28</v>
      </c>
      <c r="H327">
        <v>7</v>
      </c>
      <c r="I327" s="18">
        <v>16936.509999999998</v>
      </c>
      <c r="J327" s="18">
        <f t="shared" si="25"/>
        <v>118555.56999999999</v>
      </c>
      <c r="K327" s="18">
        <v>87393.12</v>
      </c>
      <c r="L327" s="18">
        <f t="shared" si="26"/>
        <v>31162.449999999997</v>
      </c>
      <c r="M327" s="3">
        <f t="shared" si="27"/>
        <v>0.26285099890287733</v>
      </c>
      <c r="N327" s="4">
        <f t="shared" si="28"/>
        <v>45689</v>
      </c>
      <c r="O327" t="str">
        <f t="shared" si="29"/>
        <v>Feb</v>
      </c>
    </row>
    <row r="328" spans="1:15" ht="15" customHeight="1" x14ac:dyDescent="0.25">
      <c r="A328" t="s">
        <v>365</v>
      </c>
      <c r="B328" s="2">
        <v>45799</v>
      </c>
      <c r="C328" t="s">
        <v>31</v>
      </c>
      <c r="D328" t="s">
        <v>23</v>
      </c>
      <c r="E328" t="s">
        <v>24</v>
      </c>
      <c r="F328" t="s">
        <v>43</v>
      </c>
      <c r="G328" t="s">
        <v>44</v>
      </c>
      <c r="H328">
        <v>7</v>
      </c>
      <c r="I328" s="18">
        <v>311.52</v>
      </c>
      <c r="J328" s="18">
        <f t="shared" si="25"/>
        <v>2180.64</v>
      </c>
      <c r="K328" s="18">
        <v>1438.26</v>
      </c>
      <c r="L328" s="18">
        <f t="shared" si="26"/>
        <v>742.37999999999988</v>
      </c>
      <c r="M328" s="3">
        <f t="shared" si="27"/>
        <v>0.34044133832269424</v>
      </c>
      <c r="N328" s="4">
        <f t="shared" si="28"/>
        <v>45778</v>
      </c>
      <c r="O328" t="str">
        <f t="shared" si="29"/>
        <v>May</v>
      </c>
    </row>
    <row r="329" spans="1:15" ht="15" customHeight="1" x14ac:dyDescent="0.25">
      <c r="A329" t="s">
        <v>366</v>
      </c>
      <c r="B329" s="2">
        <v>45795</v>
      </c>
      <c r="C329" t="s">
        <v>16</v>
      </c>
      <c r="D329" t="s">
        <v>23</v>
      </c>
      <c r="E329" t="s">
        <v>52</v>
      </c>
      <c r="F329" t="s">
        <v>46</v>
      </c>
      <c r="G329" t="s">
        <v>28</v>
      </c>
      <c r="H329">
        <v>5</v>
      </c>
      <c r="I329" s="18">
        <v>8978.19</v>
      </c>
      <c r="J329" s="18">
        <f t="shared" si="25"/>
        <v>44890.950000000004</v>
      </c>
      <c r="K329" s="18">
        <v>35117.43</v>
      </c>
      <c r="L329" s="18">
        <f t="shared" si="26"/>
        <v>9773.5200000000041</v>
      </c>
      <c r="M329" s="3">
        <f t="shared" si="27"/>
        <v>0.21771693403681594</v>
      </c>
      <c r="N329" s="4">
        <f t="shared" si="28"/>
        <v>45778</v>
      </c>
      <c r="O329" t="str">
        <f t="shared" si="29"/>
        <v>May</v>
      </c>
    </row>
    <row r="330" spans="1:15" ht="15" customHeight="1" x14ac:dyDescent="0.25">
      <c r="A330" t="s">
        <v>367</v>
      </c>
      <c r="B330" s="2">
        <v>45811</v>
      </c>
      <c r="C330" t="s">
        <v>22</v>
      </c>
      <c r="D330" t="s">
        <v>23</v>
      </c>
      <c r="E330" t="s">
        <v>24</v>
      </c>
      <c r="F330" t="s">
        <v>40</v>
      </c>
      <c r="G330" t="s">
        <v>20</v>
      </c>
      <c r="H330">
        <v>7</v>
      </c>
      <c r="I330" s="18">
        <v>536.02</v>
      </c>
      <c r="J330" s="18">
        <f t="shared" si="25"/>
        <v>3752.14</v>
      </c>
      <c r="K330" s="18">
        <v>2256.65</v>
      </c>
      <c r="L330" s="18">
        <f t="shared" si="26"/>
        <v>1495.4899999999998</v>
      </c>
      <c r="M330" s="3">
        <f t="shared" si="27"/>
        <v>0.3985698827868896</v>
      </c>
      <c r="N330" s="4">
        <f t="shared" si="28"/>
        <v>45809</v>
      </c>
      <c r="O330" t="str">
        <f t="shared" si="29"/>
        <v>Jun</v>
      </c>
    </row>
    <row r="331" spans="1:15" ht="15" customHeight="1" x14ac:dyDescent="0.25">
      <c r="A331" t="s">
        <v>368</v>
      </c>
      <c r="B331" s="2">
        <v>45906</v>
      </c>
      <c r="C331" t="s">
        <v>22</v>
      </c>
      <c r="D331" t="s">
        <v>23</v>
      </c>
      <c r="E331" t="s">
        <v>33</v>
      </c>
      <c r="F331" t="s">
        <v>50</v>
      </c>
      <c r="G331" t="s">
        <v>28</v>
      </c>
      <c r="H331">
        <v>3</v>
      </c>
      <c r="I331" s="18">
        <v>709.5</v>
      </c>
      <c r="J331" s="18">
        <f t="shared" si="25"/>
        <v>2128.5</v>
      </c>
      <c r="K331" s="18">
        <v>1597.01</v>
      </c>
      <c r="L331" s="18">
        <f t="shared" si="26"/>
        <v>531.49</v>
      </c>
      <c r="M331" s="3">
        <f t="shared" si="27"/>
        <v>0.24970166784120273</v>
      </c>
      <c r="N331" s="4">
        <f t="shared" si="28"/>
        <v>45901</v>
      </c>
      <c r="O331" t="str">
        <f t="shared" si="29"/>
        <v>Sep</v>
      </c>
    </row>
    <row r="332" spans="1:15" ht="15" customHeight="1" x14ac:dyDescent="0.25">
      <c r="A332" t="s">
        <v>369</v>
      </c>
      <c r="B332" s="2">
        <v>45949</v>
      </c>
      <c r="C332" t="s">
        <v>22</v>
      </c>
      <c r="D332" t="s">
        <v>23</v>
      </c>
      <c r="E332" t="s">
        <v>39</v>
      </c>
      <c r="F332" t="s">
        <v>37</v>
      </c>
      <c r="G332" t="s">
        <v>20</v>
      </c>
      <c r="H332">
        <v>4</v>
      </c>
      <c r="I332" s="18">
        <v>12644.37</v>
      </c>
      <c r="J332" s="18">
        <f t="shared" si="25"/>
        <v>50577.48</v>
      </c>
      <c r="K332" s="18">
        <v>32363.4</v>
      </c>
      <c r="L332" s="18">
        <f t="shared" si="26"/>
        <v>18214.080000000002</v>
      </c>
      <c r="M332" s="3">
        <f t="shared" si="27"/>
        <v>0.36012233112444514</v>
      </c>
      <c r="N332" s="4">
        <f t="shared" si="28"/>
        <v>45931</v>
      </c>
      <c r="O332" t="str">
        <f t="shared" si="29"/>
        <v>Oct</v>
      </c>
    </row>
    <row r="333" spans="1:15" ht="15" customHeight="1" x14ac:dyDescent="0.25">
      <c r="A333" t="s">
        <v>370</v>
      </c>
      <c r="B333" s="2">
        <v>46018</v>
      </c>
      <c r="C333" t="s">
        <v>16</v>
      </c>
      <c r="D333" t="s">
        <v>23</v>
      </c>
      <c r="E333" t="s">
        <v>52</v>
      </c>
      <c r="F333" t="s">
        <v>53</v>
      </c>
      <c r="G333" t="s">
        <v>44</v>
      </c>
      <c r="H333">
        <v>8</v>
      </c>
      <c r="I333" s="18">
        <v>3921.02</v>
      </c>
      <c r="J333" s="18">
        <f t="shared" si="25"/>
        <v>31368.16</v>
      </c>
      <c r="K333" s="18">
        <v>22977.13</v>
      </c>
      <c r="L333" s="18">
        <f t="shared" si="26"/>
        <v>8391.0299999999988</v>
      </c>
      <c r="M333" s="3">
        <f t="shared" si="27"/>
        <v>0.26750150471050899</v>
      </c>
      <c r="N333" s="4">
        <f t="shared" si="28"/>
        <v>45992</v>
      </c>
      <c r="O333" t="str">
        <f t="shared" si="29"/>
        <v>Dec</v>
      </c>
    </row>
    <row r="334" spans="1:15" ht="15" customHeight="1" x14ac:dyDescent="0.25">
      <c r="A334" t="s">
        <v>371</v>
      </c>
      <c r="B334" s="2">
        <v>45848</v>
      </c>
      <c r="C334" t="s">
        <v>31</v>
      </c>
      <c r="D334" t="s">
        <v>17</v>
      </c>
      <c r="E334" t="s">
        <v>18</v>
      </c>
      <c r="F334" t="s">
        <v>40</v>
      </c>
      <c r="G334" t="s">
        <v>20</v>
      </c>
      <c r="H334">
        <v>8</v>
      </c>
      <c r="I334" s="18">
        <v>438.49</v>
      </c>
      <c r="J334" s="18">
        <f t="shared" si="25"/>
        <v>3507.92</v>
      </c>
      <c r="K334" s="18">
        <v>2329.06</v>
      </c>
      <c r="L334" s="18">
        <f t="shared" si="26"/>
        <v>1178.8600000000001</v>
      </c>
      <c r="M334" s="3">
        <f t="shared" si="27"/>
        <v>0.33605669456544052</v>
      </c>
      <c r="N334" s="4">
        <f t="shared" si="28"/>
        <v>45839</v>
      </c>
      <c r="O334" t="str">
        <f t="shared" si="29"/>
        <v>Jul</v>
      </c>
    </row>
    <row r="335" spans="1:15" ht="15" customHeight="1" x14ac:dyDescent="0.25">
      <c r="A335" t="s">
        <v>372</v>
      </c>
      <c r="B335" s="2">
        <v>45803</v>
      </c>
      <c r="C335" t="s">
        <v>31</v>
      </c>
      <c r="D335" t="s">
        <v>17</v>
      </c>
      <c r="E335" t="s">
        <v>24</v>
      </c>
      <c r="F335" t="s">
        <v>37</v>
      </c>
      <c r="G335" t="s">
        <v>20</v>
      </c>
      <c r="H335">
        <v>4</v>
      </c>
      <c r="I335" s="18">
        <v>16428.12</v>
      </c>
      <c r="J335" s="18">
        <f t="shared" si="25"/>
        <v>65712.479999999996</v>
      </c>
      <c r="K335" s="18">
        <v>48323.06</v>
      </c>
      <c r="L335" s="18">
        <f t="shared" si="26"/>
        <v>17389.419999999998</v>
      </c>
      <c r="M335" s="3">
        <f t="shared" si="27"/>
        <v>0.26462888023705694</v>
      </c>
      <c r="N335" s="4">
        <f t="shared" si="28"/>
        <v>45778</v>
      </c>
      <c r="O335" t="str">
        <f t="shared" si="29"/>
        <v>May</v>
      </c>
    </row>
    <row r="336" spans="1:15" ht="15" customHeight="1" x14ac:dyDescent="0.25">
      <c r="A336" t="s">
        <v>373</v>
      </c>
      <c r="B336" s="2">
        <v>45920</v>
      </c>
      <c r="C336" t="s">
        <v>16</v>
      </c>
      <c r="D336" t="s">
        <v>23</v>
      </c>
      <c r="E336" t="s">
        <v>39</v>
      </c>
      <c r="F336" t="s">
        <v>37</v>
      </c>
      <c r="G336" t="s">
        <v>20</v>
      </c>
      <c r="H336">
        <v>3</v>
      </c>
      <c r="I336" s="18">
        <v>22426.07</v>
      </c>
      <c r="J336" s="18">
        <f t="shared" si="25"/>
        <v>67278.209999999992</v>
      </c>
      <c r="K336" s="18">
        <v>48727.86</v>
      </c>
      <c r="L336" s="18">
        <f t="shared" si="26"/>
        <v>18550.349999999991</v>
      </c>
      <c r="M336" s="3">
        <f t="shared" si="27"/>
        <v>0.27572597427904211</v>
      </c>
      <c r="N336" s="4">
        <f t="shared" si="28"/>
        <v>45901</v>
      </c>
      <c r="O336" t="str">
        <f t="shared" si="29"/>
        <v>Sep</v>
      </c>
    </row>
    <row r="337" spans="1:15" ht="15" customHeight="1" x14ac:dyDescent="0.25">
      <c r="A337" t="s">
        <v>374</v>
      </c>
      <c r="B337" s="2">
        <v>45969</v>
      </c>
      <c r="C337" t="s">
        <v>31</v>
      </c>
      <c r="D337" t="s">
        <v>17</v>
      </c>
      <c r="E337" t="s">
        <v>39</v>
      </c>
      <c r="F337" t="s">
        <v>27</v>
      </c>
      <c r="G337" t="s">
        <v>28</v>
      </c>
      <c r="H337">
        <v>7</v>
      </c>
      <c r="I337" s="18">
        <v>22130.95</v>
      </c>
      <c r="J337" s="18">
        <f t="shared" si="25"/>
        <v>154916.65</v>
      </c>
      <c r="K337" s="18">
        <v>106917.2</v>
      </c>
      <c r="L337" s="18">
        <f t="shared" si="26"/>
        <v>47999.45</v>
      </c>
      <c r="M337" s="3">
        <f t="shared" si="27"/>
        <v>0.30984048518993923</v>
      </c>
      <c r="N337" s="4">
        <f t="shared" si="28"/>
        <v>45962</v>
      </c>
      <c r="O337" t="str">
        <f t="shared" si="29"/>
        <v>Nov</v>
      </c>
    </row>
    <row r="338" spans="1:15" ht="15" customHeight="1" x14ac:dyDescent="0.25">
      <c r="A338" t="s">
        <v>375</v>
      </c>
      <c r="B338" s="2">
        <v>46004</v>
      </c>
      <c r="C338" t="s">
        <v>26</v>
      </c>
      <c r="D338" t="s">
        <v>17</v>
      </c>
      <c r="E338" t="s">
        <v>39</v>
      </c>
      <c r="F338" t="s">
        <v>50</v>
      </c>
      <c r="G338" t="s">
        <v>28</v>
      </c>
      <c r="H338">
        <v>2</v>
      </c>
      <c r="I338" s="18">
        <v>764.45</v>
      </c>
      <c r="J338" s="18">
        <f t="shared" si="25"/>
        <v>1528.9</v>
      </c>
      <c r="K338" s="18">
        <v>1253.49</v>
      </c>
      <c r="L338" s="18">
        <f t="shared" si="26"/>
        <v>275.41000000000008</v>
      </c>
      <c r="M338" s="3">
        <f t="shared" si="27"/>
        <v>0.18013604552292503</v>
      </c>
      <c r="N338" s="4">
        <f t="shared" si="28"/>
        <v>45992</v>
      </c>
      <c r="O338" t="str">
        <f t="shared" si="29"/>
        <v>Dec</v>
      </c>
    </row>
    <row r="339" spans="1:15" ht="15" customHeight="1" x14ac:dyDescent="0.25">
      <c r="A339" t="s">
        <v>376</v>
      </c>
      <c r="B339" s="2">
        <v>46008</v>
      </c>
      <c r="C339" t="s">
        <v>26</v>
      </c>
      <c r="D339" t="s">
        <v>17</v>
      </c>
      <c r="E339" t="s">
        <v>52</v>
      </c>
      <c r="F339" t="s">
        <v>19</v>
      </c>
      <c r="G339" t="s">
        <v>20</v>
      </c>
      <c r="H339">
        <v>5</v>
      </c>
      <c r="I339" s="18">
        <v>1461.99</v>
      </c>
      <c r="J339" s="18">
        <f t="shared" si="25"/>
        <v>7309.95</v>
      </c>
      <c r="K339" s="18">
        <v>5751.16</v>
      </c>
      <c r="L339" s="18">
        <f t="shared" si="26"/>
        <v>1558.79</v>
      </c>
      <c r="M339" s="3">
        <f t="shared" si="27"/>
        <v>0.21324222463901943</v>
      </c>
      <c r="N339" s="4">
        <f t="shared" si="28"/>
        <v>45992</v>
      </c>
      <c r="O339" t="str">
        <f t="shared" si="29"/>
        <v>Dec</v>
      </c>
    </row>
    <row r="340" spans="1:15" ht="15" customHeight="1" x14ac:dyDescent="0.25">
      <c r="A340" t="s">
        <v>377</v>
      </c>
      <c r="B340" s="2">
        <v>45734</v>
      </c>
      <c r="C340" t="s">
        <v>22</v>
      </c>
      <c r="D340" t="s">
        <v>17</v>
      </c>
      <c r="E340" t="s">
        <v>52</v>
      </c>
      <c r="F340" t="s">
        <v>50</v>
      </c>
      <c r="G340" t="s">
        <v>28</v>
      </c>
      <c r="H340">
        <v>1</v>
      </c>
      <c r="I340" s="18">
        <v>1242.53</v>
      </c>
      <c r="J340" s="18">
        <f t="shared" si="25"/>
        <v>1242.53</v>
      </c>
      <c r="K340" s="18">
        <v>959.94</v>
      </c>
      <c r="L340" s="18">
        <f t="shared" si="26"/>
        <v>282.58999999999992</v>
      </c>
      <c r="M340" s="3">
        <f t="shared" si="27"/>
        <v>0.22743112842345853</v>
      </c>
      <c r="N340" s="4">
        <f t="shared" si="28"/>
        <v>45717</v>
      </c>
      <c r="O340" t="str">
        <f t="shared" si="29"/>
        <v>Mar</v>
      </c>
    </row>
    <row r="341" spans="1:15" ht="15" customHeight="1" x14ac:dyDescent="0.25">
      <c r="A341" t="s">
        <v>378</v>
      </c>
      <c r="B341" s="2">
        <v>45671</v>
      </c>
      <c r="C341" t="s">
        <v>31</v>
      </c>
      <c r="D341" t="s">
        <v>17</v>
      </c>
      <c r="E341" t="s">
        <v>52</v>
      </c>
      <c r="F341" t="s">
        <v>40</v>
      </c>
      <c r="G341" t="s">
        <v>20</v>
      </c>
      <c r="H341">
        <v>7</v>
      </c>
      <c r="I341" s="18">
        <v>1155.52</v>
      </c>
      <c r="J341" s="18">
        <f t="shared" si="25"/>
        <v>8088.6399999999994</v>
      </c>
      <c r="K341" s="18">
        <v>6121.61</v>
      </c>
      <c r="L341" s="18">
        <f t="shared" si="26"/>
        <v>1967.0299999999997</v>
      </c>
      <c r="M341" s="3">
        <f t="shared" si="27"/>
        <v>0.2431842683071567</v>
      </c>
      <c r="N341" s="4">
        <f t="shared" si="28"/>
        <v>45658</v>
      </c>
      <c r="O341" t="str">
        <f t="shared" si="29"/>
        <v>Jan</v>
      </c>
    </row>
    <row r="342" spans="1:15" ht="15" customHeight="1" x14ac:dyDescent="0.25">
      <c r="A342" t="s">
        <v>379</v>
      </c>
      <c r="B342" s="2">
        <v>46009</v>
      </c>
      <c r="C342" t="s">
        <v>31</v>
      </c>
      <c r="D342" t="s">
        <v>17</v>
      </c>
      <c r="E342" t="s">
        <v>18</v>
      </c>
      <c r="F342" t="s">
        <v>50</v>
      </c>
      <c r="G342" t="s">
        <v>28</v>
      </c>
      <c r="H342">
        <v>6</v>
      </c>
      <c r="I342" s="18">
        <v>1179.72</v>
      </c>
      <c r="J342" s="18">
        <f t="shared" si="25"/>
        <v>7078.32</v>
      </c>
      <c r="K342" s="18">
        <v>5541.62</v>
      </c>
      <c r="L342" s="18">
        <f t="shared" si="26"/>
        <v>1536.6999999999998</v>
      </c>
      <c r="M342" s="3">
        <f t="shared" si="27"/>
        <v>0.21709953774341934</v>
      </c>
      <c r="N342" s="4">
        <f t="shared" si="28"/>
        <v>45992</v>
      </c>
      <c r="O342" t="str">
        <f t="shared" si="29"/>
        <v>Dec</v>
      </c>
    </row>
    <row r="343" spans="1:15" ht="15" customHeight="1" x14ac:dyDescent="0.25">
      <c r="A343" t="s">
        <v>380</v>
      </c>
      <c r="B343" s="2">
        <v>45899</v>
      </c>
      <c r="C343" t="s">
        <v>16</v>
      </c>
      <c r="D343" t="s">
        <v>23</v>
      </c>
      <c r="E343" t="s">
        <v>39</v>
      </c>
      <c r="F343" t="s">
        <v>35</v>
      </c>
      <c r="G343" t="s">
        <v>20</v>
      </c>
      <c r="H343">
        <v>3</v>
      </c>
      <c r="I343" s="18">
        <v>3287.76</v>
      </c>
      <c r="J343" s="18">
        <f t="shared" si="25"/>
        <v>9863.2800000000007</v>
      </c>
      <c r="K343" s="18">
        <v>7850.2</v>
      </c>
      <c r="L343" s="18">
        <f t="shared" si="26"/>
        <v>2013.0800000000008</v>
      </c>
      <c r="M343" s="3">
        <f t="shared" si="27"/>
        <v>0.20409843378673229</v>
      </c>
      <c r="N343" s="4">
        <f t="shared" si="28"/>
        <v>45870</v>
      </c>
      <c r="O343" t="str">
        <f t="shared" si="29"/>
        <v>Aug</v>
      </c>
    </row>
    <row r="344" spans="1:15" ht="15" customHeight="1" x14ac:dyDescent="0.25">
      <c r="A344" t="s">
        <v>381</v>
      </c>
      <c r="B344" s="2">
        <v>45772</v>
      </c>
      <c r="C344" t="s">
        <v>16</v>
      </c>
      <c r="D344" t="s">
        <v>17</v>
      </c>
      <c r="E344" t="s">
        <v>18</v>
      </c>
      <c r="F344" t="s">
        <v>27</v>
      </c>
      <c r="G344" t="s">
        <v>28</v>
      </c>
      <c r="H344">
        <v>5</v>
      </c>
      <c r="I344" s="18">
        <v>16160.93</v>
      </c>
      <c r="J344" s="18">
        <f t="shared" si="25"/>
        <v>80804.649999999994</v>
      </c>
      <c r="K344" s="18">
        <v>55860.46</v>
      </c>
      <c r="L344" s="18">
        <f t="shared" si="26"/>
        <v>24944.189999999995</v>
      </c>
      <c r="M344" s="3">
        <f t="shared" si="27"/>
        <v>0.30869745738642512</v>
      </c>
      <c r="N344" s="4">
        <f t="shared" si="28"/>
        <v>45748</v>
      </c>
      <c r="O344" t="str">
        <f t="shared" si="29"/>
        <v>Apr</v>
      </c>
    </row>
    <row r="345" spans="1:15" ht="15" customHeight="1" x14ac:dyDescent="0.25">
      <c r="A345" t="s">
        <v>382</v>
      </c>
      <c r="B345" s="2">
        <v>45982</v>
      </c>
      <c r="C345" t="s">
        <v>22</v>
      </c>
      <c r="D345" t="s">
        <v>17</v>
      </c>
      <c r="E345" t="s">
        <v>24</v>
      </c>
      <c r="F345" t="s">
        <v>62</v>
      </c>
      <c r="G345" t="s">
        <v>20</v>
      </c>
      <c r="H345">
        <v>4</v>
      </c>
      <c r="I345" s="18">
        <v>1483.14</v>
      </c>
      <c r="J345" s="18">
        <f t="shared" si="25"/>
        <v>5932.56</v>
      </c>
      <c r="K345" s="18">
        <v>4676.04</v>
      </c>
      <c r="L345" s="18">
        <f t="shared" si="26"/>
        <v>1256.5200000000004</v>
      </c>
      <c r="M345" s="3">
        <f t="shared" si="27"/>
        <v>0.21180063918443309</v>
      </c>
      <c r="N345" s="4">
        <f t="shared" si="28"/>
        <v>45962</v>
      </c>
      <c r="O345" t="str">
        <f t="shared" si="29"/>
        <v>Nov</v>
      </c>
    </row>
    <row r="346" spans="1:15" ht="15" customHeight="1" x14ac:dyDescent="0.25">
      <c r="A346" t="s">
        <v>383</v>
      </c>
      <c r="B346" s="2">
        <v>45685</v>
      </c>
      <c r="C346" t="s">
        <v>22</v>
      </c>
      <c r="D346" t="s">
        <v>23</v>
      </c>
      <c r="E346" t="s">
        <v>39</v>
      </c>
      <c r="F346" t="s">
        <v>35</v>
      </c>
      <c r="G346" t="s">
        <v>20</v>
      </c>
      <c r="H346">
        <v>7</v>
      </c>
      <c r="I346" s="18">
        <v>2787.49</v>
      </c>
      <c r="J346" s="18">
        <f t="shared" si="25"/>
        <v>19512.43</v>
      </c>
      <c r="K346" s="18">
        <v>15498.39</v>
      </c>
      <c r="L346" s="18">
        <f t="shared" si="26"/>
        <v>4014.0400000000009</v>
      </c>
      <c r="M346" s="3">
        <f t="shared" si="27"/>
        <v>0.20571707368072562</v>
      </c>
      <c r="N346" s="4">
        <f t="shared" si="28"/>
        <v>45658</v>
      </c>
      <c r="O346" t="str">
        <f t="shared" si="29"/>
        <v>Jan</v>
      </c>
    </row>
    <row r="347" spans="1:15" ht="15" customHeight="1" x14ac:dyDescent="0.25">
      <c r="A347" t="s">
        <v>384</v>
      </c>
      <c r="B347" s="2">
        <v>45750</v>
      </c>
      <c r="C347" t="s">
        <v>22</v>
      </c>
      <c r="D347" t="s">
        <v>17</v>
      </c>
      <c r="E347" t="s">
        <v>52</v>
      </c>
      <c r="F347" t="s">
        <v>19</v>
      </c>
      <c r="G347" t="s">
        <v>20</v>
      </c>
      <c r="H347">
        <v>3</v>
      </c>
      <c r="I347" s="18">
        <v>3488.76</v>
      </c>
      <c r="J347" s="18">
        <f t="shared" si="25"/>
        <v>10466.280000000001</v>
      </c>
      <c r="K347" s="18">
        <v>6216.17</v>
      </c>
      <c r="L347" s="18">
        <f t="shared" si="26"/>
        <v>4250.1100000000006</v>
      </c>
      <c r="M347" s="3">
        <f t="shared" si="27"/>
        <v>0.40607646651914531</v>
      </c>
      <c r="N347" s="4">
        <f t="shared" si="28"/>
        <v>45748</v>
      </c>
      <c r="O347" t="str">
        <f t="shared" si="29"/>
        <v>Apr</v>
      </c>
    </row>
    <row r="348" spans="1:15" ht="15" customHeight="1" x14ac:dyDescent="0.25">
      <c r="A348" t="s">
        <v>385</v>
      </c>
      <c r="B348" s="2">
        <v>45744</v>
      </c>
      <c r="C348" t="s">
        <v>22</v>
      </c>
      <c r="D348" t="s">
        <v>17</v>
      </c>
      <c r="E348" t="s">
        <v>24</v>
      </c>
      <c r="F348" t="s">
        <v>62</v>
      </c>
      <c r="G348" t="s">
        <v>20</v>
      </c>
      <c r="H348">
        <v>2</v>
      </c>
      <c r="I348" s="18">
        <v>2034.16</v>
      </c>
      <c r="J348" s="18">
        <f t="shared" si="25"/>
        <v>4068.32</v>
      </c>
      <c r="K348" s="18">
        <v>2783.1</v>
      </c>
      <c r="L348" s="18">
        <f t="shared" si="26"/>
        <v>1285.2200000000003</v>
      </c>
      <c r="M348" s="3">
        <f t="shared" si="27"/>
        <v>0.31590926967396865</v>
      </c>
      <c r="N348" s="4">
        <f t="shared" si="28"/>
        <v>45717</v>
      </c>
      <c r="O348" t="str">
        <f t="shared" si="29"/>
        <v>Mar</v>
      </c>
    </row>
    <row r="349" spans="1:15" ht="15" customHeight="1" x14ac:dyDescent="0.25">
      <c r="A349" t="s">
        <v>386</v>
      </c>
      <c r="B349" s="2">
        <v>45902</v>
      </c>
      <c r="C349" t="s">
        <v>26</v>
      </c>
      <c r="D349" t="s">
        <v>23</v>
      </c>
      <c r="E349" t="s">
        <v>18</v>
      </c>
      <c r="F349" t="s">
        <v>43</v>
      </c>
      <c r="G349" t="s">
        <v>44</v>
      </c>
      <c r="H349">
        <v>4</v>
      </c>
      <c r="I349" s="18">
        <v>832.72</v>
      </c>
      <c r="J349" s="18">
        <f t="shared" si="25"/>
        <v>3330.88</v>
      </c>
      <c r="K349" s="18">
        <v>2691.41</v>
      </c>
      <c r="L349" s="18">
        <f t="shared" si="26"/>
        <v>639.47000000000025</v>
      </c>
      <c r="M349" s="3">
        <f t="shared" si="27"/>
        <v>0.1919822989720435</v>
      </c>
      <c r="N349" s="4">
        <f t="shared" si="28"/>
        <v>45901</v>
      </c>
      <c r="O349" t="str">
        <f t="shared" si="29"/>
        <v>Sep</v>
      </c>
    </row>
    <row r="350" spans="1:15" ht="15" customHeight="1" x14ac:dyDescent="0.25">
      <c r="A350" t="s">
        <v>387</v>
      </c>
      <c r="B350" s="2">
        <v>46004</v>
      </c>
      <c r="C350" t="s">
        <v>26</v>
      </c>
      <c r="D350" t="s">
        <v>23</v>
      </c>
      <c r="E350" t="s">
        <v>18</v>
      </c>
      <c r="F350" t="s">
        <v>37</v>
      </c>
      <c r="G350" t="s">
        <v>20</v>
      </c>
      <c r="H350">
        <v>6</v>
      </c>
      <c r="I350" s="18">
        <v>18542.919999999998</v>
      </c>
      <c r="J350" s="18">
        <f t="shared" si="25"/>
        <v>111257.51999999999</v>
      </c>
      <c r="K350" s="18">
        <v>67271.86</v>
      </c>
      <c r="L350" s="18">
        <f t="shared" si="26"/>
        <v>43985.659999999989</v>
      </c>
      <c r="M350" s="3">
        <f t="shared" si="27"/>
        <v>0.39534999521830066</v>
      </c>
      <c r="N350" s="4">
        <f t="shared" si="28"/>
        <v>45992</v>
      </c>
      <c r="O350" t="str">
        <f t="shared" si="29"/>
        <v>Dec</v>
      </c>
    </row>
    <row r="351" spans="1:15" ht="15" customHeight="1" x14ac:dyDescent="0.25">
      <c r="A351" t="s">
        <v>388</v>
      </c>
      <c r="B351" s="2">
        <v>45681</v>
      </c>
      <c r="C351" t="s">
        <v>31</v>
      </c>
      <c r="D351" t="s">
        <v>17</v>
      </c>
      <c r="E351" t="s">
        <v>24</v>
      </c>
      <c r="F351" t="s">
        <v>27</v>
      </c>
      <c r="G351" t="s">
        <v>28</v>
      </c>
      <c r="H351">
        <v>6</v>
      </c>
      <c r="I351" s="18">
        <v>13581.39</v>
      </c>
      <c r="J351" s="18">
        <f t="shared" si="25"/>
        <v>81488.34</v>
      </c>
      <c r="K351" s="18">
        <v>60694.74</v>
      </c>
      <c r="L351" s="18">
        <f t="shared" si="26"/>
        <v>20793.599999999999</v>
      </c>
      <c r="M351" s="3">
        <f t="shared" si="27"/>
        <v>0.25517270323582492</v>
      </c>
      <c r="N351" s="4">
        <f t="shared" si="28"/>
        <v>45658</v>
      </c>
      <c r="O351" t="str">
        <f t="shared" si="29"/>
        <v>Jan</v>
      </c>
    </row>
    <row r="352" spans="1:15" ht="15" customHeight="1" x14ac:dyDescent="0.25">
      <c r="A352" t="s">
        <v>389</v>
      </c>
      <c r="B352" s="2">
        <v>45841</v>
      </c>
      <c r="C352" t="s">
        <v>31</v>
      </c>
      <c r="D352" t="s">
        <v>23</v>
      </c>
      <c r="E352" t="s">
        <v>33</v>
      </c>
      <c r="F352" t="s">
        <v>53</v>
      </c>
      <c r="G352" t="s">
        <v>44</v>
      </c>
      <c r="H352">
        <v>4</v>
      </c>
      <c r="I352" s="18">
        <v>3972.21</v>
      </c>
      <c r="J352" s="18">
        <f t="shared" si="25"/>
        <v>15888.84</v>
      </c>
      <c r="K352" s="18">
        <v>12971.19</v>
      </c>
      <c r="L352" s="18">
        <f t="shared" si="26"/>
        <v>2917.6499999999996</v>
      </c>
      <c r="M352" s="3">
        <f t="shared" si="27"/>
        <v>0.18362888669028071</v>
      </c>
      <c r="N352" s="4">
        <f t="shared" si="28"/>
        <v>45839</v>
      </c>
      <c r="O352" t="str">
        <f t="shared" si="29"/>
        <v>Jul</v>
      </c>
    </row>
    <row r="353" spans="1:15" ht="15" customHeight="1" x14ac:dyDescent="0.25">
      <c r="A353" t="s">
        <v>390</v>
      </c>
      <c r="B353" s="2">
        <v>45916</v>
      </c>
      <c r="C353" t="s">
        <v>16</v>
      </c>
      <c r="D353" t="s">
        <v>23</v>
      </c>
      <c r="E353" t="s">
        <v>18</v>
      </c>
      <c r="F353" t="s">
        <v>35</v>
      </c>
      <c r="G353" t="s">
        <v>20</v>
      </c>
      <c r="H353">
        <v>1</v>
      </c>
      <c r="I353" s="18">
        <v>3805.58</v>
      </c>
      <c r="J353" s="18">
        <f t="shared" si="25"/>
        <v>3805.58</v>
      </c>
      <c r="K353" s="18">
        <v>2792.07</v>
      </c>
      <c r="L353" s="18">
        <f t="shared" si="26"/>
        <v>1013.5099999999998</v>
      </c>
      <c r="M353" s="3">
        <f t="shared" si="27"/>
        <v>0.26632208493843246</v>
      </c>
      <c r="N353" s="4">
        <f t="shared" si="28"/>
        <v>45901</v>
      </c>
      <c r="O353" t="str">
        <f t="shared" si="29"/>
        <v>Sep</v>
      </c>
    </row>
    <row r="354" spans="1:15" ht="15" customHeight="1" x14ac:dyDescent="0.25">
      <c r="A354" t="s">
        <v>391</v>
      </c>
      <c r="B354" s="2">
        <v>45992</v>
      </c>
      <c r="C354" t="s">
        <v>22</v>
      </c>
      <c r="D354" t="s">
        <v>23</v>
      </c>
      <c r="E354" t="s">
        <v>52</v>
      </c>
      <c r="F354" t="s">
        <v>37</v>
      </c>
      <c r="G354" t="s">
        <v>20</v>
      </c>
      <c r="H354">
        <v>8</v>
      </c>
      <c r="I354" s="18">
        <v>9555.5400000000009</v>
      </c>
      <c r="J354" s="18">
        <f t="shared" si="25"/>
        <v>76444.320000000007</v>
      </c>
      <c r="K354" s="18">
        <v>54378.5</v>
      </c>
      <c r="L354" s="18">
        <f t="shared" si="26"/>
        <v>22065.820000000007</v>
      </c>
      <c r="M354" s="3">
        <f t="shared" si="27"/>
        <v>0.28865218501518497</v>
      </c>
      <c r="N354" s="4">
        <f t="shared" si="28"/>
        <v>45992</v>
      </c>
      <c r="O354" t="str">
        <f t="shared" si="29"/>
        <v>Dec</v>
      </c>
    </row>
    <row r="355" spans="1:15" ht="15" customHeight="1" x14ac:dyDescent="0.25">
      <c r="A355" t="s">
        <v>392</v>
      </c>
      <c r="B355" s="2">
        <v>46013</v>
      </c>
      <c r="C355" t="s">
        <v>31</v>
      </c>
      <c r="D355" t="s">
        <v>17</v>
      </c>
      <c r="E355" t="s">
        <v>18</v>
      </c>
      <c r="F355" t="s">
        <v>37</v>
      </c>
      <c r="G355" t="s">
        <v>20</v>
      </c>
      <c r="H355">
        <v>2</v>
      </c>
      <c r="I355" s="18">
        <v>14385.78</v>
      </c>
      <c r="J355" s="18">
        <f t="shared" si="25"/>
        <v>28771.56</v>
      </c>
      <c r="K355" s="18">
        <v>18551.740000000002</v>
      </c>
      <c r="L355" s="18">
        <f t="shared" si="26"/>
        <v>10219.82</v>
      </c>
      <c r="M355" s="3">
        <f t="shared" si="27"/>
        <v>0.35520562666744521</v>
      </c>
      <c r="N355" s="4">
        <f t="shared" si="28"/>
        <v>45992</v>
      </c>
      <c r="O355" t="str">
        <f t="shared" si="29"/>
        <v>Dec</v>
      </c>
    </row>
    <row r="356" spans="1:15" ht="15" customHeight="1" x14ac:dyDescent="0.25">
      <c r="A356" t="s">
        <v>393</v>
      </c>
      <c r="B356" s="2">
        <v>45919</v>
      </c>
      <c r="C356" t="s">
        <v>26</v>
      </c>
      <c r="D356" t="s">
        <v>23</v>
      </c>
      <c r="E356" t="s">
        <v>39</v>
      </c>
      <c r="F356" t="s">
        <v>62</v>
      </c>
      <c r="G356" t="s">
        <v>20</v>
      </c>
      <c r="H356">
        <v>2</v>
      </c>
      <c r="I356" s="18">
        <v>3213.55</v>
      </c>
      <c r="J356" s="18">
        <f t="shared" si="25"/>
        <v>6427.1</v>
      </c>
      <c r="K356" s="18">
        <v>4667.1099999999997</v>
      </c>
      <c r="L356" s="18">
        <f t="shared" si="26"/>
        <v>1759.9900000000007</v>
      </c>
      <c r="M356" s="3">
        <f t="shared" si="27"/>
        <v>0.27383890090398477</v>
      </c>
      <c r="N356" s="4">
        <f t="shared" si="28"/>
        <v>45901</v>
      </c>
      <c r="O356" t="str">
        <f t="shared" si="29"/>
        <v>Sep</v>
      </c>
    </row>
    <row r="357" spans="1:15" ht="15" customHeight="1" x14ac:dyDescent="0.25">
      <c r="A357" t="s">
        <v>394</v>
      </c>
      <c r="B357" s="2">
        <v>46018</v>
      </c>
      <c r="C357" t="s">
        <v>22</v>
      </c>
      <c r="D357" t="s">
        <v>17</v>
      </c>
      <c r="E357" t="s">
        <v>52</v>
      </c>
      <c r="F357" t="s">
        <v>43</v>
      </c>
      <c r="G357" t="s">
        <v>44</v>
      </c>
      <c r="H357">
        <v>8</v>
      </c>
      <c r="I357" s="18">
        <v>313.8</v>
      </c>
      <c r="J357" s="18">
        <f t="shared" si="25"/>
        <v>2510.4</v>
      </c>
      <c r="K357" s="18">
        <v>1870.67</v>
      </c>
      <c r="L357" s="18">
        <f t="shared" si="26"/>
        <v>639.73</v>
      </c>
      <c r="M357" s="3">
        <f t="shared" si="27"/>
        <v>0.25483189929891653</v>
      </c>
      <c r="N357" s="4">
        <f t="shared" si="28"/>
        <v>45992</v>
      </c>
      <c r="O357" t="str">
        <f t="shared" si="29"/>
        <v>Dec</v>
      </c>
    </row>
    <row r="358" spans="1:15" ht="15" customHeight="1" x14ac:dyDescent="0.25">
      <c r="A358" t="s">
        <v>395</v>
      </c>
      <c r="B358" s="2">
        <v>45659</v>
      </c>
      <c r="C358" t="s">
        <v>31</v>
      </c>
      <c r="D358" t="s">
        <v>23</v>
      </c>
      <c r="E358" t="s">
        <v>33</v>
      </c>
      <c r="F358" t="s">
        <v>37</v>
      </c>
      <c r="G358" t="s">
        <v>20</v>
      </c>
      <c r="H358">
        <v>2</v>
      </c>
      <c r="I358" s="18">
        <v>21345.200000000001</v>
      </c>
      <c r="J358" s="18">
        <f t="shared" si="25"/>
        <v>42690.400000000001</v>
      </c>
      <c r="K358" s="18">
        <v>31615.03</v>
      </c>
      <c r="L358" s="18">
        <f t="shared" si="26"/>
        <v>11075.370000000003</v>
      </c>
      <c r="M358" s="3">
        <f t="shared" si="27"/>
        <v>0.25943467383767782</v>
      </c>
      <c r="N358" s="4">
        <f t="shared" si="28"/>
        <v>45658</v>
      </c>
      <c r="O358" t="str">
        <f t="shared" si="29"/>
        <v>Jan</v>
      </c>
    </row>
    <row r="359" spans="1:15" ht="15" customHeight="1" x14ac:dyDescent="0.25">
      <c r="A359" t="s">
        <v>396</v>
      </c>
      <c r="B359" s="2">
        <v>45696</v>
      </c>
      <c r="C359" t="s">
        <v>31</v>
      </c>
      <c r="D359" t="s">
        <v>23</v>
      </c>
      <c r="E359" t="s">
        <v>39</v>
      </c>
      <c r="F359" t="s">
        <v>19</v>
      </c>
      <c r="G359" t="s">
        <v>20</v>
      </c>
      <c r="H359">
        <v>5</v>
      </c>
      <c r="I359" s="18">
        <v>2661.24</v>
      </c>
      <c r="J359" s="18">
        <f t="shared" si="25"/>
        <v>13306.199999999999</v>
      </c>
      <c r="K359" s="18">
        <v>7877.53</v>
      </c>
      <c r="L359" s="18">
        <f t="shared" si="26"/>
        <v>5428.6699999999992</v>
      </c>
      <c r="M359" s="3">
        <f t="shared" si="27"/>
        <v>0.4079804902977559</v>
      </c>
      <c r="N359" s="4">
        <f t="shared" si="28"/>
        <v>45689</v>
      </c>
      <c r="O359" t="str">
        <f t="shared" si="29"/>
        <v>Feb</v>
      </c>
    </row>
    <row r="360" spans="1:15" ht="15" customHeight="1" x14ac:dyDescent="0.25">
      <c r="A360" t="s">
        <v>397</v>
      </c>
      <c r="B360" s="2">
        <v>45842</v>
      </c>
      <c r="C360" t="s">
        <v>31</v>
      </c>
      <c r="D360" t="s">
        <v>17</v>
      </c>
      <c r="E360" t="s">
        <v>39</v>
      </c>
      <c r="F360" t="s">
        <v>46</v>
      </c>
      <c r="G360" t="s">
        <v>28</v>
      </c>
      <c r="H360">
        <v>1</v>
      </c>
      <c r="I360" s="18">
        <v>14412.01</v>
      </c>
      <c r="J360" s="18">
        <f t="shared" si="25"/>
        <v>14412.01</v>
      </c>
      <c r="K360" s="18">
        <v>8837.66</v>
      </c>
      <c r="L360" s="18">
        <f t="shared" si="26"/>
        <v>5574.35</v>
      </c>
      <c r="M360" s="3">
        <f t="shared" si="27"/>
        <v>0.38678504941364877</v>
      </c>
      <c r="N360" s="4">
        <f t="shared" si="28"/>
        <v>45839</v>
      </c>
      <c r="O360" t="str">
        <f t="shared" si="29"/>
        <v>Jul</v>
      </c>
    </row>
    <row r="361" spans="1:15" ht="15" customHeight="1" x14ac:dyDescent="0.25">
      <c r="A361" t="s">
        <v>398</v>
      </c>
      <c r="B361" s="2">
        <v>45882</v>
      </c>
      <c r="C361" t="s">
        <v>22</v>
      </c>
      <c r="D361" t="s">
        <v>17</v>
      </c>
      <c r="E361" t="s">
        <v>24</v>
      </c>
      <c r="F361" t="s">
        <v>62</v>
      </c>
      <c r="G361" t="s">
        <v>20</v>
      </c>
      <c r="H361">
        <v>6</v>
      </c>
      <c r="I361" s="18">
        <v>1555.65</v>
      </c>
      <c r="J361" s="18">
        <f t="shared" si="25"/>
        <v>9333.9000000000015</v>
      </c>
      <c r="K361" s="18">
        <v>6311.46</v>
      </c>
      <c r="L361" s="18">
        <f t="shared" si="26"/>
        <v>3022.4400000000014</v>
      </c>
      <c r="M361" s="3">
        <f t="shared" si="27"/>
        <v>0.32381319705589312</v>
      </c>
      <c r="N361" s="4">
        <f t="shared" si="28"/>
        <v>45870</v>
      </c>
      <c r="O361" t="str">
        <f t="shared" si="29"/>
        <v>Aug</v>
      </c>
    </row>
    <row r="362" spans="1:15" ht="15" customHeight="1" x14ac:dyDescent="0.25">
      <c r="A362" t="s">
        <v>399</v>
      </c>
      <c r="B362" s="2">
        <v>46011</v>
      </c>
      <c r="C362" t="s">
        <v>31</v>
      </c>
      <c r="D362" t="s">
        <v>23</v>
      </c>
      <c r="E362" t="s">
        <v>24</v>
      </c>
      <c r="F362" t="s">
        <v>40</v>
      </c>
      <c r="G362" t="s">
        <v>20</v>
      </c>
      <c r="H362">
        <v>3</v>
      </c>
      <c r="I362" s="18">
        <v>379.32</v>
      </c>
      <c r="J362" s="18">
        <f t="shared" si="25"/>
        <v>1137.96</v>
      </c>
      <c r="K362" s="18">
        <v>676.03</v>
      </c>
      <c r="L362" s="18">
        <f t="shared" si="26"/>
        <v>461.93000000000006</v>
      </c>
      <c r="M362" s="3">
        <f t="shared" si="27"/>
        <v>0.40592815213188516</v>
      </c>
      <c r="N362" s="4">
        <f t="shared" si="28"/>
        <v>45992</v>
      </c>
      <c r="O362" t="str">
        <f t="shared" si="29"/>
        <v>Dec</v>
      </c>
    </row>
    <row r="363" spans="1:15" ht="15" customHeight="1" x14ac:dyDescent="0.25">
      <c r="A363" t="s">
        <v>400</v>
      </c>
      <c r="B363" s="2">
        <v>45960</v>
      </c>
      <c r="C363" t="s">
        <v>31</v>
      </c>
      <c r="D363" t="s">
        <v>17</v>
      </c>
      <c r="E363" t="s">
        <v>24</v>
      </c>
      <c r="F363" t="s">
        <v>40</v>
      </c>
      <c r="G363" t="s">
        <v>20</v>
      </c>
      <c r="H363">
        <v>7</v>
      </c>
      <c r="I363" s="18">
        <v>459.29</v>
      </c>
      <c r="J363" s="18">
        <f t="shared" si="25"/>
        <v>3215.03</v>
      </c>
      <c r="K363" s="18">
        <v>2336.4499999999998</v>
      </c>
      <c r="L363" s="18">
        <f t="shared" si="26"/>
        <v>878.58000000000038</v>
      </c>
      <c r="M363" s="3">
        <f t="shared" si="27"/>
        <v>0.27327272218299686</v>
      </c>
      <c r="N363" s="4">
        <f t="shared" si="28"/>
        <v>45931</v>
      </c>
      <c r="O363" t="str">
        <f t="shared" si="29"/>
        <v>Oct</v>
      </c>
    </row>
    <row r="364" spans="1:15" ht="15" customHeight="1" x14ac:dyDescent="0.25">
      <c r="A364" t="s">
        <v>401</v>
      </c>
      <c r="B364" s="2">
        <v>45715</v>
      </c>
      <c r="C364" t="s">
        <v>31</v>
      </c>
      <c r="D364" t="s">
        <v>17</v>
      </c>
      <c r="E364" t="s">
        <v>33</v>
      </c>
      <c r="F364" t="s">
        <v>43</v>
      </c>
      <c r="G364" t="s">
        <v>44</v>
      </c>
      <c r="H364">
        <v>5</v>
      </c>
      <c r="I364" s="18">
        <v>323.73</v>
      </c>
      <c r="J364" s="18">
        <f t="shared" si="25"/>
        <v>1618.65</v>
      </c>
      <c r="K364" s="18">
        <v>943.62</v>
      </c>
      <c r="L364" s="18">
        <f t="shared" si="26"/>
        <v>675.03000000000009</v>
      </c>
      <c r="M364" s="3">
        <f t="shared" si="27"/>
        <v>0.41703271244555651</v>
      </c>
      <c r="N364" s="4">
        <f t="shared" si="28"/>
        <v>45689</v>
      </c>
      <c r="O364" t="str">
        <f t="shared" si="29"/>
        <v>Feb</v>
      </c>
    </row>
    <row r="365" spans="1:15" ht="15" customHeight="1" x14ac:dyDescent="0.25">
      <c r="A365" t="s">
        <v>402</v>
      </c>
      <c r="B365" s="2">
        <v>45925</v>
      </c>
      <c r="C365" t="s">
        <v>22</v>
      </c>
      <c r="D365" t="s">
        <v>23</v>
      </c>
      <c r="E365" t="s">
        <v>33</v>
      </c>
      <c r="F365" t="s">
        <v>62</v>
      </c>
      <c r="G365" t="s">
        <v>20</v>
      </c>
      <c r="H365">
        <v>4</v>
      </c>
      <c r="I365" s="18">
        <v>4428.9399999999996</v>
      </c>
      <c r="J365" s="18">
        <f t="shared" si="25"/>
        <v>17715.759999999998</v>
      </c>
      <c r="K365" s="18">
        <v>13097.09</v>
      </c>
      <c r="L365" s="18">
        <f t="shared" si="26"/>
        <v>4618.6699999999983</v>
      </c>
      <c r="M365" s="3">
        <f t="shared" si="27"/>
        <v>0.26070967319494048</v>
      </c>
      <c r="N365" s="4">
        <f t="shared" si="28"/>
        <v>45901</v>
      </c>
      <c r="O365" t="str">
        <f t="shared" si="29"/>
        <v>Sep</v>
      </c>
    </row>
    <row r="366" spans="1:15" ht="15" customHeight="1" x14ac:dyDescent="0.25">
      <c r="A366" t="s">
        <v>403</v>
      </c>
      <c r="B366" s="2">
        <v>45971</v>
      </c>
      <c r="C366" t="s">
        <v>16</v>
      </c>
      <c r="D366" t="s">
        <v>17</v>
      </c>
      <c r="E366" t="s">
        <v>39</v>
      </c>
      <c r="F366" t="s">
        <v>37</v>
      </c>
      <c r="G366" t="s">
        <v>20</v>
      </c>
      <c r="H366">
        <v>8</v>
      </c>
      <c r="I366" s="18">
        <v>9836.74</v>
      </c>
      <c r="J366" s="18">
        <f t="shared" si="25"/>
        <v>78693.919999999998</v>
      </c>
      <c r="K366" s="18">
        <v>62062.73</v>
      </c>
      <c r="L366" s="18">
        <f t="shared" si="26"/>
        <v>16631.189999999995</v>
      </c>
      <c r="M366" s="3">
        <f t="shared" si="27"/>
        <v>0.21134021535590036</v>
      </c>
      <c r="N366" s="4">
        <f t="shared" si="28"/>
        <v>45962</v>
      </c>
      <c r="O366" t="str">
        <f t="shared" si="29"/>
        <v>Nov</v>
      </c>
    </row>
    <row r="367" spans="1:15" ht="15" customHeight="1" x14ac:dyDescent="0.25">
      <c r="A367" t="s">
        <v>404</v>
      </c>
      <c r="B367" s="2">
        <v>45781</v>
      </c>
      <c r="C367" t="s">
        <v>31</v>
      </c>
      <c r="D367" t="s">
        <v>23</v>
      </c>
      <c r="E367" t="s">
        <v>24</v>
      </c>
      <c r="F367" t="s">
        <v>46</v>
      </c>
      <c r="G367" t="s">
        <v>28</v>
      </c>
      <c r="H367">
        <v>4</v>
      </c>
      <c r="I367" s="18">
        <v>13693.91</v>
      </c>
      <c r="J367" s="18">
        <f t="shared" si="25"/>
        <v>54775.64</v>
      </c>
      <c r="K367" s="18">
        <v>36747.5</v>
      </c>
      <c r="L367" s="18">
        <f t="shared" si="26"/>
        <v>18028.14</v>
      </c>
      <c r="M367" s="3">
        <f t="shared" si="27"/>
        <v>0.32912696227739191</v>
      </c>
      <c r="N367" s="4">
        <f t="shared" si="28"/>
        <v>45778</v>
      </c>
      <c r="O367" t="str">
        <f t="shared" si="29"/>
        <v>May</v>
      </c>
    </row>
    <row r="368" spans="1:15" ht="15" customHeight="1" x14ac:dyDescent="0.25">
      <c r="A368" t="s">
        <v>405</v>
      </c>
      <c r="B368" s="2">
        <v>45885</v>
      </c>
      <c r="C368" t="s">
        <v>22</v>
      </c>
      <c r="D368" t="s">
        <v>23</v>
      </c>
      <c r="E368" t="s">
        <v>18</v>
      </c>
      <c r="F368" t="s">
        <v>62</v>
      </c>
      <c r="G368" t="s">
        <v>20</v>
      </c>
      <c r="H368">
        <v>8</v>
      </c>
      <c r="I368" s="18">
        <v>1603.84</v>
      </c>
      <c r="J368" s="18">
        <f t="shared" si="25"/>
        <v>12830.72</v>
      </c>
      <c r="K368" s="18">
        <v>7807.36</v>
      </c>
      <c r="L368" s="18">
        <f t="shared" si="26"/>
        <v>5023.3599999999997</v>
      </c>
      <c r="M368" s="3">
        <f t="shared" si="27"/>
        <v>0.39151037509976055</v>
      </c>
      <c r="N368" s="4">
        <f t="shared" si="28"/>
        <v>45870</v>
      </c>
      <c r="O368" t="str">
        <f t="shared" si="29"/>
        <v>Aug</v>
      </c>
    </row>
    <row r="369" spans="1:15" ht="15" customHeight="1" x14ac:dyDescent="0.25">
      <c r="A369" t="s">
        <v>406</v>
      </c>
      <c r="B369" s="2">
        <v>45864</v>
      </c>
      <c r="C369" t="s">
        <v>26</v>
      </c>
      <c r="D369" t="s">
        <v>23</v>
      </c>
      <c r="E369" t="s">
        <v>24</v>
      </c>
      <c r="F369" t="s">
        <v>43</v>
      </c>
      <c r="G369" t="s">
        <v>44</v>
      </c>
      <c r="H369">
        <v>2</v>
      </c>
      <c r="I369" s="18">
        <v>1158.9000000000001</v>
      </c>
      <c r="J369" s="18">
        <f t="shared" si="25"/>
        <v>2317.8000000000002</v>
      </c>
      <c r="K369" s="18">
        <v>1880.11</v>
      </c>
      <c r="L369" s="18">
        <f t="shared" si="26"/>
        <v>437.69000000000028</v>
      </c>
      <c r="M369" s="3">
        <f t="shared" si="27"/>
        <v>0.18883855380101833</v>
      </c>
      <c r="N369" s="4">
        <f t="shared" si="28"/>
        <v>45839</v>
      </c>
      <c r="O369" t="str">
        <f t="shared" si="29"/>
        <v>Jul</v>
      </c>
    </row>
    <row r="370" spans="1:15" ht="15" customHeight="1" x14ac:dyDescent="0.25">
      <c r="A370" t="s">
        <v>407</v>
      </c>
      <c r="B370" s="2">
        <v>45832</v>
      </c>
      <c r="C370" t="s">
        <v>22</v>
      </c>
      <c r="D370" t="s">
        <v>17</v>
      </c>
      <c r="E370" t="s">
        <v>24</v>
      </c>
      <c r="F370" t="s">
        <v>46</v>
      </c>
      <c r="G370" t="s">
        <v>28</v>
      </c>
      <c r="H370">
        <v>8</v>
      </c>
      <c r="I370" s="18">
        <v>9556.68</v>
      </c>
      <c r="J370" s="18">
        <f t="shared" si="25"/>
        <v>76453.440000000002</v>
      </c>
      <c r="K370" s="18">
        <v>58424.18</v>
      </c>
      <c r="L370" s="18">
        <f t="shared" si="26"/>
        <v>18029.260000000002</v>
      </c>
      <c r="M370" s="3">
        <f t="shared" si="27"/>
        <v>0.23582012791052961</v>
      </c>
      <c r="N370" s="4">
        <f t="shared" si="28"/>
        <v>45809</v>
      </c>
      <c r="O370" t="str">
        <f t="shared" si="29"/>
        <v>Jun</v>
      </c>
    </row>
    <row r="371" spans="1:15" ht="15" customHeight="1" x14ac:dyDescent="0.25">
      <c r="A371" t="s">
        <v>408</v>
      </c>
      <c r="B371" s="2">
        <v>45716</v>
      </c>
      <c r="C371" t="s">
        <v>26</v>
      </c>
      <c r="D371" t="s">
        <v>17</v>
      </c>
      <c r="E371" t="s">
        <v>18</v>
      </c>
      <c r="F371" t="s">
        <v>19</v>
      </c>
      <c r="G371" t="s">
        <v>20</v>
      </c>
      <c r="H371">
        <v>6</v>
      </c>
      <c r="I371" s="18">
        <v>2637.31</v>
      </c>
      <c r="J371" s="18">
        <f t="shared" si="25"/>
        <v>15823.86</v>
      </c>
      <c r="K371" s="18">
        <v>11584.31</v>
      </c>
      <c r="L371" s="18">
        <f t="shared" si="26"/>
        <v>4239.5500000000011</v>
      </c>
      <c r="M371" s="3">
        <f t="shared" si="27"/>
        <v>0.2679213542081389</v>
      </c>
      <c r="N371" s="4">
        <f t="shared" si="28"/>
        <v>45689</v>
      </c>
      <c r="O371" t="str">
        <f t="shared" si="29"/>
        <v>Feb</v>
      </c>
    </row>
    <row r="372" spans="1:15" ht="15" customHeight="1" x14ac:dyDescent="0.25">
      <c r="A372" t="s">
        <v>409</v>
      </c>
      <c r="B372" s="2">
        <v>45681</v>
      </c>
      <c r="C372" t="s">
        <v>31</v>
      </c>
      <c r="D372" t="s">
        <v>23</v>
      </c>
      <c r="E372" t="s">
        <v>24</v>
      </c>
      <c r="F372" t="s">
        <v>35</v>
      </c>
      <c r="G372" t="s">
        <v>20</v>
      </c>
      <c r="H372">
        <v>7</v>
      </c>
      <c r="I372" s="18">
        <v>1888.85</v>
      </c>
      <c r="J372" s="18">
        <f t="shared" si="25"/>
        <v>13221.949999999999</v>
      </c>
      <c r="K372" s="18">
        <v>9607.1299999999992</v>
      </c>
      <c r="L372" s="18">
        <f t="shared" si="26"/>
        <v>3614.8199999999997</v>
      </c>
      <c r="M372" s="3">
        <f t="shared" si="27"/>
        <v>0.27339537662750202</v>
      </c>
      <c r="N372" s="4">
        <f t="shared" si="28"/>
        <v>45658</v>
      </c>
      <c r="O372" t="str">
        <f t="shared" si="29"/>
        <v>Jan</v>
      </c>
    </row>
    <row r="373" spans="1:15" ht="15" customHeight="1" x14ac:dyDescent="0.25">
      <c r="A373" t="s">
        <v>410</v>
      </c>
      <c r="B373" s="2">
        <v>45768</v>
      </c>
      <c r="C373" t="s">
        <v>16</v>
      </c>
      <c r="D373" t="s">
        <v>17</v>
      </c>
      <c r="E373" t="s">
        <v>24</v>
      </c>
      <c r="F373" t="s">
        <v>40</v>
      </c>
      <c r="G373" t="s">
        <v>20</v>
      </c>
      <c r="H373">
        <v>6</v>
      </c>
      <c r="I373" s="18">
        <v>905.89</v>
      </c>
      <c r="J373" s="18">
        <f t="shared" si="25"/>
        <v>5435.34</v>
      </c>
      <c r="K373" s="18">
        <v>3693.17</v>
      </c>
      <c r="L373" s="18">
        <f t="shared" si="26"/>
        <v>1742.17</v>
      </c>
      <c r="M373" s="3">
        <f t="shared" si="27"/>
        <v>0.3205264068117174</v>
      </c>
      <c r="N373" s="4">
        <f t="shared" si="28"/>
        <v>45748</v>
      </c>
      <c r="O373" t="str">
        <f t="shared" si="29"/>
        <v>Apr</v>
      </c>
    </row>
    <row r="374" spans="1:15" ht="15" customHeight="1" x14ac:dyDescent="0.25">
      <c r="A374" t="s">
        <v>411</v>
      </c>
      <c r="B374" s="2">
        <v>45995</v>
      </c>
      <c r="C374" t="s">
        <v>22</v>
      </c>
      <c r="D374" t="s">
        <v>17</v>
      </c>
      <c r="E374" t="s">
        <v>33</v>
      </c>
      <c r="F374" t="s">
        <v>62</v>
      </c>
      <c r="G374" t="s">
        <v>20</v>
      </c>
      <c r="H374">
        <v>1</v>
      </c>
      <c r="I374" s="18">
        <v>2014.16</v>
      </c>
      <c r="J374" s="18">
        <f t="shared" si="25"/>
        <v>2014.16</v>
      </c>
      <c r="K374" s="18">
        <v>1191.69</v>
      </c>
      <c r="L374" s="18">
        <f t="shared" si="26"/>
        <v>822.47</v>
      </c>
      <c r="M374" s="3">
        <f t="shared" si="27"/>
        <v>0.40834392501092265</v>
      </c>
      <c r="N374" s="4">
        <f t="shared" si="28"/>
        <v>45992</v>
      </c>
      <c r="O374" t="str">
        <f t="shared" si="29"/>
        <v>Dec</v>
      </c>
    </row>
    <row r="375" spans="1:15" ht="15" customHeight="1" x14ac:dyDescent="0.25">
      <c r="A375" t="s">
        <v>412</v>
      </c>
      <c r="B375" s="2">
        <v>45748</v>
      </c>
      <c r="C375" t="s">
        <v>26</v>
      </c>
      <c r="D375" t="s">
        <v>17</v>
      </c>
      <c r="E375" t="s">
        <v>24</v>
      </c>
      <c r="F375" t="s">
        <v>62</v>
      </c>
      <c r="G375" t="s">
        <v>20</v>
      </c>
      <c r="H375">
        <v>7</v>
      </c>
      <c r="I375" s="18">
        <v>2012.47</v>
      </c>
      <c r="J375" s="18">
        <f t="shared" si="25"/>
        <v>14087.29</v>
      </c>
      <c r="K375" s="18">
        <v>10220.030000000001</v>
      </c>
      <c r="L375" s="18">
        <f t="shared" si="26"/>
        <v>3867.26</v>
      </c>
      <c r="M375" s="3">
        <f t="shared" si="27"/>
        <v>0.27452121735266327</v>
      </c>
      <c r="N375" s="4">
        <f t="shared" si="28"/>
        <v>45748</v>
      </c>
      <c r="O375" t="str">
        <f t="shared" si="29"/>
        <v>Apr</v>
      </c>
    </row>
    <row r="376" spans="1:15" ht="15" customHeight="1" x14ac:dyDescent="0.25">
      <c r="A376" t="s">
        <v>413</v>
      </c>
      <c r="B376" s="2">
        <v>45969</v>
      </c>
      <c r="C376" t="s">
        <v>22</v>
      </c>
      <c r="D376" t="s">
        <v>17</v>
      </c>
      <c r="E376" t="s">
        <v>33</v>
      </c>
      <c r="F376" t="s">
        <v>53</v>
      </c>
      <c r="G376" t="s">
        <v>44</v>
      </c>
      <c r="H376">
        <v>5</v>
      </c>
      <c r="I376" s="18">
        <v>4119.78</v>
      </c>
      <c r="J376" s="18">
        <f t="shared" si="25"/>
        <v>20598.899999999998</v>
      </c>
      <c r="K376" s="18">
        <v>12606.72</v>
      </c>
      <c r="L376" s="18">
        <f t="shared" si="26"/>
        <v>7992.1799999999985</v>
      </c>
      <c r="M376" s="3">
        <f t="shared" si="27"/>
        <v>0.38799062085839531</v>
      </c>
      <c r="N376" s="4">
        <f t="shared" si="28"/>
        <v>45962</v>
      </c>
      <c r="O376" t="str">
        <f t="shared" si="29"/>
        <v>Nov</v>
      </c>
    </row>
    <row r="377" spans="1:15" ht="15" customHeight="1" x14ac:dyDescent="0.25">
      <c r="A377" t="s">
        <v>414</v>
      </c>
      <c r="B377" s="2">
        <v>45818</v>
      </c>
      <c r="C377" t="s">
        <v>26</v>
      </c>
      <c r="D377" t="s">
        <v>23</v>
      </c>
      <c r="E377" t="s">
        <v>52</v>
      </c>
      <c r="F377" t="s">
        <v>50</v>
      </c>
      <c r="G377" t="s">
        <v>28</v>
      </c>
      <c r="H377">
        <v>4</v>
      </c>
      <c r="I377" s="18">
        <v>466.3</v>
      </c>
      <c r="J377" s="18">
        <f t="shared" si="25"/>
        <v>1865.2</v>
      </c>
      <c r="K377" s="18">
        <v>1211.8900000000001</v>
      </c>
      <c r="L377" s="18">
        <f t="shared" si="26"/>
        <v>653.30999999999995</v>
      </c>
      <c r="M377" s="3">
        <f t="shared" si="27"/>
        <v>0.35026270641218094</v>
      </c>
      <c r="N377" s="4">
        <f t="shared" si="28"/>
        <v>45809</v>
      </c>
      <c r="O377" t="str">
        <f t="shared" si="29"/>
        <v>Jun</v>
      </c>
    </row>
    <row r="378" spans="1:15" ht="15" customHeight="1" x14ac:dyDescent="0.25">
      <c r="A378" t="s">
        <v>415</v>
      </c>
      <c r="B378" s="2">
        <v>45915</v>
      </c>
      <c r="C378" t="s">
        <v>22</v>
      </c>
      <c r="D378" t="s">
        <v>17</v>
      </c>
      <c r="E378" t="s">
        <v>24</v>
      </c>
      <c r="F378" t="s">
        <v>50</v>
      </c>
      <c r="G378" t="s">
        <v>28</v>
      </c>
      <c r="H378">
        <v>2</v>
      </c>
      <c r="I378" s="18">
        <v>1027.96</v>
      </c>
      <c r="J378" s="18">
        <f t="shared" si="25"/>
        <v>2055.92</v>
      </c>
      <c r="K378" s="18">
        <v>1469.87</v>
      </c>
      <c r="L378" s="18">
        <f t="shared" si="26"/>
        <v>586.05000000000018</v>
      </c>
      <c r="M378" s="3">
        <f t="shared" si="27"/>
        <v>0.28505486594809143</v>
      </c>
      <c r="N378" s="4">
        <f t="shared" si="28"/>
        <v>45901</v>
      </c>
      <c r="O378" t="str">
        <f t="shared" si="29"/>
        <v>Sep</v>
      </c>
    </row>
    <row r="379" spans="1:15" ht="15" customHeight="1" x14ac:dyDescent="0.25">
      <c r="A379" t="s">
        <v>416</v>
      </c>
      <c r="B379" s="2">
        <v>45664</v>
      </c>
      <c r="C379" t="s">
        <v>26</v>
      </c>
      <c r="D379" t="s">
        <v>23</v>
      </c>
      <c r="E379" t="s">
        <v>39</v>
      </c>
      <c r="F379" t="s">
        <v>50</v>
      </c>
      <c r="G379" t="s">
        <v>28</v>
      </c>
      <c r="H379">
        <v>3</v>
      </c>
      <c r="I379" s="18">
        <v>582.79</v>
      </c>
      <c r="J379" s="18">
        <f t="shared" si="25"/>
        <v>1748.37</v>
      </c>
      <c r="K379" s="18">
        <v>1037.81</v>
      </c>
      <c r="L379" s="18">
        <f t="shared" si="26"/>
        <v>710.56</v>
      </c>
      <c r="M379" s="3">
        <f t="shared" si="27"/>
        <v>0.40641283023616281</v>
      </c>
      <c r="N379" s="4">
        <f t="shared" si="28"/>
        <v>45658</v>
      </c>
      <c r="O379" t="str">
        <f t="shared" si="29"/>
        <v>Jan</v>
      </c>
    </row>
    <row r="380" spans="1:15" ht="15" customHeight="1" x14ac:dyDescent="0.25">
      <c r="A380" t="s">
        <v>417</v>
      </c>
      <c r="B380" s="2">
        <v>46007</v>
      </c>
      <c r="C380" t="s">
        <v>26</v>
      </c>
      <c r="D380" t="s">
        <v>17</v>
      </c>
      <c r="E380" t="s">
        <v>18</v>
      </c>
      <c r="F380" t="s">
        <v>27</v>
      </c>
      <c r="G380" t="s">
        <v>28</v>
      </c>
      <c r="H380">
        <v>5</v>
      </c>
      <c r="I380" s="18">
        <v>10724.18</v>
      </c>
      <c r="J380" s="18">
        <f t="shared" si="25"/>
        <v>53620.9</v>
      </c>
      <c r="K380" s="18">
        <v>38064.47</v>
      </c>
      <c r="L380" s="18">
        <f t="shared" si="26"/>
        <v>15556.43</v>
      </c>
      <c r="M380" s="3">
        <f t="shared" si="27"/>
        <v>0.29011877831218796</v>
      </c>
      <c r="N380" s="4">
        <f t="shared" si="28"/>
        <v>45992</v>
      </c>
      <c r="O380" t="str">
        <f t="shared" si="29"/>
        <v>Dec</v>
      </c>
    </row>
    <row r="381" spans="1:15" ht="15" customHeight="1" x14ac:dyDescent="0.25">
      <c r="A381" t="s">
        <v>418</v>
      </c>
      <c r="B381" s="2">
        <v>45973</v>
      </c>
      <c r="C381" t="s">
        <v>22</v>
      </c>
      <c r="D381" t="s">
        <v>17</v>
      </c>
      <c r="E381" t="s">
        <v>24</v>
      </c>
      <c r="F381" t="s">
        <v>50</v>
      </c>
      <c r="G381" t="s">
        <v>28</v>
      </c>
      <c r="H381">
        <v>5</v>
      </c>
      <c r="I381" s="18">
        <v>512.02</v>
      </c>
      <c r="J381" s="18">
        <f t="shared" si="25"/>
        <v>2560.1</v>
      </c>
      <c r="K381" s="18">
        <v>1513.72</v>
      </c>
      <c r="L381" s="18">
        <f t="shared" si="26"/>
        <v>1046.3799999999999</v>
      </c>
      <c r="M381" s="3">
        <f t="shared" si="27"/>
        <v>0.40872622163196748</v>
      </c>
      <c r="N381" s="4">
        <f t="shared" si="28"/>
        <v>45962</v>
      </c>
      <c r="O381" t="str">
        <f t="shared" si="29"/>
        <v>Nov</v>
      </c>
    </row>
    <row r="382" spans="1:15" ht="15" customHeight="1" x14ac:dyDescent="0.25">
      <c r="A382" t="s">
        <v>419</v>
      </c>
      <c r="B382" s="2">
        <v>46008</v>
      </c>
      <c r="C382" t="s">
        <v>22</v>
      </c>
      <c r="D382" t="s">
        <v>23</v>
      </c>
      <c r="E382" t="s">
        <v>39</v>
      </c>
      <c r="F382" t="s">
        <v>46</v>
      </c>
      <c r="G382" t="s">
        <v>28</v>
      </c>
      <c r="H382">
        <v>5</v>
      </c>
      <c r="I382" s="18">
        <v>16974.38</v>
      </c>
      <c r="J382" s="18">
        <f t="shared" si="25"/>
        <v>84871.900000000009</v>
      </c>
      <c r="K382" s="18">
        <v>66923.53</v>
      </c>
      <c r="L382" s="18">
        <f t="shared" si="26"/>
        <v>17948.37000000001</v>
      </c>
      <c r="M382" s="3">
        <f t="shared" si="27"/>
        <v>0.21147600089075427</v>
      </c>
      <c r="N382" s="4">
        <f t="shared" si="28"/>
        <v>45992</v>
      </c>
      <c r="O382" t="str">
        <f t="shared" si="29"/>
        <v>Dec</v>
      </c>
    </row>
    <row r="383" spans="1:15" ht="15" customHeight="1" x14ac:dyDescent="0.25">
      <c r="A383" t="s">
        <v>420</v>
      </c>
      <c r="B383" s="2">
        <v>45959</v>
      </c>
      <c r="C383" t="s">
        <v>16</v>
      </c>
      <c r="D383" t="s">
        <v>23</v>
      </c>
      <c r="E383" t="s">
        <v>52</v>
      </c>
      <c r="F383" t="s">
        <v>50</v>
      </c>
      <c r="G383" t="s">
        <v>28</v>
      </c>
      <c r="H383">
        <v>4</v>
      </c>
      <c r="I383" s="18">
        <v>1001.02</v>
      </c>
      <c r="J383" s="18">
        <f t="shared" si="25"/>
        <v>4004.08</v>
      </c>
      <c r="K383" s="18">
        <v>2492.87</v>
      </c>
      <c r="L383" s="18">
        <f t="shared" si="26"/>
        <v>1511.21</v>
      </c>
      <c r="M383" s="3">
        <f t="shared" si="27"/>
        <v>0.37741753411520251</v>
      </c>
      <c r="N383" s="4">
        <f t="shared" si="28"/>
        <v>45931</v>
      </c>
      <c r="O383" t="str">
        <f t="shared" si="29"/>
        <v>Oct</v>
      </c>
    </row>
    <row r="384" spans="1:15" ht="15" customHeight="1" x14ac:dyDescent="0.25">
      <c r="A384" t="s">
        <v>421</v>
      </c>
      <c r="B384" s="2">
        <v>45921</v>
      </c>
      <c r="C384" t="s">
        <v>26</v>
      </c>
      <c r="D384" t="s">
        <v>23</v>
      </c>
      <c r="E384" t="s">
        <v>39</v>
      </c>
      <c r="F384" t="s">
        <v>19</v>
      </c>
      <c r="G384" t="s">
        <v>20</v>
      </c>
      <c r="H384">
        <v>5</v>
      </c>
      <c r="I384" s="18">
        <v>1245.95</v>
      </c>
      <c r="J384" s="18">
        <f t="shared" si="25"/>
        <v>6229.75</v>
      </c>
      <c r="K384" s="18">
        <v>3807.72</v>
      </c>
      <c r="L384" s="18">
        <f t="shared" si="26"/>
        <v>2422.0300000000002</v>
      </c>
      <c r="M384" s="3">
        <f t="shared" si="27"/>
        <v>0.38878446165576469</v>
      </c>
      <c r="N384" s="4">
        <f t="shared" si="28"/>
        <v>45901</v>
      </c>
      <c r="O384" t="str">
        <f t="shared" si="29"/>
        <v>Sep</v>
      </c>
    </row>
    <row r="385" spans="1:15" ht="15" customHeight="1" x14ac:dyDescent="0.25">
      <c r="A385" t="s">
        <v>422</v>
      </c>
      <c r="B385" s="2">
        <v>45896</v>
      </c>
      <c r="C385" t="s">
        <v>26</v>
      </c>
      <c r="D385" t="s">
        <v>17</v>
      </c>
      <c r="E385" t="s">
        <v>33</v>
      </c>
      <c r="F385" t="s">
        <v>35</v>
      </c>
      <c r="G385" t="s">
        <v>20</v>
      </c>
      <c r="H385">
        <v>6</v>
      </c>
      <c r="I385" s="18">
        <v>2200.83</v>
      </c>
      <c r="J385" s="18">
        <f t="shared" si="25"/>
        <v>13204.98</v>
      </c>
      <c r="K385" s="18">
        <v>10110.77</v>
      </c>
      <c r="L385" s="18">
        <f t="shared" si="26"/>
        <v>3094.2099999999991</v>
      </c>
      <c r="M385" s="3">
        <f t="shared" si="27"/>
        <v>0.23432144539408611</v>
      </c>
      <c r="N385" s="4">
        <f t="shared" si="28"/>
        <v>45870</v>
      </c>
      <c r="O385" t="str">
        <f t="shared" si="29"/>
        <v>Aug</v>
      </c>
    </row>
    <row r="386" spans="1:15" ht="15" customHeight="1" x14ac:dyDescent="0.25">
      <c r="A386" t="s">
        <v>423</v>
      </c>
      <c r="B386" s="2">
        <v>45939</v>
      </c>
      <c r="C386" t="s">
        <v>31</v>
      </c>
      <c r="D386" t="s">
        <v>17</v>
      </c>
      <c r="E386" t="s">
        <v>33</v>
      </c>
      <c r="F386" t="s">
        <v>46</v>
      </c>
      <c r="G386" t="s">
        <v>28</v>
      </c>
      <c r="H386">
        <v>4</v>
      </c>
      <c r="I386" s="18">
        <v>11125.71</v>
      </c>
      <c r="J386" s="18">
        <f t="shared" ref="J386:J449" si="30">H386*I386</f>
        <v>44502.84</v>
      </c>
      <c r="K386" s="18">
        <v>31372.080000000002</v>
      </c>
      <c r="L386" s="18">
        <f t="shared" ref="L386:L449" si="31">J386-K386</f>
        <v>13130.759999999995</v>
      </c>
      <c r="M386" s="3">
        <f t="shared" ref="M386:M449" si="32">IFERROR(L386/J386,0)</f>
        <v>0.29505442798706771</v>
      </c>
      <c r="N386" s="4">
        <f t="shared" ref="N386:N449" si="33">DATE(YEAR(B386),MONTH(B386),1)</f>
        <v>45931</v>
      </c>
      <c r="O386" t="str">
        <f t="shared" ref="O386:O449" si="34">TEXT(N386,"mmm")</f>
        <v>Oct</v>
      </c>
    </row>
    <row r="387" spans="1:15" ht="15" customHeight="1" x14ac:dyDescent="0.25">
      <c r="A387" t="s">
        <v>424</v>
      </c>
      <c r="B387" s="2">
        <v>45932</v>
      </c>
      <c r="C387" t="s">
        <v>26</v>
      </c>
      <c r="D387" t="s">
        <v>23</v>
      </c>
      <c r="E387" t="s">
        <v>33</v>
      </c>
      <c r="F387" t="s">
        <v>43</v>
      </c>
      <c r="G387" t="s">
        <v>44</v>
      </c>
      <c r="H387">
        <v>4</v>
      </c>
      <c r="I387" s="18">
        <v>491.55</v>
      </c>
      <c r="J387" s="18">
        <f t="shared" si="30"/>
        <v>1966.2</v>
      </c>
      <c r="K387" s="18">
        <v>1296.6199999999999</v>
      </c>
      <c r="L387" s="18">
        <f t="shared" si="31"/>
        <v>669.58000000000015</v>
      </c>
      <c r="M387" s="3">
        <f t="shared" si="32"/>
        <v>0.3405452141186045</v>
      </c>
      <c r="N387" s="4">
        <f t="shared" si="33"/>
        <v>45931</v>
      </c>
      <c r="O387" t="str">
        <f t="shared" si="34"/>
        <v>Oct</v>
      </c>
    </row>
    <row r="388" spans="1:15" ht="15" customHeight="1" x14ac:dyDescent="0.25">
      <c r="A388" t="s">
        <v>425</v>
      </c>
      <c r="B388" s="2">
        <v>45929</v>
      </c>
      <c r="C388" t="s">
        <v>31</v>
      </c>
      <c r="D388" t="s">
        <v>23</v>
      </c>
      <c r="E388" t="s">
        <v>39</v>
      </c>
      <c r="F388" t="s">
        <v>40</v>
      </c>
      <c r="G388" t="s">
        <v>20</v>
      </c>
      <c r="H388">
        <v>6</v>
      </c>
      <c r="I388" s="18">
        <v>363.01</v>
      </c>
      <c r="J388" s="18">
        <f t="shared" si="30"/>
        <v>2178.06</v>
      </c>
      <c r="K388" s="18">
        <v>1736.09</v>
      </c>
      <c r="L388" s="18">
        <f t="shared" si="31"/>
        <v>441.97</v>
      </c>
      <c r="M388" s="3">
        <f t="shared" si="32"/>
        <v>0.2029191115028971</v>
      </c>
      <c r="N388" s="4">
        <f t="shared" si="33"/>
        <v>45901</v>
      </c>
      <c r="O388" t="str">
        <f t="shared" si="34"/>
        <v>Sep</v>
      </c>
    </row>
    <row r="389" spans="1:15" ht="15" customHeight="1" x14ac:dyDescent="0.25">
      <c r="A389" t="s">
        <v>426</v>
      </c>
      <c r="B389" s="2">
        <v>45853</v>
      </c>
      <c r="C389" t="s">
        <v>26</v>
      </c>
      <c r="D389" t="s">
        <v>17</v>
      </c>
      <c r="E389" t="s">
        <v>24</v>
      </c>
      <c r="F389" t="s">
        <v>19</v>
      </c>
      <c r="G389" t="s">
        <v>20</v>
      </c>
      <c r="H389">
        <v>5</v>
      </c>
      <c r="I389" s="18">
        <v>2715.73</v>
      </c>
      <c r="J389" s="18">
        <f t="shared" si="30"/>
        <v>13578.65</v>
      </c>
      <c r="K389" s="18">
        <v>9560.0300000000007</v>
      </c>
      <c r="L389" s="18">
        <f t="shared" si="31"/>
        <v>4018.619999999999</v>
      </c>
      <c r="M389" s="3">
        <f t="shared" si="32"/>
        <v>0.29595136482640022</v>
      </c>
      <c r="N389" s="4">
        <f t="shared" si="33"/>
        <v>45839</v>
      </c>
      <c r="O389" t="str">
        <f t="shared" si="34"/>
        <v>Jul</v>
      </c>
    </row>
    <row r="390" spans="1:15" ht="15" customHeight="1" x14ac:dyDescent="0.25">
      <c r="A390" t="s">
        <v>427</v>
      </c>
      <c r="B390" s="2">
        <v>45680</v>
      </c>
      <c r="C390" t="s">
        <v>16</v>
      </c>
      <c r="D390" t="s">
        <v>23</v>
      </c>
      <c r="E390" t="s">
        <v>52</v>
      </c>
      <c r="F390" t="s">
        <v>27</v>
      </c>
      <c r="G390" t="s">
        <v>28</v>
      </c>
      <c r="H390">
        <v>2</v>
      </c>
      <c r="I390" s="18">
        <v>21437.62</v>
      </c>
      <c r="J390" s="18">
        <f t="shared" si="30"/>
        <v>42875.24</v>
      </c>
      <c r="K390" s="18">
        <v>26590.14</v>
      </c>
      <c r="L390" s="18">
        <f t="shared" si="31"/>
        <v>16285.099999999999</v>
      </c>
      <c r="M390" s="3">
        <f t="shared" si="32"/>
        <v>0.37982527911214026</v>
      </c>
      <c r="N390" s="4">
        <f t="shared" si="33"/>
        <v>45658</v>
      </c>
      <c r="O390" t="str">
        <f t="shared" si="34"/>
        <v>Jan</v>
      </c>
    </row>
    <row r="391" spans="1:15" ht="15" customHeight="1" x14ac:dyDescent="0.25">
      <c r="A391" t="s">
        <v>428</v>
      </c>
      <c r="B391" s="2">
        <v>46001</v>
      </c>
      <c r="C391" t="s">
        <v>22</v>
      </c>
      <c r="D391" t="s">
        <v>23</v>
      </c>
      <c r="E391" t="s">
        <v>52</v>
      </c>
      <c r="F391" t="s">
        <v>53</v>
      </c>
      <c r="G391" t="s">
        <v>44</v>
      </c>
      <c r="H391">
        <v>2</v>
      </c>
      <c r="I391" s="18">
        <v>4117.38</v>
      </c>
      <c r="J391" s="18">
        <f t="shared" si="30"/>
        <v>8234.76</v>
      </c>
      <c r="K391" s="18">
        <v>6414.05</v>
      </c>
      <c r="L391" s="18">
        <f t="shared" si="31"/>
        <v>1820.71</v>
      </c>
      <c r="M391" s="3">
        <f t="shared" si="32"/>
        <v>0.22110055423594616</v>
      </c>
      <c r="N391" s="4">
        <f t="shared" si="33"/>
        <v>45992</v>
      </c>
      <c r="O391" t="str">
        <f t="shared" si="34"/>
        <v>Dec</v>
      </c>
    </row>
    <row r="392" spans="1:15" ht="15" customHeight="1" x14ac:dyDescent="0.25">
      <c r="A392" t="s">
        <v>429</v>
      </c>
      <c r="B392" s="2">
        <v>45670</v>
      </c>
      <c r="C392" t="s">
        <v>26</v>
      </c>
      <c r="D392" t="s">
        <v>23</v>
      </c>
      <c r="E392" t="s">
        <v>33</v>
      </c>
      <c r="F392" t="s">
        <v>40</v>
      </c>
      <c r="G392" t="s">
        <v>20</v>
      </c>
      <c r="H392">
        <v>2</v>
      </c>
      <c r="I392" s="18">
        <v>263.42</v>
      </c>
      <c r="J392" s="18">
        <f t="shared" si="30"/>
        <v>526.84</v>
      </c>
      <c r="K392" s="18">
        <v>328.07</v>
      </c>
      <c r="L392" s="18">
        <f t="shared" si="31"/>
        <v>198.77000000000004</v>
      </c>
      <c r="M392" s="3">
        <f t="shared" si="32"/>
        <v>0.37728722192696079</v>
      </c>
      <c r="N392" s="4">
        <f t="shared" si="33"/>
        <v>45658</v>
      </c>
      <c r="O392" t="str">
        <f t="shared" si="34"/>
        <v>Jan</v>
      </c>
    </row>
    <row r="393" spans="1:15" ht="15" customHeight="1" x14ac:dyDescent="0.25">
      <c r="A393" t="s">
        <v>430</v>
      </c>
      <c r="B393" s="2">
        <v>45774</v>
      </c>
      <c r="C393" t="s">
        <v>16</v>
      </c>
      <c r="D393" t="s">
        <v>23</v>
      </c>
      <c r="E393" t="s">
        <v>33</v>
      </c>
      <c r="F393" t="s">
        <v>27</v>
      </c>
      <c r="G393" t="s">
        <v>28</v>
      </c>
      <c r="H393">
        <v>7</v>
      </c>
      <c r="I393" s="18">
        <v>15467.99</v>
      </c>
      <c r="J393" s="18">
        <f t="shared" si="30"/>
        <v>108275.93</v>
      </c>
      <c r="K393" s="18">
        <v>63238.97</v>
      </c>
      <c r="L393" s="18">
        <f t="shared" si="31"/>
        <v>45036.959999999992</v>
      </c>
      <c r="M393" s="3">
        <f t="shared" si="32"/>
        <v>0.41594618490000496</v>
      </c>
      <c r="N393" s="4">
        <f t="shared" si="33"/>
        <v>45748</v>
      </c>
      <c r="O393" t="str">
        <f t="shared" si="34"/>
        <v>Apr</v>
      </c>
    </row>
    <row r="394" spans="1:15" ht="15" customHeight="1" x14ac:dyDescent="0.25">
      <c r="A394" t="s">
        <v>431</v>
      </c>
      <c r="B394" s="2">
        <v>45690</v>
      </c>
      <c r="C394" t="s">
        <v>16</v>
      </c>
      <c r="D394" t="s">
        <v>17</v>
      </c>
      <c r="E394" t="s">
        <v>24</v>
      </c>
      <c r="F394" t="s">
        <v>62</v>
      </c>
      <c r="G394" t="s">
        <v>20</v>
      </c>
      <c r="H394">
        <v>2</v>
      </c>
      <c r="I394" s="18">
        <v>1431.2</v>
      </c>
      <c r="J394" s="18">
        <f t="shared" si="30"/>
        <v>2862.4</v>
      </c>
      <c r="K394" s="18">
        <v>2131.37</v>
      </c>
      <c r="L394" s="18">
        <f t="shared" si="31"/>
        <v>731.0300000000002</v>
      </c>
      <c r="M394" s="3">
        <f t="shared" si="32"/>
        <v>0.2553905813303522</v>
      </c>
      <c r="N394" s="4">
        <f t="shared" si="33"/>
        <v>45689</v>
      </c>
      <c r="O394" t="str">
        <f t="shared" si="34"/>
        <v>Feb</v>
      </c>
    </row>
    <row r="395" spans="1:15" ht="15" customHeight="1" x14ac:dyDescent="0.25">
      <c r="A395" t="s">
        <v>432</v>
      </c>
      <c r="B395" s="2">
        <v>45853</v>
      </c>
      <c r="C395" t="s">
        <v>22</v>
      </c>
      <c r="D395" t="s">
        <v>17</v>
      </c>
      <c r="E395" t="s">
        <v>52</v>
      </c>
      <c r="F395" t="s">
        <v>43</v>
      </c>
      <c r="G395" t="s">
        <v>44</v>
      </c>
      <c r="H395">
        <v>3</v>
      </c>
      <c r="I395" s="18">
        <v>739.92</v>
      </c>
      <c r="J395" s="18">
        <f t="shared" si="30"/>
        <v>2219.7599999999998</v>
      </c>
      <c r="K395" s="18">
        <v>1360.12</v>
      </c>
      <c r="L395" s="18">
        <f t="shared" si="31"/>
        <v>859.63999999999987</v>
      </c>
      <c r="M395" s="3">
        <f t="shared" si="32"/>
        <v>0.38726709193786713</v>
      </c>
      <c r="N395" s="4">
        <f t="shared" si="33"/>
        <v>45839</v>
      </c>
      <c r="O395" t="str">
        <f t="shared" si="34"/>
        <v>Jul</v>
      </c>
    </row>
    <row r="396" spans="1:15" ht="15" customHeight="1" x14ac:dyDescent="0.25">
      <c r="A396" t="s">
        <v>433</v>
      </c>
      <c r="B396" s="2">
        <v>45810</v>
      </c>
      <c r="C396" t="s">
        <v>16</v>
      </c>
      <c r="D396" t="s">
        <v>17</v>
      </c>
      <c r="E396" t="s">
        <v>52</v>
      </c>
      <c r="F396" t="s">
        <v>46</v>
      </c>
      <c r="G396" t="s">
        <v>28</v>
      </c>
      <c r="H396">
        <v>1</v>
      </c>
      <c r="I396" s="18">
        <v>8273.0400000000009</v>
      </c>
      <c r="J396" s="18">
        <f t="shared" si="30"/>
        <v>8273.0400000000009</v>
      </c>
      <c r="K396" s="18">
        <v>5983.04</v>
      </c>
      <c r="L396" s="18">
        <f t="shared" si="31"/>
        <v>2290.0000000000009</v>
      </c>
      <c r="M396" s="3">
        <f t="shared" si="32"/>
        <v>0.27680272306189752</v>
      </c>
      <c r="N396" s="4">
        <f t="shared" si="33"/>
        <v>45809</v>
      </c>
      <c r="O396" t="str">
        <f t="shared" si="34"/>
        <v>Jun</v>
      </c>
    </row>
    <row r="397" spans="1:15" ht="15" customHeight="1" x14ac:dyDescent="0.25">
      <c r="A397" t="s">
        <v>434</v>
      </c>
      <c r="B397" s="2">
        <v>45834</v>
      </c>
      <c r="C397" t="s">
        <v>31</v>
      </c>
      <c r="D397" t="s">
        <v>23</v>
      </c>
      <c r="E397" t="s">
        <v>52</v>
      </c>
      <c r="F397" t="s">
        <v>53</v>
      </c>
      <c r="G397" t="s">
        <v>44</v>
      </c>
      <c r="H397">
        <v>3</v>
      </c>
      <c r="I397" s="18">
        <v>1950.63</v>
      </c>
      <c r="J397" s="18">
        <f t="shared" si="30"/>
        <v>5851.89</v>
      </c>
      <c r="K397" s="18">
        <v>4566.46</v>
      </c>
      <c r="L397" s="18">
        <f t="shared" si="31"/>
        <v>1285.4300000000003</v>
      </c>
      <c r="M397" s="3">
        <f t="shared" si="32"/>
        <v>0.21966065664255482</v>
      </c>
      <c r="N397" s="4">
        <f t="shared" si="33"/>
        <v>45809</v>
      </c>
      <c r="O397" t="str">
        <f t="shared" si="34"/>
        <v>Jun</v>
      </c>
    </row>
    <row r="398" spans="1:15" ht="15" customHeight="1" x14ac:dyDescent="0.25">
      <c r="A398" t="s">
        <v>435</v>
      </c>
      <c r="B398" s="2">
        <v>46001</v>
      </c>
      <c r="C398" t="s">
        <v>16</v>
      </c>
      <c r="D398" t="s">
        <v>23</v>
      </c>
      <c r="E398" t="s">
        <v>33</v>
      </c>
      <c r="F398" t="s">
        <v>62</v>
      </c>
      <c r="G398" t="s">
        <v>20</v>
      </c>
      <c r="H398">
        <v>2</v>
      </c>
      <c r="I398" s="18">
        <v>4482.13</v>
      </c>
      <c r="J398" s="18">
        <f t="shared" si="30"/>
        <v>8964.26</v>
      </c>
      <c r="K398" s="18">
        <v>5344.2</v>
      </c>
      <c r="L398" s="18">
        <f t="shared" si="31"/>
        <v>3620.0600000000004</v>
      </c>
      <c r="M398" s="3">
        <f t="shared" si="32"/>
        <v>0.40383255282644637</v>
      </c>
      <c r="N398" s="4">
        <f t="shared" si="33"/>
        <v>45992</v>
      </c>
      <c r="O398" t="str">
        <f t="shared" si="34"/>
        <v>Dec</v>
      </c>
    </row>
    <row r="399" spans="1:15" ht="15" customHeight="1" x14ac:dyDescent="0.25">
      <c r="A399" t="s">
        <v>436</v>
      </c>
      <c r="B399" s="2">
        <v>45907</v>
      </c>
      <c r="C399" t="s">
        <v>31</v>
      </c>
      <c r="D399" t="s">
        <v>17</v>
      </c>
      <c r="E399" t="s">
        <v>24</v>
      </c>
      <c r="F399" t="s">
        <v>46</v>
      </c>
      <c r="G399" t="s">
        <v>28</v>
      </c>
      <c r="H399">
        <v>4</v>
      </c>
      <c r="I399" s="18">
        <v>13663.05</v>
      </c>
      <c r="J399" s="18">
        <f t="shared" si="30"/>
        <v>54652.2</v>
      </c>
      <c r="K399" s="18">
        <v>39824.17</v>
      </c>
      <c r="L399" s="18">
        <f t="shared" si="31"/>
        <v>14828.029999999999</v>
      </c>
      <c r="M399" s="3">
        <f t="shared" si="32"/>
        <v>0.27131625076392168</v>
      </c>
      <c r="N399" s="4">
        <f t="shared" si="33"/>
        <v>45901</v>
      </c>
      <c r="O399" t="str">
        <f t="shared" si="34"/>
        <v>Sep</v>
      </c>
    </row>
    <row r="400" spans="1:15" ht="15" customHeight="1" x14ac:dyDescent="0.25">
      <c r="A400" t="s">
        <v>437</v>
      </c>
      <c r="B400" s="2">
        <v>45888</v>
      </c>
      <c r="C400" t="s">
        <v>26</v>
      </c>
      <c r="D400" t="s">
        <v>17</v>
      </c>
      <c r="E400" t="s">
        <v>52</v>
      </c>
      <c r="F400" t="s">
        <v>46</v>
      </c>
      <c r="G400" t="s">
        <v>28</v>
      </c>
      <c r="H400">
        <v>3</v>
      </c>
      <c r="I400" s="18">
        <v>19348.38</v>
      </c>
      <c r="J400" s="18">
        <f t="shared" si="30"/>
        <v>58045.14</v>
      </c>
      <c r="K400" s="18">
        <v>38743.879999999997</v>
      </c>
      <c r="L400" s="18">
        <f t="shared" si="31"/>
        <v>19301.260000000002</v>
      </c>
      <c r="M400" s="3">
        <f t="shared" si="32"/>
        <v>0.33252155133056793</v>
      </c>
      <c r="N400" s="4">
        <f t="shared" si="33"/>
        <v>45870</v>
      </c>
      <c r="O400" t="str">
        <f t="shared" si="34"/>
        <v>Aug</v>
      </c>
    </row>
    <row r="401" spans="1:15" ht="15" customHeight="1" x14ac:dyDescent="0.25">
      <c r="A401" t="s">
        <v>438</v>
      </c>
      <c r="B401" s="2">
        <v>45660</v>
      </c>
      <c r="C401" t="s">
        <v>26</v>
      </c>
      <c r="D401" t="s">
        <v>17</v>
      </c>
      <c r="E401" t="s">
        <v>24</v>
      </c>
      <c r="F401" t="s">
        <v>46</v>
      </c>
      <c r="G401" t="s">
        <v>28</v>
      </c>
      <c r="H401">
        <v>7</v>
      </c>
      <c r="I401" s="18">
        <v>12450.89</v>
      </c>
      <c r="J401" s="18">
        <f t="shared" si="30"/>
        <v>87156.23</v>
      </c>
      <c r="K401" s="18">
        <v>58070.16</v>
      </c>
      <c r="L401" s="18">
        <f t="shared" si="31"/>
        <v>29086.069999999992</v>
      </c>
      <c r="M401" s="3">
        <f t="shared" si="32"/>
        <v>0.33372336091177868</v>
      </c>
      <c r="N401" s="4">
        <f t="shared" si="33"/>
        <v>45658</v>
      </c>
      <c r="O401" t="str">
        <f t="shared" si="34"/>
        <v>Jan</v>
      </c>
    </row>
    <row r="402" spans="1:15" ht="15" customHeight="1" x14ac:dyDescent="0.25">
      <c r="A402" t="s">
        <v>439</v>
      </c>
      <c r="B402" s="2">
        <v>45886</v>
      </c>
      <c r="C402" t="s">
        <v>26</v>
      </c>
      <c r="D402" t="s">
        <v>23</v>
      </c>
      <c r="E402" t="s">
        <v>33</v>
      </c>
      <c r="F402" t="s">
        <v>46</v>
      </c>
      <c r="G402" t="s">
        <v>28</v>
      </c>
      <c r="H402">
        <v>2</v>
      </c>
      <c r="I402" s="18">
        <v>20286.3</v>
      </c>
      <c r="J402" s="18">
        <f t="shared" si="30"/>
        <v>40572.6</v>
      </c>
      <c r="K402" s="18">
        <v>29439.1</v>
      </c>
      <c r="L402" s="18">
        <f t="shared" si="31"/>
        <v>11133.5</v>
      </c>
      <c r="M402" s="3">
        <f t="shared" si="32"/>
        <v>0.27440933043482546</v>
      </c>
      <c r="N402" s="4">
        <f t="shared" si="33"/>
        <v>45870</v>
      </c>
      <c r="O402" t="str">
        <f t="shared" si="34"/>
        <v>Aug</v>
      </c>
    </row>
    <row r="403" spans="1:15" ht="15" customHeight="1" x14ac:dyDescent="0.25">
      <c r="A403" t="s">
        <v>440</v>
      </c>
      <c r="B403" s="2">
        <v>45758</v>
      </c>
      <c r="C403" t="s">
        <v>16</v>
      </c>
      <c r="D403" t="s">
        <v>17</v>
      </c>
      <c r="E403" t="s">
        <v>33</v>
      </c>
      <c r="F403" t="s">
        <v>27</v>
      </c>
      <c r="G403" t="s">
        <v>28</v>
      </c>
      <c r="H403">
        <v>2</v>
      </c>
      <c r="I403" s="18">
        <v>22666.25</v>
      </c>
      <c r="J403" s="18">
        <f t="shared" si="30"/>
        <v>45332.5</v>
      </c>
      <c r="K403" s="18">
        <v>35536.19</v>
      </c>
      <c r="L403" s="18">
        <f t="shared" si="31"/>
        <v>9796.3099999999977</v>
      </c>
      <c r="M403" s="3">
        <f t="shared" si="32"/>
        <v>0.21609904593834439</v>
      </c>
      <c r="N403" s="4">
        <f t="shared" si="33"/>
        <v>45748</v>
      </c>
      <c r="O403" t="str">
        <f t="shared" si="34"/>
        <v>Apr</v>
      </c>
    </row>
    <row r="404" spans="1:15" ht="15" customHeight="1" x14ac:dyDescent="0.25">
      <c r="A404" t="s">
        <v>441</v>
      </c>
      <c r="B404" s="2">
        <v>45766</v>
      </c>
      <c r="C404" t="s">
        <v>22</v>
      </c>
      <c r="D404" t="s">
        <v>23</v>
      </c>
      <c r="E404" t="s">
        <v>33</v>
      </c>
      <c r="F404" t="s">
        <v>37</v>
      </c>
      <c r="G404" t="s">
        <v>20</v>
      </c>
      <c r="H404">
        <v>8</v>
      </c>
      <c r="I404" s="18">
        <v>18592.21</v>
      </c>
      <c r="J404" s="18">
        <f t="shared" si="30"/>
        <v>148737.68</v>
      </c>
      <c r="K404" s="18">
        <v>91573.61</v>
      </c>
      <c r="L404" s="18">
        <f t="shared" si="31"/>
        <v>57164.069999999992</v>
      </c>
      <c r="M404" s="3">
        <f t="shared" si="32"/>
        <v>0.38432810031728337</v>
      </c>
      <c r="N404" s="4">
        <f t="shared" si="33"/>
        <v>45748</v>
      </c>
      <c r="O404" t="str">
        <f t="shared" si="34"/>
        <v>Apr</v>
      </c>
    </row>
    <row r="405" spans="1:15" ht="15" customHeight="1" x14ac:dyDescent="0.25">
      <c r="A405" t="s">
        <v>442</v>
      </c>
      <c r="B405" s="2">
        <v>45806</v>
      </c>
      <c r="C405" t="s">
        <v>31</v>
      </c>
      <c r="D405" t="s">
        <v>23</v>
      </c>
      <c r="E405" t="s">
        <v>24</v>
      </c>
      <c r="F405" t="s">
        <v>35</v>
      </c>
      <c r="G405" t="s">
        <v>20</v>
      </c>
      <c r="H405">
        <v>6</v>
      </c>
      <c r="I405" s="18">
        <v>1641.71</v>
      </c>
      <c r="J405" s="18">
        <f t="shared" si="30"/>
        <v>9850.26</v>
      </c>
      <c r="K405" s="18">
        <v>7279.76</v>
      </c>
      <c r="L405" s="18">
        <f t="shared" si="31"/>
        <v>2570.5</v>
      </c>
      <c r="M405" s="3">
        <f t="shared" si="32"/>
        <v>0.26095757878472242</v>
      </c>
      <c r="N405" s="4">
        <f t="shared" si="33"/>
        <v>45778</v>
      </c>
      <c r="O405" t="str">
        <f t="shared" si="34"/>
        <v>May</v>
      </c>
    </row>
    <row r="406" spans="1:15" ht="15" customHeight="1" x14ac:dyDescent="0.25">
      <c r="A406" t="s">
        <v>443</v>
      </c>
      <c r="B406" s="2">
        <v>45739</v>
      </c>
      <c r="C406" t="s">
        <v>22</v>
      </c>
      <c r="D406" t="s">
        <v>23</v>
      </c>
      <c r="E406" t="s">
        <v>18</v>
      </c>
      <c r="F406" t="s">
        <v>35</v>
      </c>
      <c r="G406" t="s">
        <v>20</v>
      </c>
      <c r="H406">
        <v>8</v>
      </c>
      <c r="I406" s="18">
        <v>2281.19</v>
      </c>
      <c r="J406" s="18">
        <f t="shared" si="30"/>
        <v>18249.52</v>
      </c>
      <c r="K406" s="18">
        <v>10761.76</v>
      </c>
      <c r="L406" s="18">
        <f t="shared" si="31"/>
        <v>7487.76</v>
      </c>
      <c r="M406" s="3">
        <f t="shared" si="32"/>
        <v>0.4102990106041145</v>
      </c>
      <c r="N406" s="4">
        <f t="shared" si="33"/>
        <v>45717</v>
      </c>
      <c r="O406" t="str">
        <f t="shared" si="34"/>
        <v>Mar</v>
      </c>
    </row>
    <row r="407" spans="1:15" ht="15" customHeight="1" x14ac:dyDescent="0.25">
      <c r="A407" t="s">
        <v>444</v>
      </c>
      <c r="B407" s="2">
        <v>45793</v>
      </c>
      <c r="C407" t="s">
        <v>22</v>
      </c>
      <c r="D407" t="s">
        <v>17</v>
      </c>
      <c r="E407" t="s">
        <v>24</v>
      </c>
      <c r="F407" t="s">
        <v>46</v>
      </c>
      <c r="G407" t="s">
        <v>28</v>
      </c>
      <c r="H407">
        <v>4</v>
      </c>
      <c r="I407" s="18">
        <v>12879.91</v>
      </c>
      <c r="J407" s="18">
        <f t="shared" si="30"/>
        <v>51519.64</v>
      </c>
      <c r="K407" s="18">
        <v>39667.57</v>
      </c>
      <c r="L407" s="18">
        <f t="shared" si="31"/>
        <v>11852.07</v>
      </c>
      <c r="M407" s="3">
        <f t="shared" si="32"/>
        <v>0.2300495500356757</v>
      </c>
      <c r="N407" s="4">
        <f t="shared" si="33"/>
        <v>45778</v>
      </c>
      <c r="O407" t="str">
        <f t="shared" si="34"/>
        <v>May</v>
      </c>
    </row>
    <row r="408" spans="1:15" ht="15" customHeight="1" x14ac:dyDescent="0.25">
      <c r="A408" t="s">
        <v>445</v>
      </c>
      <c r="B408" s="2">
        <v>45681</v>
      </c>
      <c r="C408" t="s">
        <v>31</v>
      </c>
      <c r="D408" t="s">
        <v>17</v>
      </c>
      <c r="E408" t="s">
        <v>24</v>
      </c>
      <c r="F408" t="s">
        <v>37</v>
      </c>
      <c r="G408" t="s">
        <v>20</v>
      </c>
      <c r="H408">
        <v>5</v>
      </c>
      <c r="I408" s="18">
        <v>20939.37</v>
      </c>
      <c r="J408" s="18">
        <f t="shared" si="30"/>
        <v>104696.84999999999</v>
      </c>
      <c r="K408" s="18">
        <v>67340.58</v>
      </c>
      <c r="L408" s="18">
        <f t="shared" si="31"/>
        <v>37356.26999999999</v>
      </c>
      <c r="M408" s="3">
        <f t="shared" si="32"/>
        <v>0.35680414453729975</v>
      </c>
      <c r="N408" s="4">
        <f t="shared" si="33"/>
        <v>45658</v>
      </c>
      <c r="O408" t="str">
        <f t="shared" si="34"/>
        <v>Jan</v>
      </c>
    </row>
    <row r="409" spans="1:15" ht="15" customHeight="1" x14ac:dyDescent="0.25">
      <c r="A409" t="s">
        <v>446</v>
      </c>
      <c r="B409" s="2">
        <v>45845</v>
      </c>
      <c r="C409" t="s">
        <v>22</v>
      </c>
      <c r="D409" t="s">
        <v>17</v>
      </c>
      <c r="E409" t="s">
        <v>39</v>
      </c>
      <c r="F409" t="s">
        <v>62</v>
      </c>
      <c r="G409" t="s">
        <v>20</v>
      </c>
      <c r="H409">
        <v>5</v>
      </c>
      <c r="I409" s="18">
        <v>1498.98</v>
      </c>
      <c r="J409" s="18">
        <f t="shared" si="30"/>
        <v>7494.9</v>
      </c>
      <c r="K409" s="18">
        <v>5978.97</v>
      </c>
      <c r="L409" s="18">
        <f t="shared" si="31"/>
        <v>1515.9299999999994</v>
      </c>
      <c r="M409" s="3">
        <f t="shared" si="32"/>
        <v>0.20226153784573503</v>
      </c>
      <c r="N409" s="4">
        <f t="shared" si="33"/>
        <v>45839</v>
      </c>
      <c r="O409" t="str">
        <f t="shared" si="34"/>
        <v>Jul</v>
      </c>
    </row>
    <row r="410" spans="1:15" ht="15" customHeight="1" x14ac:dyDescent="0.25">
      <c r="A410" t="s">
        <v>447</v>
      </c>
      <c r="B410" s="2">
        <v>45907</v>
      </c>
      <c r="C410" t="s">
        <v>26</v>
      </c>
      <c r="D410" t="s">
        <v>23</v>
      </c>
      <c r="E410" t="s">
        <v>52</v>
      </c>
      <c r="F410" t="s">
        <v>40</v>
      </c>
      <c r="G410" t="s">
        <v>20</v>
      </c>
      <c r="H410">
        <v>3</v>
      </c>
      <c r="I410" s="18">
        <v>753.83</v>
      </c>
      <c r="J410" s="18">
        <f t="shared" si="30"/>
        <v>2261.4900000000002</v>
      </c>
      <c r="K410" s="18">
        <v>1436.49</v>
      </c>
      <c r="L410" s="18">
        <f t="shared" si="31"/>
        <v>825.00000000000023</v>
      </c>
      <c r="M410" s="3">
        <f t="shared" si="32"/>
        <v>0.36480373559025253</v>
      </c>
      <c r="N410" s="4">
        <f t="shared" si="33"/>
        <v>45901</v>
      </c>
      <c r="O410" t="str">
        <f t="shared" si="34"/>
        <v>Sep</v>
      </c>
    </row>
    <row r="411" spans="1:15" ht="15" customHeight="1" x14ac:dyDescent="0.25">
      <c r="A411" t="s">
        <v>448</v>
      </c>
      <c r="B411" s="2">
        <v>45753</v>
      </c>
      <c r="C411" t="s">
        <v>16</v>
      </c>
      <c r="D411" t="s">
        <v>17</v>
      </c>
      <c r="E411" t="s">
        <v>24</v>
      </c>
      <c r="F411" t="s">
        <v>35</v>
      </c>
      <c r="G411" t="s">
        <v>20</v>
      </c>
      <c r="H411">
        <v>4</v>
      </c>
      <c r="I411" s="18">
        <v>1837.08</v>
      </c>
      <c r="J411" s="18">
        <f t="shared" si="30"/>
        <v>7348.32</v>
      </c>
      <c r="K411" s="18">
        <v>4844.41</v>
      </c>
      <c r="L411" s="18">
        <f t="shared" si="31"/>
        <v>2503.91</v>
      </c>
      <c r="M411" s="3">
        <f t="shared" si="32"/>
        <v>0.34074591199076792</v>
      </c>
      <c r="N411" s="4">
        <f t="shared" si="33"/>
        <v>45748</v>
      </c>
      <c r="O411" t="str">
        <f t="shared" si="34"/>
        <v>Apr</v>
      </c>
    </row>
    <row r="412" spans="1:15" ht="15" customHeight="1" x14ac:dyDescent="0.25">
      <c r="A412" t="s">
        <v>449</v>
      </c>
      <c r="B412" s="2">
        <v>45903</v>
      </c>
      <c r="C412" t="s">
        <v>31</v>
      </c>
      <c r="D412" t="s">
        <v>23</v>
      </c>
      <c r="E412" t="s">
        <v>33</v>
      </c>
      <c r="F412" t="s">
        <v>53</v>
      </c>
      <c r="G412" t="s">
        <v>44</v>
      </c>
      <c r="H412">
        <v>7</v>
      </c>
      <c r="I412" s="18">
        <v>2007.97</v>
      </c>
      <c r="J412" s="18">
        <f t="shared" si="30"/>
        <v>14055.79</v>
      </c>
      <c r="K412" s="18">
        <v>8297.9</v>
      </c>
      <c r="L412" s="18">
        <f t="shared" si="31"/>
        <v>5757.8900000000012</v>
      </c>
      <c r="M412" s="3">
        <f t="shared" si="32"/>
        <v>0.40964542014358502</v>
      </c>
      <c r="N412" s="4">
        <f t="shared" si="33"/>
        <v>45901</v>
      </c>
      <c r="O412" t="str">
        <f t="shared" si="34"/>
        <v>Sep</v>
      </c>
    </row>
    <row r="413" spans="1:15" ht="15" customHeight="1" x14ac:dyDescent="0.25">
      <c r="A413" t="s">
        <v>450</v>
      </c>
      <c r="B413" s="2">
        <v>45678</v>
      </c>
      <c r="C413" t="s">
        <v>22</v>
      </c>
      <c r="D413" t="s">
        <v>23</v>
      </c>
      <c r="E413" t="s">
        <v>39</v>
      </c>
      <c r="F413" t="s">
        <v>62</v>
      </c>
      <c r="G413" t="s">
        <v>20</v>
      </c>
      <c r="H413">
        <v>5</v>
      </c>
      <c r="I413" s="18">
        <v>1472.74</v>
      </c>
      <c r="J413" s="18">
        <f t="shared" si="30"/>
        <v>7363.7</v>
      </c>
      <c r="K413" s="18">
        <v>5184</v>
      </c>
      <c r="L413" s="18">
        <f t="shared" si="31"/>
        <v>2179.6999999999998</v>
      </c>
      <c r="M413" s="3">
        <f t="shared" si="32"/>
        <v>0.2960060838980404</v>
      </c>
      <c r="N413" s="4">
        <f t="shared" si="33"/>
        <v>45658</v>
      </c>
      <c r="O413" t="str">
        <f t="shared" si="34"/>
        <v>Jan</v>
      </c>
    </row>
    <row r="414" spans="1:15" ht="15" customHeight="1" x14ac:dyDescent="0.25">
      <c r="A414" t="s">
        <v>451</v>
      </c>
      <c r="B414" s="2">
        <v>45701</v>
      </c>
      <c r="C414" t="s">
        <v>31</v>
      </c>
      <c r="D414" t="s">
        <v>23</v>
      </c>
      <c r="E414" t="s">
        <v>33</v>
      </c>
      <c r="F414" t="s">
        <v>53</v>
      </c>
      <c r="G414" t="s">
        <v>44</v>
      </c>
      <c r="H414">
        <v>8</v>
      </c>
      <c r="I414" s="18">
        <v>4447.3100000000004</v>
      </c>
      <c r="J414" s="18">
        <f t="shared" si="30"/>
        <v>35578.480000000003</v>
      </c>
      <c r="K414" s="18">
        <v>27725.86</v>
      </c>
      <c r="L414" s="18">
        <f t="shared" si="31"/>
        <v>7852.6200000000026</v>
      </c>
      <c r="M414" s="3">
        <f t="shared" si="32"/>
        <v>0.22071263302985406</v>
      </c>
      <c r="N414" s="4">
        <f t="shared" si="33"/>
        <v>45689</v>
      </c>
      <c r="O414" t="str">
        <f t="shared" si="34"/>
        <v>Feb</v>
      </c>
    </row>
    <row r="415" spans="1:15" ht="15" customHeight="1" x14ac:dyDescent="0.25">
      <c r="A415" t="s">
        <v>452</v>
      </c>
      <c r="B415" s="2">
        <v>45995</v>
      </c>
      <c r="C415" t="s">
        <v>16</v>
      </c>
      <c r="D415" t="s">
        <v>23</v>
      </c>
      <c r="E415" t="s">
        <v>24</v>
      </c>
      <c r="F415" t="s">
        <v>50</v>
      </c>
      <c r="G415" t="s">
        <v>28</v>
      </c>
      <c r="H415">
        <v>6</v>
      </c>
      <c r="I415" s="18">
        <v>1074.71</v>
      </c>
      <c r="J415" s="18">
        <f t="shared" si="30"/>
        <v>6448.26</v>
      </c>
      <c r="K415" s="18">
        <v>4663.18</v>
      </c>
      <c r="L415" s="18">
        <f t="shared" si="31"/>
        <v>1785.08</v>
      </c>
      <c r="M415" s="3">
        <f t="shared" si="32"/>
        <v>0.27683126921060874</v>
      </c>
      <c r="N415" s="4">
        <f t="shared" si="33"/>
        <v>45992</v>
      </c>
      <c r="O415" t="str">
        <f t="shared" si="34"/>
        <v>Dec</v>
      </c>
    </row>
    <row r="416" spans="1:15" ht="15" customHeight="1" x14ac:dyDescent="0.25">
      <c r="A416" t="s">
        <v>453</v>
      </c>
      <c r="B416" s="2">
        <v>45855</v>
      </c>
      <c r="C416" t="s">
        <v>31</v>
      </c>
      <c r="D416" t="s">
        <v>17</v>
      </c>
      <c r="E416" t="s">
        <v>33</v>
      </c>
      <c r="F416" t="s">
        <v>35</v>
      </c>
      <c r="G416" t="s">
        <v>20</v>
      </c>
      <c r="H416">
        <v>7</v>
      </c>
      <c r="I416" s="18">
        <v>1102.5899999999999</v>
      </c>
      <c r="J416" s="18">
        <f t="shared" si="30"/>
        <v>7718.1299999999992</v>
      </c>
      <c r="K416" s="18">
        <v>5598.13</v>
      </c>
      <c r="L416" s="18">
        <f t="shared" si="31"/>
        <v>2119.9999999999991</v>
      </c>
      <c r="M416" s="3">
        <f t="shared" si="32"/>
        <v>0.27467793364454851</v>
      </c>
      <c r="N416" s="4">
        <f t="shared" si="33"/>
        <v>45839</v>
      </c>
      <c r="O416" t="str">
        <f t="shared" si="34"/>
        <v>Jul</v>
      </c>
    </row>
    <row r="417" spans="1:15" ht="15" customHeight="1" x14ac:dyDescent="0.25">
      <c r="A417" t="s">
        <v>454</v>
      </c>
      <c r="B417" s="2">
        <v>45965</v>
      </c>
      <c r="C417" t="s">
        <v>16</v>
      </c>
      <c r="D417" t="s">
        <v>17</v>
      </c>
      <c r="E417" t="s">
        <v>33</v>
      </c>
      <c r="F417" t="s">
        <v>37</v>
      </c>
      <c r="G417" t="s">
        <v>20</v>
      </c>
      <c r="H417">
        <v>8</v>
      </c>
      <c r="I417" s="18">
        <v>22538.29</v>
      </c>
      <c r="J417" s="18">
        <f t="shared" si="30"/>
        <v>180306.32</v>
      </c>
      <c r="K417" s="18">
        <v>143609.72</v>
      </c>
      <c r="L417" s="18">
        <f t="shared" si="31"/>
        <v>36696.600000000006</v>
      </c>
      <c r="M417" s="3">
        <f t="shared" si="32"/>
        <v>0.20352364797861774</v>
      </c>
      <c r="N417" s="4">
        <f t="shared" si="33"/>
        <v>45962</v>
      </c>
      <c r="O417" t="str">
        <f t="shared" si="34"/>
        <v>Nov</v>
      </c>
    </row>
    <row r="418" spans="1:15" ht="15" customHeight="1" x14ac:dyDescent="0.25">
      <c r="A418" t="s">
        <v>455</v>
      </c>
      <c r="B418" s="2">
        <v>45873</v>
      </c>
      <c r="C418" t="s">
        <v>16</v>
      </c>
      <c r="D418" t="s">
        <v>17</v>
      </c>
      <c r="E418" t="s">
        <v>52</v>
      </c>
      <c r="F418" t="s">
        <v>46</v>
      </c>
      <c r="G418" t="s">
        <v>28</v>
      </c>
      <c r="H418">
        <v>8</v>
      </c>
      <c r="I418" s="18">
        <v>10273.370000000001</v>
      </c>
      <c r="J418" s="18">
        <f t="shared" si="30"/>
        <v>82186.960000000006</v>
      </c>
      <c r="K418" s="18">
        <v>55188.28</v>
      </c>
      <c r="L418" s="18">
        <f t="shared" si="31"/>
        <v>26998.680000000008</v>
      </c>
      <c r="M418" s="3">
        <f t="shared" si="32"/>
        <v>0.32850320780814873</v>
      </c>
      <c r="N418" s="4">
        <f t="shared" si="33"/>
        <v>45870</v>
      </c>
      <c r="O418" t="str">
        <f t="shared" si="34"/>
        <v>Aug</v>
      </c>
    </row>
    <row r="419" spans="1:15" ht="15" customHeight="1" x14ac:dyDescent="0.25">
      <c r="A419" t="s">
        <v>456</v>
      </c>
      <c r="B419" s="2">
        <v>45788</v>
      </c>
      <c r="C419" t="s">
        <v>22</v>
      </c>
      <c r="D419" t="s">
        <v>17</v>
      </c>
      <c r="E419" t="s">
        <v>52</v>
      </c>
      <c r="F419" t="s">
        <v>40</v>
      </c>
      <c r="G419" t="s">
        <v>20</v>
      </c>
      <c r="H419">
        <v>2</v>
      </c>
      <c r="I419" s="18">
        <v>1129.81</v>
      </c>
      <c r="J419" s="18">
        <f t="shared" si="30"/>
        <v>2259.62</v>
      </c>
      <c r="K419" s="18">
        <v>1786.06</v>
      </c>
      <c r="L419" s="18">
        <f t="shared" si="31"/>
        <v>473.55999999999995</v>
      </c>
      <c r="M419" s="3">
        <f t="shared" si="32"/>
        <v>0.20957506129349182</v>
      </c>
      <c r="N419" s="4">
        <f t="shared" si="33"/>
        <v>45778</v>
      </c>
      <c r="O419" t="str">
        <f t="shared" si="34"/>
        <v>May</v>
      </c>
    </row>
    <row r="420" spans="1:15" ht="15" customHeight="1" x14ac:dyDescent="0.25">
      <c r="A420" t="s">
        <v>457</v>
      </c>
      <c r="B420" s="2">
        <v>45660</v>
      </c>
      <c r="C420" t="s">
        <v>26</v>
      </c>
      <c r="D420" t="s">
        <v>17</v>
      </c>
      <c r="E420" t="s">
        <v>39</v>
      </c>
      <c r="F420" t="s">
        <v>37</v>
      </c>
      <c r="G420" t="s">
        <v>20</v>
      </c>
      <c r="H420">
        <v>1</v>
      </c>
      <c r="I420" s="18">
        <v>18007.39</v>
      </c>
      <c r="J420" s="18">
        <f t="shared" si="30"/>
        <v>18007.39</v>
      </c>
      <c r="K420" s="18">
        <v>11332.06</v>
      </c>
      <c r="L420" s="18">
        <f t="shared" si="31"/>
        <v>6675.33</v>
      </c>
      <c r="M420" s="3">
        <f t="shared" si="32"/>
        <v>0.3706994739381998</v>
      </c>
      <c r="N420" s="4">
        <f t="shared" si="33"/>
        <v>45658</v>
      </c>
      <c r="O420" t="str">
        <f t="shared" si="34"/>
        <v>Jan</v>
      </c>
    </row>
    <row r="421" spans="1:15" ht="15" customHeight="1" x14ac:dyDescent="0.25">
      <c r="A421" t="s">
        <v>458</v>
      </c>
      <c r="B421" s="2">
        <v>45712</v>
      </c>
      <c r="C421" t="s">
        <v>22</v>
      </c>
      <c r="D421" t="s">
        <v>23</v>
      </c>
      <c r="E421" t="s">
        <v>24</v>
      </c>
      <c r="F421" t="s">
        <v>35</v>
      </c>
      <c r="G421" t="s">
        <v>20</v>
      </c>
      <c r="H421">
        <v>7</v>
      </c>
      <c r="I421" s="18">
        <v>3015.5</v>
      </c>
      <c r="J421" s="18">
        <f t="shared" si="30"/>
        <v>21108.5</v>
      </c>
      <c r="K421" s="18">
        <v>15342.74</v>
      </c>
      <c r="L421" s="18">
        <f t="shared" si="31"/>
        <v>5765.76</v>
      </c>
      <c r="M421" s="3">
        <f t="shared" si="32"/>
        <v>0.27314873155363956</v>
      </c>
      <c r="N421" s="4">
        <f t="shared" si="33"/>
        <v>45689</v>
      </c>
      <c r="O421" t="str">
        <f t="shared" si="34"/>
        <v>Feb</v>
      </c>
    </row>
    <row r="422" spans="1:15" ht="15" customHeight="1" x14ac:dyDescent="0.25">
      <c r="A422" t="s">
        <v>459</v>
      </c>
      <c r="B422" s="2">
        <v>45940</v>
      </c>
      <c r="C422" t="s">
        <v>26</v>
      </c>
      <c r="D422" t="s">
        <v>17</v>
      </c>
      <c r="E422" t="s">
        <v>52</v>
      </c>
      <c r="F422" t="s">
        <v>50</v>
      </c>
      <c r="G422" t="s">
        <v>28</v>
      </c>
      <c r="H422">
        <v>8</v>
      </c>
      <c r="I422" s="18">
        <v>598.03</v>
      </c>
      <c r="J422" s="18">
        <f t="shared" si="30"/>
        <v>4784.24</v>
      </c>
      <c r="K422" s="18">
        <v>3126.96</v>
      </c>
      <c r="L422" s="18">
        <f t="shared" si="31"/>
        <v>1657.2799999999997</v>
      </c>
      <c r="M422" s="3">
        <f t="shared" si="32"/>
        <v>0.34640402655385177</v>
      </c>
      <c r="N422" s="4">
        <f t="shared" si="33"/>
        <v>45931</v>
      </c>
      <c r="O422" t="str">
        <f t="shared" si="34"/>
        <v>Oct</v>
      </c>
    </row>
    <row r="423" spans="1:15" ht="15" customHeight="1" x14ac:dyDescent="0.25">
      <c r="A423" t="s">
        <v>460</v>
      </c>
      <c r="B423" s="2">
        <v>45995</v>
      </c>
      <c r="C423" t="s">
        <v>26</v>
      </c>
      <c r="D423" t="s">
        <v>23</v>
      </c>
      <c r="E423" t="s">
        <v>52</v>
      </c>
      <c r="F423" t="s">
        <v>19</v>
      </c>
      <c r="G423" t="s">
        <v>20</v>
      </c>
      <c r="H423">
        <v>3</v>
      </c>
      <c r="I423" s="18">
        <v>2559.6</v>
      </c>
      <c r="J423" s="18">
        <f t="shared" si="30"/>
        <v>7678.7999999999993</v>
      </c>
      <c r="K423" s="18">
        <v>5390.54</v>
      </c>
      <c r="L423" s="18">
        <f t="shared" si="31"/>
        <v>2288.2599999999993</v>
      </c>
      <c r="M423" s="3">
        <f t="shared" si="32"/>
        <v>0.2979970828775329</v>
      </c>
      <c r="N423" s="4">
        <f t="shared" si="33"/>
        <v>45992</v>
      </c>
      <c r="O423" t="str">
        <f t="shared" si="34"/>
        <v>Dec</v>
      </c>
    </row>
    <row r="424" spans="1:15" ht="15" customHeight="1" x14ac:dyDescent="0.25">
      <c r="A424" t="s">
        <v>461</v>
      </c>
      <c r="B424" s="2">
        <v>45857</v>
      </c>
      <c r="C424" t="s">
        <v>26</v>
      </c>
      <c r="D424" t="s">
        <v>23</v>
      </c>
      <c r="E424" t="s">
        <v>33</v>
      </c>
      <c r="F424" t="s">
        <v>37</v>
      </c>
      <c r="G424" t="s">
        <v>20</v>
      </c>
      <c r="H424">
        <v>7</v>
      </c>
      <c r="I424" s="18">
        <v>9627.75</v>
      </c>
      <c r="J424" s="18">
        <f t="shared" si="30"/>
        <v>67394.25</v>
      </c>
      <c r="K424" s="18">
        <v>43344.08</v>
      </c>
      <c r="L424" s="18">
        <f t="shared" si="31"/>
        <v>24050.17</v>
      </c>
      <c r="M424" s="3">
        <f t="shared" si="32"/>
        <v>0.35685789217922892</v>
      </c>
      <c r="N424" s="4">
        <f t="shared" si="33"/>
        <v>45839</v>
      </c>
      <c r="O424" t="str">
        <f t="shared" si="34"/>
        <v>Jul</v>
      </c>
    </row>
    <row r="425" spans="1:15" ht="15" customHeight="1" x14ac:dyDescent="0.25">
      <c r="A425" t="s">
        <v>462</v>
      </c>
      <c r="B425" s="2">
        <v>45677</v>
      </c>
      <c r="C425" t="s">
        <v>22</v>
      </c>
      <c r="D425" t="s">
        <v>17</v>
      </c>
      <c r="E425" t="s">
        <v>18</v>
      </c>
      <c r="F425" t="s">
        <v>43</v>
      </c>
      <c r="G425" t="s">
        <v>44</v>
      </c>
      <c r="H425">
        <v>1</v>
      </c>
      <c r="I425" s="18">
        <v>1065.18</v>
      </c>
      <c r="J425" s="18">
        <f t="shared" si="30"/>
        <v>1065.18</v>
      </c>
      <c r="K425" s="18">
        <v>827.49</v>
      </c>
      <c r="L425" s="18">
        <f t="shared" si="31"/>
        <v>237.69000000000005</v>
      </c>
      <c r="M425" s="3">
        <f t="shared" si="32"/>
        <v>0.22314538387878108</v>
      </c>
      <c r="N425" s="4">
        <f t="shared" si="33"/>
        <v>45658</v>
      </c>
      <c r="O425" t="str">
        <f t="shared" si="34"/>
        <v>Jan</v>
      </c>
    </row>
    <row r="426" spans="1:15" ht="15" customHeight="1" x14ac:dyDescent="0.25">
      <c r="A426" t="s">
        <v>463</v>
      </c>
      <c r="B426" s="2">
        <v>45761</v>
      </c>
      <c r="C426" t="s">
        <v>26</v>
      </c>
      <c r="D426" t="s">
        <v>23</v>
      </c>
      <c r="E426" t="s">
        <v>18</v>
      </c>
      <c r="F426" t="s">
        <v>50</v>
      </c>
      <c r="G426" t="s">
        <v>28</v>
      </c>
      <c r="H426">
        <v>4</v>
      </c>
      <c r="I426" s="18">
        <v>290.54000000000002</v>
      </c>
      <c r="J426" s="18">
        <f t="shared" si="30"/>
        <v>1162.1600000000001</v>
      </c>
      <c r="K426" s="18">
        <v>862.05</v>
      </c>
      <c r="L426" s="18">
        <f t="shared" si="31"/>
        <v>300.11000000000013</v>
      </c>
      <c r="M426" s="3">
        <f t="shared" si="32"/>
        <v>0.25823466648310051</v>
      </c>
      <c r="N426" s="4">
        <f t="shared" si="33"/>
        <v>45748</v>
      </c>
      <c r="O426" t="str">
        <f t="shared" si="34"/>
        <v>Apr</v>
      </c>
    </row>
    <row r="427" spans="1:15" ht="15" customHeight="1" x14ac:dyDescent="0.25">
      <c r="A427" t="s">
        <v>464</v>
      </c>
      <c r="B427" s="2">
        <v>45738</v>
      </c>
      <c r="C427" t="s">
        <v>16</v>
      </c>
      <c r="D427" t="s">
        <v>23</v>
      </c>
      <c r="E427" t="s">
        <v>18</v>
      </c>
      <c r="F427" t="s">
        <v>19</v>
      </c>
      <c r="G427" t="s">
        <v>20</v>
      </c>
      <c r="H427">
        <v>7</v>
      </c>
      <c r="I427" s="18">
        <v>4093.11</v>
      </c>
      <c r="J427" s="18">
        <f t="shared" si="30"/>
        <v>28651.77</v>
      </c>
      <c r="K427" s="18">
        <v>17995.45</v>
      </c>
      <c r="L427" s="18">
        <f t="shared" si="31"/>
        <v>10656.32</v>
      </c>
      <c r="M427" s="3">
        <f t="shared" si="32"/>
        <v>0.3719253644713747</v>
      </c>
      <c r="N427" s="4">
        <f t="shared" si="33"/>
        <v>45717</v>
      </c>
      <c r="O427" t="str">
        <f t="shared" si="34"/>
        <v>Mar</v>
      </c>
    </row>
    <row r="428" spans="1:15" ht="15" customHeight="1" x14ac:dyDescent="0.25">
      <c r="A428" t="s">
        <v>465</v>
      </c>
      <c r="B428" s="2">
        <v>45939</v>
      </c>
      <c r="C428" t="s">
        <v>22</v>
      </c>
      <c r="D428" t="s">
        <v>17</v>
      </c>
      <c r="E428" t="s">
        <v>33</v>
      </c>
      <c r="F428" t="s">
        <v>27</v>
      </c>
      <c r="G428" t="s">
        <v>28</v>
      </c>
      <c r="H428">
        <v>5</v>
      </c>
      <c r="I428" s="18">
        <v>19753.080000000002</v>
      </c>
      <c r="J428" s="18">
        <f t="shared" si="30"/>
        <v>98765.400000000009</v>
      </c>
      <c r="K428" s="18">
        <v>80111.95</v>
      </c>
      <c r="L428" s="18">
        <f t="shared" si="31"/>
        <v>18653.450000000012</v>
      </c>
      <c r="M428" s="3">
        <f t="shared" si="32"/>
        <v>0.18886624263152896</v>
      </c>
      <c r="N428" s="4">
        <f t="shared" si="33"/>
        <v>45931</v>
      </c>
      <c r="O428" t="str">
        <f t="shared" si="34"/>
        <v>Oct</v>
      </c>
    </row>
    <row r="429" spans="1:15" ht="15" customHeight="1" x14ac:dyDescent="0.25">
      <c r="A429" t="s">
        <v>466</v>
      </c>
      <c r="B429" s="2">
        <v>45660</v>
      </c>
      <c r="C429" t="s">
        <v>26</v>
      </c>
      <c r="D429" t="s">
        <v>23</v>
      </c>
      <c r="E429" t="s">
        <v>33</v>
      </c>
      <c r="F429" t="s">
        <v>27</v>
      </c>
      <c r="G429" t="s">
        <v>28</v>
      </c>
      <c r="H429">
        <v>2</v>
      </c>
      <c r="I429" s="18">
        <v>12006.15</v>
      </c>
      <c r="J429" s="18">
        <f t="shared" si="30"/>
        <v>24012.3</v>
      </c>
      <c r="K429" s="18">
        <v>16826.87</v>
      </c>
      <c r="L429" s="18">
        <f t="shared" si="31"/>
        <v>7185.43</v>
      </c>
      <c r="M429" s="3">
        <f t="shared" si="32"/>
        <v>0.29923955639401478</v>
      </c>
      <c r="N429" s="4">
        <f t="shared" si="33"/>
        <v>45658</v>
      </c>
      <c r="O429" t="str">
        <f t="shared" si="34"/>
        <v>Jan</v>
      </c>
    </row>
    <row r="430" spans="1:15" ht="15" customHeight="1" x14ac:dyDescent="0.25">
      <c r="A430" t="s">
        <v>467</v>
      </c>
      <c r="B430" s="2">
        <v>45789</v>
      </c>
      <c r="C430" t="s">
        <v>31</v>
      </c>
      <c r="D430" t="s">
        <v>17</v>
      </c>
      <c r="E430" t="s">
        <v>24</v>
      </c>
      <c r="F430" t="s">
        <v>50</v>
      </c>
      <c r="G430" t="s">
        <v>28</v>
      </c>
      <c r="H430">
        <v>8</v>
      </c>
      <c r="I430" s="18">
        <v>1049.48</v>
      </c>
      <c r="J430" s="18">
        <f t="shared" si="30"/>
        <v>8395.84</v>
      </c>
      <c r="K430" s="18">
        <v>6004.37</v>
      </c>
      <c r="L430" s="18">
        <f t="shared" si="31"/>
        <v>2391.4700000000003</v>
      </c>
      <c r="M430" s="3">
        <f t="shared" si="32"/>
        <v>0.28483987308000153</v>
      </c>
      <c r="N430" s="4">
        <f t="shared" si="33"/>
        <v>45778</v>
      </c>
      <c r="O430" t="str">
        <f t="shared" si="34"/>
        <v>May</v>
      </c>
    </row>
    <row r="431" spans="1:15" ht="15" customHeight="1" x14ac:dyDescent="0.25">
      <c r="A431" t="s">
        <v>468</v>
      </c>
      <c r="B431" s="2">
        <v>46006</v>
      </c>
      <c r="C431" t="s">
        <v>31</v>
      </c>
      <c r="D431" t="s">
        <v>23</v>
      </c>
      <c r="E431" t="s">
        <v>39</v>
      </c>
      <c r="F431" t="s">
        <v>40</v>
      </c>
      <c r="G431" t="s">
        <v>20</v>
      </c>
      <c r="H431">
        <v>2</v>
      </c>
      <c r="I431" s="18">
        <v>707.01</v>
      </c>
      <c r="J431" s="18">
        <f t="shared" si="30"/>
        <v>1414.02</v>
      </c>
      <c r="K431" s="18">
        <v>950</v>
      </c>
      <c r="L431" s="18">
        <f t="shared" si="31"/>
        <v>464.02</v>
      </c>
      <c r="M431" s="3">
        <f t="shared" si="32"/>
        <v>0.32815660315978556</v>
      </c>
      <c r="N431" s="4">
        <f t="shared" si="33"/>
        <v>45992</v>
      </c>
      <c r="O431" t="str">
        <f t="shared" si="34"/>
        <v>Dec</v>
      </c>
    </row>
    <row r="432" spans="1:15" ht="15" customHeight="1" x14ac:dyDescent="0.25">
      <c r="A432" t="s">
        <v>469</v>
      </c>
      <c r="B432" s="2">
        <v>45869</v>
      </c>
      <c r="C432" t="s">
        <v>26</v>
      </c>
      <c r="D432" t="s">
        <v>23</v>
      </c>
      <c r="E432" t="s">
        <v>33</v>
      </c>
      <c r="F432" t="s">
        <v>46</v>
      </c>
      <c r="G432" t="s">
        <v>28</v>
      </c>
      <c r="H432">
        <v>5</v>
      </c>
      <c r="I432" s="18">
        <v>16582.810000000001</v>
      </c>
      <c r="J432" s="18">
        <f t="shared" si="30"/>
        <v>82914.05</v>
      </c>
      <c r="K432" s="18">
        <v>49940.98</v>
      </c>
      <c r="L432" s="18">
        <f t="shared" si="31"/>
        <v>32973.07</v>
      </c>
      <c r="M432" s="3">
        <f t="shared" si="32"/>
        <v>0.39767771565856447</v>
      </c>
      <c r="N432" s="4">
        <f t="shared" si="33"/>
        <v>45839</v>
      </c>
      <c r="O432" t="str">
        <f t="shared" si="34"/>
        <v>Jul</v>
      </c>
    </row>
    <row r="433" spans="1:15" ht="15" customHeight="1" x14ac:dyDescent="0.25">
      <c r="A433" t="s">
        <v>470</v>
      </c>
      <c r="B433" s="2">
        <v>45749</v>
      </c>
      <c r="C433" t="s">
        <v>31</v>
      </c>
      <c r="D433" t="s">
        <v>17</v>
      </c>
      <c r="E433" t="s">
        <v>52</v>
      </c>
      <c r="F433" t="s">
        <v>40</v>
      </c>
      <c r="G433" t="s">
        <v>20</v>
      </c>
      <c r="H433">
        <v>5</v>
      </c>
      <c r="I433" s="18">
        <v>442.99</v>
      </c>
      <c r="J433" s="18">
        <f t="shared" si="30"/>
        <v>2214.9499999999998</v>
      </c>
      <c r="K433" s="18">
        <v>1681.32</v>
      </c>
      <c r="L433" s="18">
        <f t="shared" si="31"/>
        <v>533.62999999999988</v>
      </c>
      <c r="M433" s="3">
        <f t="shared" si="32"/>
        <v>0.24092191697329507</v>
      </c>
      <c r="N433" s="4">
        <f t="shared" si="33"/>
        <v>45748</v>
      </c>
      <c r="O433" t="str">
        <f t="shared" si="34"/>
        <v>Apr</v>
      </c>
    </row>
    <row r="434" spans="1:15" ht="15" customHeight="1" x14ac:dyDescent="0.25">
      <c r="A434" t="s">
        <v>471</v>
      </c>
      <c r="B434" s="2">
        <v>45778</v>
      </c>
      <c r="C434" t="s">
        <v>26</v>
      </c>
      <c r="D434" t="s">
        <v>23</v>
      </c>
      <c r="E434" t="s">
        <v>18</v>
      </c>
      <c r="F434" t="s">
        <v>53</v>
      </c>
      <c r="G434" t="s">
        <v>44</v>
      </c>
      <c r="H434">
        <v>4</v>
      </c>
      <c r="I434" s="18">
        <v>2766.7</v>
      </c>
      <c r="J434" s="18">
        <f t="shared" si="30"/>
        <v>11066.8</v>
      </c>
      <c r="K434" s="18">
        <v>8640.08</v>
      </c>
      <c r="L434" s="18">
        <f t="shared" si="31"/>
        <v>2426.7199999999993</v>
      </c>
      <c r="M434" s="3">
        <f t="shared" si="32"/>
        <v>0.21927928579173742</v>
      </c>
      <c r="N434" s="4">
        <f t="shared" si="33"/>
        <v>45778</v>
      </c>
      <c r="O434" t="str">
        <f t="shared" si="34"/>
        <v>May</v>
      </c>
    </row>
    <row r="435" spans="1:15" ht="15" customHeight="1" x14ac:dyDescent="0.25">
      <c r="A435" t="s">
        <v>472</v>
      </c>
      <c r="B435" s="2">
        <v>45719</v>
      </c>
      <c r="C435" t="s">
        <v>16</v>
      </c>
      <c r="D435" t="s">
        <v>17</v>
      </c>
      <c r="E435" t="s">
        <v>39</v>
      </c>
      <c r="F435" t="s">
        <v>19</v>
      </c>
      <c r="G435" t="s">
        <v>20</v>
      </c>
      <c r="H435">
        <v>1</v>
      </c>
      <c r="I435" s="18">
        <v>5195.8100000000004</v>
      </c>
      <c r="J435" s="18">
        <f t="shared" si="30"/>
        <v>5195.8100000000004</v>
      </c>
      <c r="K435" s="18">
        <v>3688.78</v>
      </c>
      <c r="L435" s="18">
        <f t="shared" si="31"/>
        <v>1507.0300000000002</v>
      </c>
      <c r="M435" s="3">
        <f t="shared" si="32"/>
        <v>0.2900471726256349</v>
      </c>
      <c r="N435" s="4">
        <f t="shared" si="33"/>
        <v>45717</v>
      </c>
      <c r="O435" t="str">
        <f t="shared" si="34"/>
        <v>Mar</v>
      </c>
    </row>
    <row r="436" spans="1:15" ht="15" customHeight="1" x14ac:dyDescent="0.25">
      <c r="A436" t="s">
        <v>473</v>
      </c>
      <c r="B436" s="2">
        <v>45975</v>
      </c>
      <c r="C436" t="s">
        <v>26</v>
      </c>
      <c r="D436" t="s">
        <v>17</v>
      </c>
      <c r="E436" t="s">
        <v>52</v>
      </c>
      <c r="F436" t="s">
        <v>46</v>
      </c>
      <c r="G436" t="s">
        <v>28</v>
      </c>
      <c r="H436">
        <v>3</v>
      </c>
      <c r="I436" s="18">
        <v>18719.34</v>
      </c>
      <c r="J436" s="18">
        <f t="shared" si="30"/>
        <v>56158.020000000004</v>
      </c>
      <c r="K436" s="18">
        <v>44917.52</v>
      </c>
      <c r="L436" s="18">
        <f t="shared" si="31"/>
        <v>11240.500000000007</v>
      </c>
      <c r="M436" s="3">
        <f t="shared" si="32"/>
        <v>0.20015841014337768</v>
      </c>
      <c r="N436" s="4">
        <f t="shared" si="33"/>
        <v>45962</v>
      </c>
      <c r="O436" t="str">
        <f t="shared" si="34"/>
        <v>Nov</v>
      </c>
    </row>
    <row r="437" spans="1:15" ht="15" customHeight="1" x14ac:dyDescent="0.25">
      <c r="A437" t="s">
        <v>474</v>
      </c>
      <c r="B437" s="2">
        <v>45953</v>
      </c>
      <c r="C437" t="s">
        <v>31</v>
      </c>
      <c r="D437" t="s">
        <v>17</v>
      </c>
      <c r="E437" t="s">
        <v>18</v>
      </c>
      <c r="F437" t="s">
        <v>35</v>
      </c>
      <c r="G437" t="s">
        <v>20</v>
      </c>
      <c r="H437">
        <v>1</v>
      </c>
      <c r="I437" s="18">
        <v>4368.16</v>
      </c>
      <c r="J437" s="18">
        <f t="shared" si="30"/>
        <v>4368.16</v>
      </c>
      <c r="K437" s="18">
        <v>2946.29</v>
      </c>
      <c r="L437" s="18">
        <f t="shared" si="31"/>
        <v>1421.87</v>
      </c>
      <c r="M437" s="3">
        <f t="shared" si="32"/>
        <v>0.32550776528332293</v>
      </c>
      <c r="N437" s="4">
        <f t="shared" si="33"/>
        <v>45931</v>
      </c>
      <c r="O437" t="str">
        <f t="shared" si="34"/>
        <v>Oct</v>
      </c>
    </row>
    <row r="438" spans="1:15" ht="15" customHeight="1" x14ac:dyDescent="0.25">
      <c r="A438" t="s">
        <v>475</v>
      </c>
      <c r="B438" s="2">
        <v>46015</v>
      </c>
      <c r="C438" t="s">
        <v>16</v>
      </c>
      <c r="D438" t="s">
        <v>17</v>
      </c>
      <c r="E438" t="s">
        <v>39</v>
      </c>
      <c r="F438" t="s">
        <v>50</v>
      </c>
      <c r="G438" t="s">
        <v>28</v>
      </c>
      <c r="H438">
        <v>1</v>
      </c>
      <c r="I438" s="18">
        <v>861.76</v>
      </c>
      <c r="J438" s="18">
        <f t="shared" si="30"/>
        <v>861.76</v>
      </c>
      <c r="K438" s="18">
        <v>543.41</v>
      </c>
      <c r="L438" s="18">
        <f t="shared" si="31"/>
        <v>318.35000000000002</v>
      </c>
      <c r="M438" s="3">
        <f t="shared" si="32"/>
        <v>0.36941839955440031</v>
      </c>
      <c r="N438" s="4">
        <f t="shared" si="33"/>
        <v>45992</v>
      </c>
      <c r="O438" t="str">
        <f t="shared" si="34"/>
        <v>Dec</v>
      </c>
    </row>
    <row r="439" spans="1:15" ht="15" customHeight="1" x14ac:dyDescent="0.25">
      <c r="A439" t="s">
        <v>476</v>
      </c>
      <c r="B439" s="2">
        <v>45971</v>
      </c>
      <c r="C439" t="s">
        <v>26</v>
      </c>
      <c r="D439" t="s">
        <v>23</v>
      </c>
      <c r="E439" t="s">
        <v>24</v>
      </c>
      <c r="F439" t="s">
        <v>27</v>
      </c>
      <c r="G439" t="s">
        <v>28</v>
      </c>
      <c r="H439">
        <v>5</v>
      </c>
      <c r="I439" s="18">
        <v>11996.85</v>
      </c>
      <c r="J439" s="18">
        <f t="shared" si="30"/>
        <v>59984.25</v>
      </c>
      <c r="K439" s="18">
        <v>43616.959999999999</v>
      </c>
      <c r="L439" s="18">
        <f t="shared" si="31"/>
        <v>16367.29</v>
      </c>
      <c r="M439" s="3">
        <f t="shared" si="32"/>
        <v>0.27285979236216173</v>
      </c>
      <c r="N439" s="4">
        <f t="shared" si="33"/>
        <v>45962</v>
      </c>
      <c r="O439" t="str">
        <f t="shared" si="34"/>
        <v>Nov</v>
      </c>
    </row>
    <row r="440" spans="1:15" ht="15" customHeight="1" x14ac:dyDescent="0.25">
      <c r="A440" t="s">
        <v>477</v>
      </c>
      <c r="B440" s="2">
        <v>45875</v>
      </c>
      <c r="C440" t="s">
        <v>31</v>
      </c>
      <c r="D440" t="s">
        <v>23</v>
      </c>
      <c r="E440" t="s">
        <v>18</v>
      </c>
      <c r="F440" t="s">
        <v>53</v>
      </c>
      <c r="G440" t="s">
        <v>44</v>
      </c>
      <c r="H440">
        <v>7</v>
      </c>
      <c r="I440" s="18">
        <v>3774.95</v>
      </c>
      <c r="J440" s="18">
        <f t="shared" si="30"/>
        <v>26424.649999999998</v>
      </c>
      <c r="K440" s="18">
        <v>16467.14</v>
      </c>
      <c r="L440" s="18">
        <f t="shared" si="31"/>
        <v>9957.5099999999984</v>
      </c>
      <c r="M440" s="3">
        <f t="shared" si="32"/>
        <v>0.37682656156278321</v>
      </c>
      <c r="N440" s="4">
        <f t="shared" si="33"/>
        <v>45870</v>
      </c>
      <c r="O440" t="str">
        <f t="shared" si="34"/>
        <v>Aug</v>
      </c>
    </row>
    <row r="441" spans="1:15" ht="15" customHeight="1" x14ac:dyDescent="0.25">
      <c r="A441" t="s">
        <v>478</v>
      </c>
      <c r="B441" s="2">
        <v>45796</v>
      </c>
      <c r="C441" t="s">
        <v>31</v>
      </c>
      <c r="D441" t="s">
        <v>17</v>
      </c>
      <c r="E441" t="s">
        <v>18</v>
      </c>
      <c r="F441" t="s">
        <v>53</v>
      </c>
      <c r="G441" t="s">
        <v>44</v>
      </c>
      <c r="H441">
        <v>7</v>
      </c>
      <c r="I441" s="18">
        <v>4170.1000000000004</v>
      </c>
      <c r="J441" s="18">
        <f t="shared" si="30"/>
        <v>29190.700000000004</v>
      </c>
      <c r="K441" s="18">
        <v>22535.48</v>
      </c>
      <c r="L441" s="18">
        <f t="shared" si="31"/>
        <v>6655.2200000000048</v>
      </c>
      <c r="M441" s="3">
        <f t="shared" si="32"/>
        <v>0.22799110675660411</v>
      </c>
      <c r="N441" s="4">
        <f t="shared" si="33"/>
        <v>45778</v>
      </c>
      <c r="O441" t="str">
        <f t="shared" si="34"/>
        <v>May</v>
      </c>
    </row>
    <row r="442" spans="1:15" ht="15" customHeight="1" x14ac:dyDescent="0.25">
      <c r="A442" t="s">
        <v>479</v>
      </c>
      <c r="B442" s="2">
        <v>45748</v>
      </c>
      <c r="C442" t="s">
        <v>16</v>
      </c>
      <c r="D442" t="s">
        <v>17</v>
      </c>
      <c r="E442" t="s">
        <v>18</v>
      </c>
      <c r="F442" t="s">
        <v>43</v>
      </c>
      <c r="G442" t="s">
        <v>44</v>
      </c>
      <c r="H442">
        <v>6</v>
      </c>
      <c r="I442" s="18">
        <v>1230.43</v>
      </c>
      <c r="J442" s="18">
        <f t="shared" si="30"/>
        <v>7382.58</v>
      </c>
      <c r="K442" s="18">
        <v>4813.5</v>
      </c>
      <c r="L442" s="18">
        <f t="shared" si="31"/>
        <v>2569.08</v>
      </c>
      <c r="M442" s="3">
        <f t="shared" si="32"/>
        <v>0.34799216534057198</v>
      </c>
      <c r="N442" s="4">
        <f t="shared" si="33"/>
        <v>45748</v>
      </c>
      <c r="O442" t="str">
        <f t="shared" si="34"/>
        <v>Apr</v>
      </c>
    </row>
    <row r="443" spans="1:15" ht="15" customHeight="1" x14ac:dyDescent="0.25">
      <c r="A443" t="s">
        <v>480</v>
      </c>
      <c r="B443" s="2">
        <v>46011</v>
      </c>
      <c r="C443" t="s">
        <v>22</v>
      </c>
      <c r="D443" t="s">
        <v>17</v>
      </c>
      <c r="E443" t="s">
        <v>39</v>
      </c>
      <c r="F443" t="s">
        <v>35</v>
      </c>
      <c r="G443" t="s">
        <v>20</v>
      </c>
      <c r="H443">
        <v>5</v>
      </c>
      <c r="I443" s="18">
        <v>2652.5</v>
      </c>
      <c r="J443" s="18">
        <f t="shared" si="30"/>
        <v>13262.5</v>
      </c>
      <c r="K443" s="18">
        <v>9697.1</v>
      </c>
      <c r="L443" s="18">
        <f t="shared" si="31"/>
        <v>3565.3999999999996</v>
      </c>
      <c r="M443" s="3">
        <f t="shared" si="32"/>
        <v>0.26883317624882186</v>
      </c>
      <c r="N443" s="4">
        <f t="shared" si="33"/>
        <v>45992</v>
      </c>
      <c r="O443" t="str">
        <f t="shared" si="34"/>
        <v>Dec</v>
      </c>
    </row>
    <row r="444" spans="1:15" ht="15" customHeight="1" x14ac:dyDescent="0.25">
      <c r="A444" t="s">
        <v>481</v>
      </c>
      <c r="B444" s="2">
        <v>45842</v>
      </c>
      <c r="C444" t="s">
        <v>31</v>
      </c>
      <c r="D444" t="s">
        <v>23</v>
      </c>
      <c r="E444" t="s">
        <v>39</v>
      </c>
      <c r="F444" t="s">
        <v>46</v>
      </c>
      <c r="G444" t="s">
        <v>28</v>
      </c>
      <c r="H444">
        <v>1</v>
      </c>
      <c r="I444" s="18">
        <v>17859.16</v>
      </c>
      <c r="J444" s="18">
        <f t="shared" si="30"/>
        <v>17859.16</v>
      </c>
      <c r="K444" s="18">
        <v>11863.16</v>
      </c>
      <c r="L444" s="18">
        <f t="shared" si="31"/>
        <v>5996</v>
      </c>
      <c r="M444" s="3">
        <f t="shared" si="32"/>
        <v>0.33573807502704495</v>
      </c>
      <c r="N444" s="4">
        <f t="shared" si="33"/>
        <v>45839</v>
      </c>
      <c r="O444" t="str">
        <f t="shared" si="34"/>
        <v>Jul</v>
      </c>
    </row>
    <row r="445" spans="1:15" ht="15" customHeight="1" x14ac:dyDescent="0.25">
      <c r="A445" t="s">
        <v>482</v>
      </c>
      <c r="B445" s="2">
        <v>45839</v>
      </c>
      <c r="C445" t="s">
        <v>26</v>
      </c>
      <c r="D445" t="s">
        <v>17</v>
      </c>
      <c r="E445" t="s">
        <v>52</v>
      </c>
      <c r="F445" t="s">
        <v>46</v>
      </c>
      <c r="G445" t="s">
        <v>28</v>
      </c>
      <c r="H445">
        <v>8</v>
      </c>
      <c r="I445" s="18">
        <v>21589.79</v>
      </c>
      <c r="J445" s="18">
        <f t="shared" si="30"/>
        <v>172718.32</v>
      </c>
      <c r="K445" s="18">
        <v>115972.93</v>
      </c>
      <c r="L445" s="18">
        <f t="shared" si="31"/>
        <v>56745.390000000014</v>
      </c>
      <c r="M445" s="3">
        <f t="shared" si="32"/>
        <v>0.32854297100620256</v>
      </c>
      <c r="N445" s="4">
        <f t="shared" si="33"/>
        <v>45839</v>
      </c>
      <c r="O445" t="str">
        <f t="shared" si="34"/>
        <v>Jul</v>
      </c>
    </row>
    <row r="446" spans="1:15" ht="15" customHeight="1" x14ac:dyDescent="0.25">
      <c r="A446" t="s">
        <v>483</v>
      </c>
      <c r="B446" s="2">
        <v>45743</v>
      </c>
      <c r="C446" t="s">
        <v>26</v>
      </c>
      <c r="D446" t="s">
        <v>17</v>
      </c>
      <c r="E446" t="s">
        <v>39</v>
      </c>
      <c r="F446" t="s">
        <v>46</v>
      </c>
      <c r="G446" t="s">
        <v>28</v>
      </c>
      <c r="H446">
        <v>2</v>
      </c>
      <c r="I446" s="18">
        <v>14571.65</v>
      </c>
      <c r="J446" s="18">
        <f t="shared" si="30"/>
        <v>29143.3</v>
      </c>
      <c r="K446" s="18">
        <v>19306.57</v>
      </c>
      <c r="L446" s="18">
        <f t="shared" si="31"/>
        <v>9836.73</v>
      </c>
      <c r="M446" s="3">
        <f t="shared" si="32"/>
        <v>0.33752972381302049</v>
      </c>
      <c r="N446" s="4">
        <f t="shared" si="33"/>
        <v>45717</v>
      </c>
      <c r="O446" t="str">
        <f t="shared" si="34"/>
        <v>Mar</v>
      </c>
    </row>
    <row r="447" spans="1:15" ht="15" customHeight="1" x14ac:dyDescent="0.25">
      <c r="A447" t="s">
        <v>484</v>
      </c>
      <c r="B447" s="2">
        <v>46021</v>
      </c>
      <c r="C447" t="s">
        <v>22</v>
      </c>
      <c r="D447" t="s">
        <v>17</v>
      </c>
      <c r="E447" t="s">
        <v>52</v>
      </c>
      <c r="F447" t="s">
        <v>27</v>
      </c>
      <c r="G447" t="s">
        <v>28</v>
      </c>
      <c r="H447">
        <v>8</v>
      </c>
      <c r="I447" s="18">
        <v>19981.09</v>
      </c>
      <c r="J447" s="18">
        <f t="shared" si="30"/>
        <v>159848.72</v>
      </c>
      <c r="K447" s="18">
        <v>128726.94</v>
      </c>
      <c r="L447" s="18">
        <f t="shared" si="31"/>
        <v>31121.78</v>
      </c>
      <c r="M447" s="3">
        <f t="shared" si="32"/>
        <v>0.19469520932041245</v>
      </c>
      <c r="N447" s="4">
        <f t="shared" si="33"/>
        <v>45992</v>
      </c>
      <c r="O447" t="str">
        <f t="shared" si="34"/>
        <v>Dec</v>
      </c>
    </row>
    <row r="448" spans="1:15" ht="15" customHeight="1" x14ac:dyDescent="0.25">
      <c r="A448" t="s">
        <v>485</v>
      </c>
      <c r="B448" s="2">
        <v>45752</v>
      </c>
      <c r="C448" t="s">
        <v>16</v>
      </c>
      <c r="D448" t="s">
        <v>23</v>
      </c>
      <c r="E448" t="s">
        <v>52</v>
      </c>
      <c r="F448" t="s">
        <v>37</v>
      </c>
      <c r="G448" t="s">
        <v>20</v>
      </c>
      <c r="H448">
        <v>5</v>
      </c>
      <c r="I448" s="18">
        <v>12021.19</v>
      </c>
      <c r="J448" s="18">
        <f t="shared" si="30"/>
        <v>60105.950000000004</v>
      </c>
      <c r="K448" s="18">
        <v>44969.3</v>
      </c>
      <c r="L448" s="18">
        <f t="shared" si="31"/>
        <v>15136.650000000001</v>
      </c>
      <c r="M448" s="3">
        <f t="shared" si="32"/>
        <v>0.25183280523808377</v>
      </c>
      <c r="N448" s="4">
        <f t="shared" si="33"/>
        <v>45748</v>
      </c>
      <c r="O448" t="str">
        <f t="shared" si="34"/>
        <v>Apr</v>
      </c>
    </row>
    <row r="449" spans="1:15" ht="15" customHeight="1" x14ac:dyDescent="0.25">
      <c r="A449" t="s">
        <v>486</v>
      </c>
      <c r="B449" s="2">
        <v>45861</v>
      </c>
      <c r="C449" t="s">
        <v>22</v>
      </c>
      <c r="D449" t="s">
        <v>23</v>
      </c>
      <c r="E449" t="s">
        <v>18</v>
      </c>
      <c r="F449" t="s">
        <v>19</v>
      </c>
      <c r="G449" t="s">
        <v>20</v>
      </c>
      <c r="H449">
        <v>8</v>
      </c>
      <c r="I449" s="18">
        <v>1435.77</v>
      </c>
      <c r="J449" s="18">
        <f t="shared" si="30"/>
        <v>11486.16</v>
      </c>
      <c r="K449" s="18">
        <v>6734.65</v>
      </c>
      <c r="L449" s="18">
        <f t="shared" si="31"/>
        <v>4751.51</v>
      </c>
      <c r="M449" s="3">
        <f t="shared" si="32"/>
        <v>0.41367262862436188</v>
      </c>
      <c r="N449" s="4">
        <f t="shared" si="33"/>
        <v>45839</v>
      </c>
      <c r="O449" t="str">
        <f t="shared" si="34"/>
        <v>Jul</v>
      </c>
    </row>
    <row r="450" spans="1:15" ht="15" customHeight="1" x14ac:dyDescent="0.25">
      <c r="A450" t="s">
        <v>487</v>
      </c>
      <c r="B450" s="2">
        <v>45792</v>
      </c>
      <c r="C450" t="s">
        <v>26</v>
      </c>
      <c r="D450" t="s">
        <v>17</v>
      </c>
      <c r="E450" t="s">
        <v>52</v>
      </c>
      <c r="F450" t="s">
        <v>62</v>
      </c>
      <c r="G450" t="s">
        <v>20</v>
      </c>
      <c r="H450">
        <v>7</v>
      </c>
      <c r="I450" s="18">
        <v>1529.38</v>
      </c>
      <c r="J450" s="18">
        <f t="shared" ref="J450:J513" si="35">H450*I450</f>
        <v>10705.66</v>
      </c>
      <c r="K450" s="18">
        <v>6844.93</v>
      </c>
      <c r="L450" s="18">
        <f t="shared" ref="L450:L513" si="36">J450-K450</f>
        <v>3860.7299999999996</v>
      </c>
      <c r="M450" s="3">
        <f t="shared" ref="M450:M513" si="37">IFERROR(L450/J450,0)</f>
        <v>0.36062512726912677</v>
      </c>
      <c r="N450" s="4">
        <f t="shared" ref="N450:N513" si="38">DATE(YEAR(B450),MONTH(B450),1)</f>
        <v>45778</v>
      </c>
      <c r="O450" t="str">
        <f t="shared" ref="O450:O513" si="39">TEXT(N450,"mmm")</f>
        <v>May</v>
      </c>
    </row>
    <row r="451" spans="1:15" ht="15" customHeight="1" x14ac:dyDescent="0.25">
      <c r="A451" t="s">
        <v>488</v>
      </c>
      <c r="B451" s="2">
        <v>45725</v>
      </c>
      <c r="C451" t="s">
        <v>22</v>
      </c>
      <c r="D451" t="s">
        <v>17</v>
      </c>
      <c r="E451" t="s">
        <v>33</v>
      </c>
      <c r="F451" t="s">
        <v>50</v>
      </c>
      <c r="G451" t="s">
        <v>28</v>
      </c>
      <c r="H451">
        <v>6</v>
      </c>
      <c r="I451" s="18">
        <v>305.54000000000002</v>
      </c>
      <c r="J451" s="18">
        <f t="shared" si="35"/>
        <v>1833.2400000000002</v>
      </c>
      <c r="K451" s="18">
        <v>1206.3599999999999</v>
      </c>
      <c r="L451" s="18">
        <f t="shared" si="36"/>
        <v>626.88000000000034</v>
      </c>
      <c r="M451" s="3">
        <f t="shared" si="37"/>
        <v>0.34195195391765415</v>
      </c>
      <c r="N451" s="4">
        <f t="shared" si="38"/>
        <v>45717</v>
      </c>
      <c r="O451" t="str">
        <f t="shared" si="39"/>
        <v>Mar</v>
      </c>
    </row>
    <row r="452" spans="1:15" ht="15" customHeight="1" x14ac:dyDescent="0.25">
      <c r="A452" t="s">
        <v>489</v>
      </c>
      <c r="B452" s="2">
        <v>45797</v>
      </c>
      <c r="C452" t="s">
        <v>22</v>
      </c>
      <c r="D452" t="s">
        <v>17</v>
      </c>
      <c r="E452" t="s">
        <v>39</v>
      </c>
      <c r="F452" t="s">
        <v>50</v>
      </c>
      <c r="G452" t="s">
        <v>28</v>
      </c>
      <c r="H452">
        <v>3</v>
      </c>
      <c r="I452" s="18">
        <v>981.51</v>
      </c>
      <c r="J452" s="18">
        <f t="shared" si="35"/>
        <v>2944.5299999999997</v>
      </c>
      <c r="K452" s="18">
        <v>2030.46</v>
      </c>
      <c r="L452" s="18">
        <f t="shared" si="36"/>
        <v>914.06999999999971</v>
      </c>
      <c r="M452" s="3">
        <f t="shared" si="37"/>
        <v>0.31042984788743866</v>
      </c>
      <c r="N452" s="4">
        <f t="shared" si="38"/>
        <v>45778</v>
      </c>
      <c r="O452" t="str">
        <f t="shared" si="39"/>
        <v>May</v>
      </c>
    </row>
    <row r="453" spans="1:15" ht="15" customHeight="1" x14ac:dyDescent="0.25">
      <c r="A453" t="s">
        <v>490</v>
      </c>
      <c r="B453" s="2">
        <v>45904</v>
      </c>
      <c r="C453" t="s">
        <v>26</v>
      </c>
      <c r="D453" t="s">
        <v>23</v>
      </c>
      <c r="E453" t="s">
        <v>18</v>
      </c>
      <c r="F453" t="s">
        <v>50</v>
      </c>
      <c r="G453" t="s">
        <v>28</v>
      </c>
      <c r="H453">
        <v>5</v>
      </c>
      <c r="I453" s="18">
        <v>683.16</v>
      </c>
      <c r="J453" s="18">
        <f t="shared" si="35"/>
        <v>3415.7999999999997</v>
      </c>
      <c r="K453" s="18">
        <v>2194.15</v>
      </c>
      <c r="L453" s="18">
        <f t="shared" si="36"/>
        <v>1221.6499999999996</v>
      </c>
      <c r="M453" s="3">
        <f t="shared" si="37"/>
        <v>0.35764681772937518</v>
      </c>
      <c r="N453" s="4">
        <f t="shared" si="38"/>
        <v>45901</v>
      </c>
      <c r="O453" t="str">
        <f t="shared" si="39"/>
        <v>Sep</v>
      </c>
    </row>
    <row r="454" spans="1:15" ht="15" customHeight="1" x14ac:dyDescent="0.25">
      <c r="A454" t="s">
        <v>491</v>
      </c>
      <c r="B454" s="2">
        <v>45925</v>
      </c>
      <c r="C454" t="s">
        <v>22</v>
      </c>
      <c r="D454" t="s">
        <v>17</v>
      </c>
      <c r="E454" t="s">
        <v>18</v>
      </c>
      <c r="F454" t="s">
        <v>35</v>
      </c>
      <c r="G454" t="s">
        <v>20</v>
      </c>
      <c r="H454">
        <v>1</v>
      </c>
      <c r="I454" s="18">
        <v>3371.01</v>
      </c>
      <c r="J454" s="18">
        <f t="shared" si="35"/>
        <v>3371.01</v>
      </c>
      <c r="K454" s="18">
        <v>2353.1799999999998</v>
      </c>
      <c r="L454" s="18">
        <f t="shared" si="36"/>
        <v>1017.8300000000004</v>
      </c>
      <c r="M454" s="3">
        <f t="shared" si="37"/>
        <v>0.3019362149622814</v>
      </c>
      <c r="N454" s="4">
        <f t="shared" si="38"/>
        <v>45901</v>
      </c>
      <c r="O454" t="str">
        <f t="shared" si="39"/>
        <v>Sep</v>
      </c>
    </row>
    <row r="455" spans="1:15" ht="15" customHeight="1" x14ac:dyDescent="0.25">
      <c r="A455" t="s">
        <v>492</v>
      </c>
      <c r="B455" s="2">
        <v>45878</v>
      </c>
      <c r="C455" t="s">
        <v>22</v>
      </c>
      <c r="D455" t="s">
        <v>17</v>
      </c>
      <c r="E455" t="s">
        <v>52</v>
      </c>
      <c r="F455" t="s">
        <v>27</v>
      </c>
      <c r="G455" t="s">
        <v>28</v>
      </c>
      <c r="H455">
        <v>1</v>
      </c>
      <c r="I455" s="18">
        <v>18962.09</v>
      </c>
      <c r="J455" s="18">
        <f t="shared" si="35"/>
        <v>18962.09</v>
      </c>
      <c r="K455" s="18">
        <v>11856.18</v>
      </c>
      <c r="L455" s="18">
        <f t="shared" si="36"/>
        <v>7105.91</v>
      </c>
      <c r="M455" s="3">
        <f t="shared" si="37"/>
        <v>0.37474297400761203</v>
      </c>
      <c r="N455" s="4">
        <f t="shared" si="38"/>
        <v>45870</v>
      </c>
      <c r="O455" t="str">
        <f t="shared" si="39"/>
        <v>Aug</v>
      </c>
    </row>
    <row r="456" spans="1:15" ht="15" customHeight="1" x14ac:dyDescent="0.25">
      <c r="A456" t="s">
        <v>493</v>
      </c>
      <c r="B456" s="2">
        <v>45741</v>
      </c>
      <c r="C456" t="s">
        <v>26</v>
      </c>
      <c r="D456" t="s">
        <v>17</v>
      </c>
      <c r="E456" t="s">
        <v>33</v>
      </c>
      <c r="F456" t="s">
        <v>43</v>
      </c>
      <c r="G456" t="s">
        <v>44</v>
      </c>
      <c r="H456">
        <v>2</v>
      </c>
      <c r="I456" s="18">
        <v>510.93</v>
      </c>
      <c r="J456" s="18">
        <f t="shared" si="35"/>
        <v>1021.86</v>
      </c>
      <c r="K456" s="18">
        <v>651.42999999999995</v>
      </c>
      <c r="L456" s="18">
        <f t="shared" si="36"/>
        <v>370.43000000000006</v>
      </c>
      <c r="M456" s="3">
        <f t="shared" si="37"/>
        <v>0.36250562699391314</v>
      </c>
      <c r="N456" s="4">
        <f t="shared" si="38"/>
        <v>45717</v>
      </c>
      <c r="O456" t="str">
        <f t="shared" si="39"/>
        <v>Mar</v>
      </c>
    </row>
    <row r="457" spans="1:15" ht="15" customHeight="1" x14ac:dyDescent="0.25">
      <c r="A457" t="s">
        <v>494</v>
      </c>
      <c r="B457" s="2">
        <v>45795</v>
      </c>
      <c r="C457" t="s">
        <v>22</v>
      </c>
      <c r="D457" t="s">
        <v>17</v>
      </c>
      <c r="E457" t="s">
        <v>33</v>
      </c>
      <c r="F457" t="s">
        <v>43</v>
      </c>
      <c r="G457" t="s">
        <v>44</v>
      </c>
      <c r="H457">
        <v>3</v>
      </c>
      <c r="I457" s="18">
        <v>417.65</v>
      </c>
      <c r="J457" s="18">
        <f t="shared" si="35"/>
        <v>1252.9499999999998</v>
      </c>
      <c r="K457" s="18">
        <v>918.23</v>
      </c>
      <c r="L457" s="18">
        <f t="shared" si="36"/>
        <v>334.7199999999998</v>
      </c>
      <c r="M457" s="3">
        <f t="shared" si="37"/>
        <v>0.26714553653378015</v>
      </c>
      <c r="N457" s="4">
        <f t="shared" si="38"/>
        <v>45778</v>
      </c>
      <c r="O457" t="str">
        <f t="shared" si="39"/>
        <v>May</v>
      </c>
    </row>
    <row r="458" spans="1:15" ht="15" customHeight="1" x14ac:dyDescent="0.25">
      <c r="A458" t="s">
        <v>495</v>
      </c>
      <c r="B458" s="2">
        <v>45909</v>
      </c>
      <c r="C458" t="s">
        <v>16</v>
      </c>
      <c r="D458" t="s">
        <v>17</v>
      </c>
      <c r="E458" t="s">
        <v>39</v>
      </c>
      <c r="F458" t="s">
        <v>53</v>
      </c>
      <c r="G458" t="s">
        <v>44</v>
      </c>
      <c r="H458">
        <v>1</v>
      </c>
      <c r="I458" s="18">
        <v>1157.3900000000001</v>
      </c>
      <c r="J458" s="18">
        <f t="shared" si="35"/>
        <v>1157.3900000000001</v>
      </c>
      <c r="K458" s="18">
        <v>677.43</v>
      </c>
      <c r="L458" s="18">
        <f t="shared" si="36"/>
        <v>479.96000000000015</v>
      </c>
      <c r="M458" s="3">
        <f t="shared" si="37"/>
        <v>0.41469167696282161</v>
      </c>
      <c r="N458" s="4">
        <f t="shared" si="38"/>
        <v>45901</v>
      </c>
      <c r="O458" t="str">
        <f t="shared" si="39"/>
        <v>Sep</v>
      </c>
    </row>
    <row r="459" spans="1:15" ht="15" customHeight="1" x14ac:dyDescent="0.25">
      <c r="A459" t="s">
        <v>496</v>
      </c>
      <c r="B459" s="2">
        <v>45722</v>
      </c>
      <c r="C459" t="s">
        <v>26</v>
      </c>
      <c r="D459" t="s">
        <v>17</v>
      </c>
      <c r="E459" t="s">
        <v>39</v>
      </c>
      <c r="F459" t="s">
        <v>40</v>
      </c>
      <c r="G459" t="s">
        <v>20</v>
      </c>
      <c r="H459">
        <v>2</v>
      </c>
      <c r="I459" s="18">
        <v>453.91</v>
      </c>
      <c r="J459" s="18">
        <f t="shared" si="35"/>
        <v>907.82</v>
      </c>
      <c r="K459" s="18">
        <v>634.08000000000004</v>
      </c>
      <c r="L459" s="18">
        <f t="shared" si="36"/>
        <v>273.74</v>
      </c>
      <c r="M459" s="3">
        <f t="shared" si="37"/>
        <v>0.30153554669427862</v>
      </c>
      <c r="N459" s="4">
        <f t="shared" si="38"/>
        <v>45717</v>
      </c>
      <c r="O459" t="str">
        <f t="shared" si="39"/>
        <v>Mar</v>
      </c>
    </row>
    <row r="460" spans="1:15" ht="15" customHeight="1" x14ac:dyDescent="0.25">
      <c r="A460" t="s">
        <v>497</v>
      </c>
      <c r="B460" s="2">
        <v>45913</v>
      </c>
      <c r="C460" t="s">
        <v>16</v>
      </c>
      <c r="D460" t="s">
        <v>17</v>
      </c>
      <c r="E460" t="s">
        <v>24</v>
      </c>
      <c r="F460" t="s">
        <v>46</v>
      </c>
      <c r="G460" t="s">
        <v>28</v>
      </c>
      <c r="H460">
        <v>2</v>
      </c>
      <c r="I460" s="18">
        <v>17737.37</v>
      </c>
      <c r="J460" s="18">
        <f t="shared" si="35"/>
        <v>35474.74</v>
      </c>
      <c r="K460" s="18">
        <v>28677.59</v>
      </c>
      <c r="L460" s="18">
        <f t="shared" si="36"/>
        <v>6797.1499999999978</v>
      </c>
      <c r="M460" s="3">
        <f t="shared" si="37"/>
        <v>0.19160535073689047</v>
      </c>
      <c r="N460" s="4">
        <f t="shared" si="38"/>
        <v>45901</v>
      </c>
      <c r="O460" t="str">
        <f t="shared" si="39"/>
        <v>Sep</v>
      </c>
    </row>
    <row r="461" spans="1:15" ht="15" customHeight="1" x14ac:dyDescent="0.25">
      <c r="A461" t="s">
        <v>498</v>
      </c>
      <c r="B461" s="2">
        <v>45694</v>
      </c>
      <c r="C461" t="s">
        <v>16</v>
      </c>
      <c r="D461" t="s">
        <v>23</v>
      </c>
      <c r="E461" t="s">
        <v>24</v>
      </c>
      <c r="F461" t="s">
        <v>50</v>
      </c>
      <c r="G461" t="s">
        <v>28</v>
      </c>
      <c r="H461">
        <v>5</v>
      </c>
      <c r="I461" s="18">
        <v>474.3</v>
      </c>
      <c r="J461" s="18">
        <f t="shared" si="35"/>
        <v>2371.5</v>
      </c>
      <c r="K461" s="18">
        <v>1846.88</v>
      </c>
      <c r="L461" s="18">
        <f t="shared" si="36"/>
        <v>524.61999999999989</v>
      </c>
      <c r="M461" s="3">
        <f t="shared" si="37"/>
        <v>0.22121863799283151</v>
      </c>
      <c r="N461" s="4">
        <f t="shared" si="38"/>
        <v>45689</v>
      </c>
      <c r="O461" t="str">
        <f t="shared" si="39"/>
        <v>Feb</v>
      </c>
    </row>
    <row r="462" spans="1:15" ht="15" customHeight="1" x14ac:dyDescent="0.25">
      <c r="A462" t="s">
        <v>499</v>
      </c>
      <c r="B462" s="2">
        <v>45884</v>
      </c>
      <c r="C462" t="s">
        <v>31</v>
      </c>
      <c r="D462" t="s">
        <v>17</v>
      </c>
      <c r="E462" t="s">
        <v>24</v>
      </c>
      <c r="F462" t="s">
        <v>53</v>
      </c>
      <c r="G462" t="s">
        <v>44</v>
      </c>
      <c r="H462">
        <v>8</v>
      </c>
      <c r="I462" s="18">
        <v>1229.25</v>
      </c>
      <c r="J462" s="18">
        <f t="shared" si="35"/>
        <v>9834</v>
      </c>
      <c r="K462" s="18">
        <v>5925.48</v>
      </c>
      <c r="L462" s="18">
        <f t="shared" si="36"/>
        <v>3908.5200000000004</v>
      </c>
      <c r="M462" s="3">
        <f t="shared" si="37"/>
        <v>0.39744966442953023</v>
      </c>
      <c r="N462" s="4">
        <f t="shared" si="38"/>
        <v>45870</v>
      </c>
      <c r="O462" t="str">
        <f t="shared" si="39"/>
        <v>Aug</v>
      </c>
    </row>
    <row r="463" spans="1:15" ht="15" customHeight="1" x14ac:dyDescent="0.25">
      <c r="A463" t="s">
        <v>500</v>
      </c>
      <c r="B463" s="2">
        <v>46006</v>
      </c>
      <c r="C463" t="s">
        <v>16</v>
      </c>
      <c r="D463" t="s">
        <v>17</v>
      </c>
      <c r="E463" t="s">
        <v>24</v>
      </c>
      <c r="F463" t="s">
        <v>27</v>
      </c>
      <c r="G463" t="s">
        <v>28</v>
      </c>
      <c r="H463">
        <v>1</v>
      </c>
      <c r="I463" s="18">
        <v>14992.57</v>
      </c>
      <c r="J463" s="18">
        <f t="shared" si="35"/>
        <v>14992.57</v>
      </c>
      <c r="K463" s="18">
        <v>10673.2</v>
      </c>
      <c r="L463" s="18">
        <f t="shared" si="36"/>
        <v>4319.369999999999</v>
      </c>
      <c r="M463" s="3">
        <f t="shared" si="37"/>
        <v>0.28810070588298065</v>
      </c>
      <c r="N463" s="4">
        <f t="shared" si="38"/>
        <v>45992</v>
      </c>
      <c r="O463" t="str">
        <f t="shared" si="39"/>
        <v>Dec</v>
      </c>
    </row>
    <row r="464" spans="1:15" ht="15" customHeight="1" x14ac:dyDescent="0.25">
      <c r="A464" t="s">
        <v>501</v>
      </c>
      <c r="B464" s="2">
        <v>45984</v>
      </c>
      <c r="C464" t="s">
        <v>16</v>
      </c>
      <c r="D464" t="s">
        <v>23</v>
      </c>
      <c r="E464" t="s">
        <v>24</v>
      </c>
      <c r="F464" t="s">
        <v>27</v>
      </c>
      <c r="G464" t="s">
        <v>28</v>
      </c>
      <c r="H464">
        <v>1</v>
      </c>
      <c r="I464" s="18">
        <v>13146.32</v>
      </c>
      <c r="J464" s="18">
        <f t="shared" si="35"/>
        <v>13146.32</v>
      </c>
      <c r="K464" s="18">
        <v>8312.01</v>
      </c>
      <c r="L464" s="18">
        <f t="shared" si="36"/>
        <v>4834.3099999999995</v>
      </c>
      <c r="M464" s="3">
        <f t="shared" si="37"/>
        <v>0.36773104564623404</v>
      </c>
      <c r="N464" s="4">
        <f t="shared" si="38"/>
        <v>45962</v>
      </c>
      <c r="O464" t="str">
        <f t="shared" si="39"/>
        <v>Nov</v>
      </c>
    </row>
    <row r="465" spans="1:15" ht="15" customHeight="1" x14ac:dyDescent="0.25">
      <c r="A465" t="s">
        <v>502</v>
      </c>
      <c r="B465" s="2">
        <v>45824</v>
      </c>
      <c r="C465" t="s">
        <v>16</v>
      </c>
      <c r="D465" t="s">
        <v>17</v>
      </c>
      <c r="E465" t="s">
        <v>33</v>
      </c>
      <c r="F465" t="s">
        <v>37</v>
      </c>
      <c r="G465" t="s">
        <v>20</v>
      </c>
      <c r="H465">
        <v>2</v>
      </c>
      <c r="I465" s="18">
        <v>11497.32</v>
      </c>
      <c r="J465" s="18">
        <f t="shared" si="35"/>
        <v>22994.639999999999</v>
      </c>
      <c r="K465" s="18">
        <v>14678.43</v>
      </c>
      <c r="L465" s="18">
        <f t="shared" si="36"/>
        <v>8316.2099999999991</v>
      </c>
      <c r="M465" s="3">
        <f t="shared" si="37"/>
        <v>0.36165863001116777</v>
      </c>
      <c r="N465" s="4">
        <f t="shared" si="38"/>
        <v>45809</v>
      </c>
      <c r="O465" t="str">
        <f t="shared" si="39"/>
        <v>Jun</v>
      </c>
    </row>
    <row r="466" spans="1:15" ht="15" customHeight="1" x14ac:dyDescent="0.25">
      <c r="A466" t="s">
        <v>503</v>
      </c>
      <c r="B466" s="2">
        <v>45737</v>
      </c>
      <c r="C466" t="s">
        <v>26</v>
      </c>
      <c r="D466" t="s">
        <v>23</v>
      </c>
      <c r="E466" t="s">
        <v>18</v>
      </c>
      <c r="F466" t="s">
        <v>46</v>
      </c>
      <c r="G466" t="s">
        <v>28</v>
      </c>
      <c r="H466">
        <v>3</v>
      </c>
      <c r="I466" s="18">
        <v>21627.65</v>
      </c>
      <c r="J466" s="18">
        <f t="shared" si="35"/>
        <v>64882.950000000004</v>
      </c>
      <c r="K466" s="18">
        <v>48313.58</v>
      </c>
      <c r="L466" s="18">
        <f t="shared" si="36"/>
        <v>16569.370000000003</v>
      </c>
      <c r="M466" s="3">
        <f t="shared" si="37"/>
        <v>0.2553732529115893</v>
      </c>
      <c r="N466" s="4">
        <f t="shared" si="38"/>
        <v>45717</v>
      </c>
      <c r="O466" t="str">
        <f t="shared" si="39"/>
        <v>Mar</v>
      </c>
    </row>
    <row r="467" spans="1:15" ht="15" customHeight="1" x14ac:dyDescent="0.25">
      <c r="A467" t="s">
        <v>504</v>
      </c>
      <c r="B467" s="2">
        <v>45840</v>
      </c>
      <c r="C467" t="s">
        <v>26</v>
      </c>
      <c r="D467" t="s">
        <v>17</v>
      </c>
      <c r="E467" t="s">
        <v>52</v>
      </c>
      <c r="F467" t="s">
        <v>35</v>
      </c>
      <c r="G467" t="s">
        <v>20</v>
      </c>
      <c r="H467">
        <v>8</v>
      </c>
      <c r="I467" s="18">
        <v>1683.89</v>
      </c>
      <c r="J467" s="18">
        <f t="shared" si="35"/>
        <v>13471.12</v>
      </c>
      <c r="K467" s="18">
        <v>10987.07</v>
      </c>
      <c r="L467" s="18">
        <f t="shared" si="36"/>
        <v>2484.0500000000011</v>
      </c>
      <c r="M467" s="3">
        <f t="shared" si="37"/>
        <v>0.18439817921598212</v>
      </c>
      <c r="N467" s="4">
        <f t="shared" si="38"/>
        <v>45839</v>
      </c>
      <c r="O467" t="str">
        <f t="shared" si="39"/>
        <v>Jul</v>
      </c>
    </row>
    <row r="468" spans="1:15" ht="15" customHeight="1" x14ac:dyDescent="0.25">
      <c r="A468" t="s">
        <v>505</v>
      </c>
      <c r="B468" s="2">
        <v>45668</v>
      </c>
      <c r="C468" t="s">
        <v>26</v>
      </c>
      <c r="D468" t="s">
        <v>17</v>
      </c>
      <c r="E468" t="s">
        <v>52</v>
      </c>
      <c r="F468" t="s">
        <v>43</v>
      </c>
      <c r="G468" t="s">
        <v>44</v>
      </c>
      <c r="H468">
        <v>1</v>
      </c>
      <c r="I468" s="18">
        <v>504.51</v>
      </c>
      <c r="J468" s="18">
        <f t="shared" si="35"/>
        <v>504.51</v>
      </c>
      <c r="K468" s="18">
        <v>345.59</v>
      </c>
      <c r="L468" s="18">
        <f t="shared" si="36"/>
        <v>158.92000000000002</v>
      </c>
      <c r="M468" s="3">
        <f t="shared" si="37"/>
        <v>0.31499871162117704</v>
      </c>
      <c r="N468" s="4">
        <f t="shared" si="38"/>
        <v>45658</v>
      </c>
      <c r="O468" t="str">
        <f t="shared" si="39"/>
        <v>Jan</v>
      </c>
    </row>
    <row r="469" spans="1:15" ht="15" customHeight="1" x14ac:dyDescent="0.25">
      <c r="A469" t="s">
        <v>506</v>
      </c>
      <c r="B469" s="2">
        <v>45948</v>
      </c>
      <c r="C469" t="s">
        <v>31</v>
      </c>
      <c r="D469" t="s">
        <v>23</v>
      </c>
      <c r="E469" t="s">
        <v>33</v>
      </c>
      <c r="F469" t="s">
        <v>35</v>
      </c>
      <c r="G469" t="s">
        <v>20</v>
      </c>
      <c r="H469">
        <v>8</v>
      </c>
      <c r="I469" s="18">
        <v>3579.58</v>
      </c>
      <c r="J469" s="18">
        <f t="shared" si="35"/>
        <v>28636.639999999999</v>
      </c>
      <c r="K469" s="18">
        <v>22322.95</v>
      </c>
      <c r="L469" s="18">
        <f t="shared" si="36"/>
        <v>6313.6899999999987</v>
      </c>
      <c r="M469" s="3">
        <f t="shared" si="37"/>
        <v>0.2204759357243028</v>
      </c>
      <c r="N469" s="4">
        <f t="shared" si="38"/>
        <v>45931</v>
      </c>
      <c r="O469" t="str">
        <f t="shared" si="39"/>
        <v>Oct</v>
      </c>
    </row>
    <row r="470" spans="1:15" ht="15" customHeight="1" x14ac:dyDescent="0.25">
      <c r="A470" t="s">
        <v>507</v>
      </c>
      <c r="B470" s="2">
        <v>45737</v>
      </c>
      <c r="C470" t="s">
        <v>22</v>
      </c>
      <c r="D470" t="s">
        <v>23</v>
      </c>
      <c r="E470" t="s">
        <v>18</v>
      </c>
      <c r="F470" t="s">
        <v>40</v>
      </c>
      <c r="G470" t="s">
        <v>20</v>
      </c>
      <c r="H470">
        <v>6</v>
      </c>
      <c r="I470" s="18">
        <v>796.62</v>
      </c>
      <c r="J470" s="18">
        <f t="shared" si="35"/>
        <v>4779.72</v>
      </c>
      <c r="K470" s="18">
        <v>3662.32</v>
      </c>
      <c r="L470" s="18">
        <f t="shared" si="36"/>
        <v>1117.4000000000001</v>
      </c>
      <c r="M470" s="3">
        <f t="shared" si="37"/>
        <v>0.23377938456645997</v>
      </c>
      <c r="N470" s="4">
        <f t="shared" si="38"/>
        <v>45717</v>
      </c>
      <c r="O470" t="str">
        <f t="shared" si="39"/>
        <v>Mar</v>
      </c>
    </row>
    <row r="471" spans="1:15" ht="15" customHeight="1" x14ac:dyDescent="0.25">
      <c r="A471" t="s">
        <v>508</v>
      </c>
      <c r="B471" s="2">
        <v>45975</v>
      </c>
      <c r="C471" t="s">
        <v>22</v>
      </c>
      <c r="D471" t="s">
        <v>23</v>
      </c>
      <c r="E471" t="s">
        <v>33</v>
      </c>
      <c r="F471" t="s">
        <v>46</v>
      </c>
      <c r="G471" t="s">
        <v>28</v>
      </c>
      <c r="H471">
        <v>2</v>
      </c>
      <c r="I471" s="18">
        <v>22401.42</v>
      </c>
      <c r="J471" s="18">
        <f t="shared" si="35"/>
        <v>44802.84</v>
      </c>
      <c r="K471" s="18">
        <v>31780.880000000001</v>
      </c>
      <c r="L471" s="18">
        <f t="shared" si="36"/>
        <v>13021.959999999995</v>
      </c>
      <c r="M471" s="3">
        <f t="shared" si="37"/>
        <v>0.29065032484547848</v>
      </c>
      <c r="N471" s="4">
        <f t="shared" si="38"/>
        <v>45962</v>
      </c>
      <c r="O471" t="str">
        <f t="shared" si="39"/>
        <v>Nov</v>
      </c>
    </row>
    <row r="472" spans="1:15" ht="15" customHeight="1" x14ac:dyDescent="0.25">
      <c r="A472" t="s">
        <v>509</v>
      </c>
      <c r="B472" s="2">
        <v>46007</v>
      </c>
      <c r="C472" t="s">
        <v>16</v>
      </c>
      <c r="D472" t="s">
        <v>23</v>
      </c>
      <c r="E472" t="s">
        <v>33</v>
      </c>
      <c r="F472" t="s">
        <v>40</v>
      </c>
      <c r="G472" t="s">
        <v>20</v>
      </c>
      <c r="H472">
        <v>5</v>
      </c>
      <c r="I472" s="18">
        <v>845.88</v>
      </c>
      <c r="J472" s="18">
        <f t="shared" si="35"/>
        <v>4229.3999999999996</v>
      </c>
      <c r="K472" s="18">
        <v>3103.61</v>
      </c>
      <c r="L472" s="18">
        <f t="shared" si="36"/>
        <v>1125.7899999999995</v>
      </c>
      <c r="M472" s="3">
        <f t="shared" si="37"/>
        <v>0.26618196434482422</v>
      </c>
      <c r="N472" s="4">
        <f t="shared" si="38"/>
        <v>45992</v>
      </c>
      <c r="O472" t="str">
        <f t="shared" si="39"/>
        <v>Dec</v>
      </c>
    </row>
    <row r="473" spans="1:15" ht="15" customHeight="1" x14ac:dyDescent="0.25">
      <c r="A473" t="s">
        <v>510</v>
      </c>
      <c r="B473" s="2">
        <v>45995</v>
      </c>
      <c r="C473" t="s">
        <v>16</v>
      </c>
      <c r="D473" t="s">
        <v>23</v>
      </c>
      <c r="E473" t="s">
        <v>33</v>
      </c>
      <c r="F473" t="s">
        <v>19</v>
      </c>
      <c r="G473" t="s">
        <v>20</v>
      </c>
      <c r="H473">
        <v>1</v>
      </c>
      <c r="I473" s="18">
        <v>1846.04</v>
      </c>
      <c r="J473" s="18">
        <f t="shared" si="35"/>
        <v>1846.04</v>
      </c>
      <c r="K473" s="18">
        <v>1285.75</v>
      </c>
      <c r="L473" s="18">
        <f t="shared" si="36"/>
        <v>560.29</v>
      </c>
      <c r="M473" s="3">
        <f t="shared" si="37"/>
        <v>0.30350913306320554</v>
      </c>
      <c r="N473" s="4">
        <f t="shared" si="38"/>
        <v>45992</v>
      </c>
      <c r="O473" t="str">
        <f t="shared" si="39"/>
        <v>Dec</v>
      </c>
    </row>
    <row r="474" spans="1:15" ht="15" customHeight="1" x14ac:dyDescent="0.25">
      <c r="A474" t="s">
        <v>511</v>
      </c>
      <c r="B474" s="2">
        <v>45986</v>
      </c>
      <c r="C474" t="s">
        <v>16</v>
      </c>
      <c r="D474" t="s">
        <v>23</v>
      </c>
      <c r="E474" t="s">
        <v>52</v>
      </c>
      <c r="F474" t="s">
        <v>43</v>
      </c>
      <c r="G474" t="s">
        <v>44</v>
      </c>
      <c r="H474">
        <v>5</v>
      </c>
      <c r="I474" s="18">
        <v>716.94</v>
      </c>
      <c r="J474" s="18">
        <f t="shared" si="35"/>
        <v>3584.7000000000003</v>
      </c>
      <c r="K474" s="18">
        <v>2269.02</v>
      </c>
      <c r="L474" s="18">
        <f t="shared" si="36"/>
        <v>1315.6800000000003</v>
      </c>
      <c r="M474" s="3">
        <f t="shared" si="37"/>
        <v>0.36702652941668762</v>
      </c>
      <c r="N474" s="4">
        <f t="shared" si="38"/>
        <v>45962</v>
      </c>
      <c r="O474" t="str">
        <f t="shared" si="39"/>
        <v>Nov</v>
      </c>
    </row>
    <row r="475" spans="1:15" ht="15" customHeight="1" x14ac:dyDescent="0.25">
      <c r="A475" t="s">
        <v>512</v>
      </c>
      <c r="B475" s="2">
        <v>45993</v>
      </c>
      <c r="C475" t="s">
        <v>22</v>
      </c>
      <c r="D475" t="s">
        <v>17</v>
      </c>
      <c r="E475" t="s">
        <v>18</v>
      </c>
      <c r="F475" t="s">
        <v>40</v>
      </c>
      <c r="G475" t="s">
        <v>20</v>
      </c>
      <c r="H475">
        <v>1</v>
      </c>
      <c r="I475" s="18">
        <v>1040.24</v>
      </c>
      <c r="J475" s="18">
        <f t="shared" si="35"/>
        <v>1040.24</v>
      </c>
      <c r="K475" s="18">
        <v>788.95</v>
      </c>
      <c r="L475" s="18">
        <f t="shared" si="36"/>
        <v>251.28999999999996</v>
      </c>
      <c r="M475" s="3">
        <f t="shared" si="37"/>
        <v>0.24156925324925013</v>
      </c>
      <c r="N475" s="4">
        <f t="shared" si="38"/>
        <v>45992</v>
      </c>
      <c r="O475" t="str">
        <f t="shared" si="39"/>
        <v>Dec</v>
      </c>
    </row>
    <row r="476" spans="1:15" ht="15" customHeight="1" x14ac:dyDescent="0.25">
      <c r="A476" t="s">
        <v>513</v>
      </c>
      <c r="B476" s="2">
        <v>45973</v>
      </c>
      <c r="C476" t="s">
        <v>31</v>
      </c>
      <c r="D476" t="s">
        <v>23</v>
      </c>
      <c r="E476" t="s">
        <v>18</v>
      </c>
      <c r="F476" t="s">
        <v>27</v>
      </c>
      <c r="G476" t="s">
        <v>28</v>
      </c>
      <c r="H476">
        <v>2</v>
      </c>
      <c r="I476" s="18">
        <v>18848.77</v>
      </c>
      <c r="J476" s="18">
        <f t="shared" si="35"/>
        <v>37697.54</v>
      </c>
      <c r="K476" s="18">
        <v>22569.69</v>
      </c>
      <c r="L476" s="18">
        <f t="shared" si="36"/>
        <v>15127.850000000002</v>
      </c>
      <c r="M476" s="3">
        <f t="shared" si="37"/>
        <v>0.40129541609346397</v>
      </c>
      <c r="N476" s="4">
        <f t="shared" si="38"/>
        <v>45962</v>
      </c>
      <c r="O476" t="str">
        <f t="shared" si="39"/>
        <v>Nov</v>
      </c>
    </row>
    <row r="477" spans="1:15" ht="15" customHeight="1" x14ac:dyDescent="0.25">
      <c r="A477" t="s">
        <v>514</v>
      </c>
      <c r="B477" s="2">
        <v>45776</v>
      </c>
      <c r="C477" t="s">
        <v>22</v>
      </c>
      <c r="D477" t="s">
        <v>23</v>
      </c>
      <c r="E477" t="s">
        <v>33</v>
      </c>
      <c r="F477" t="s">
        <v>50</v>
      </c>
      <c r="G477" t="s">
        <v>28</v>
      </c>
      <c r="H477">
        <v>4</v>
      </c>
      <c r="I477" s="18">
        <v>453.26</v>
      </c>
      <c r="J477" s="18">
        <f t="shared" si="35"/>
        <v>1813.04</v>
      </c>
      <c r="K477" s="18">
        <v>1463.85</v>
      </c>
      <c r="L477" s="18">
        <f t="shared" si="36"/>
        <v>349.19000000000005</v>
      </c>
      <c r="M477" s="3">
        <f t="shared" si="37"/>
        <v>0.19259917045404407</v>
      </c>
      <c r="N477" s="4">
        <f t="shared" si="38"/>
        <v>45748</v>
      </c>
      <c r="O477" t="str">
        <f t="shared" si="39"/>
        <v>Apr</v>
      </c>
    </row>
    <row r="478" spans="1:15" ht="15" customHeight="1" x14ac:dyDescent="0.25">
      <c r="A478" t="s">
        <v>515</v>
      </c>
      <c r="B478" s="2">
        <v>45841</v>
      </c>
      <c r="C478" t="s">
        <v>22</v>
      </c>
      <c r="D478" t="s">
        <v>17</v>
      </c>
      <c r="E478" t="s">
        <v>52</v>
      </c>
      <c r="F478" t="s">
        <v>40</v>
      </c>
      <c r="G478" t="s">
        <v>20</v>
      </c>
      <c r="H478">
        <v>2</v>
      </c>
      <c r="I478" s="18">
        <v>1077.0999999999999</v>
      </c>
      <c r="J478" s="18">
        <f t="shared" si="35"/>
        <v>2154.1999999999998</v>
      </c>
      <c r="K478" s="18">
        <v>1342.7</v>
      </c>
      <c r="L478" s="18">
        <f t="shared" si="36"/>
        <v>811.49999999999977</v>
      </c>
      <c r="M478" s="3">
        <f t="shared" si="37"/>
        <v>0.3767059697335437</v>
      </c>
      <c r="N478" s="4">
        <f t="shared" si="38"/>
        <v>45839</v>
      </c>
      <c r="O478" t="str">
        <f t="shared" si="39"/>
        <v>Jul</v>
      </c>
    </row>
    <row r="479" spans="1:15" ht="15" customHeight="1" x14ac:dyDescent="0.25">
      <c r="A479" t="s">
        <v>516</v>
      </c>
      <c r="B479" s="2">
        <v>45931</v>
      </c>
      <c r="C479" t="s">
        <v>26</v>
      </c>
      <c r="D479" t="s">
        <v>17</v>
      </c>
      <c r="E479" t="s">
        <v>24</v>
      </c>
      <c r="F479" t="s">
        <v>62</v>
      </c>
      <c r="G479" t="s">
        <v>20</v>
      </c>
      <c r="H479">
        <v>6</v>
      </c>
      <c r="I479" s="18">
        <v>3823.92</v>
      </c>
      <c r="J479" s="18">
        <f t="shared" si="35"/>
        <v>22943.52</v>
      </c>
      <c r="K479" s="18">
        <v>18796.34</v>
      </c>
      <c r="L479" s="18">
        <f t="shared" si="36"/>
        <v>4147.18</v>
      </c>
      <c r="M479" s="3">
        <f t="shared" si="37"/>
        <v>0.1807560478950048</v>
      </c>
      <c r="N479" s="4">
        <f t="shared" si="38"/>
        <v>45931</v>
      </c>
      <c r="O479" t="str">
        <f t="shared" si="39"/>
        <v>Oct</v>
      </c>
    </row>
    <row r="480" spans="1:15" ht="15" customHeight="1" x14ac:dyDescent="0.25">
      <c r="A480" t="s">
        <v>517</v>
      </c>
      <c r="B480" s="2">
        <v>45823</v>
      </c>
      <c r="C480" t="s">
        <v>22</v>
      </c>
      <c r="D480" t="s">
        <v>23</v>
      </c>
      <c r="E480" t="s">
        <v>18</v>
      </c>
      <c r="F480" t="s">
        <v>62</v>
      </c>
      <c r="G480" t="s">
        <v>20</v>
      </c>
      <c r="H480">
        <v>5</v>
      </c>
      <c r="I480" s="18">
        <v>2577.75</v>
      </c>
      <c r="J480" s="18">
        <f t="shared" si="35"/>
        <v>12888.75</v>
      </c>
      <c r="K480" s="18">
        <v>8874.89</v>
      </c>
      <c r="L480" s="18">
        <f t="shared" si="36"/>
        <v>4013.8600000000006</v>
      </c>
      <c r="M480" s="3">
        <f t="shared" si="37"/>
        <v>0.31142352827077885</v>
      </c>
      <c r="N480" s="4">
        <f t="shared" si="38"/>
        <v>45809</v>
      </c>
      <c r="O480" t="str">
        <f t="shared" si="39"/>
        <v>Jun</v>
      </c>
    </row>
    <row r="481" spans="1:15" ht="15" customHeight="1" x14ac:dyDescent="0.25">
      <c r="A481" t="s">
        <v>518</v>
      </c>
      <c r="B481" s="2">
        <v>45803</v>
      </c>
      <c r="C481" t="s">
        <v>31</v>
      </c>
      <c r="D481" t="s">
        <v>17</v>
      </c>
      <c r="E481" t="s">
        <v>18</v>
      </c>
      <c r="F481" t="s">
        <v>62</v>
      </c>
      <c r="G481" t="s">
        <v>20</v>
      </c>
      <c r="H481">
        <v>5</v>
      </c>
      <c r="I481" s="18">
        <v>1808.04</v>
      </c>
      <c r="J481" s="18">
        <f t="shared" si="35"/>
        <v>9040.2000000000007</v>
      </c>
      <c r="K481" s="18">
        <v>7379.11</v>
      </c>
      <c r="L481" s="18">
        <f t="shared" si="36"/>
        <v>1661.0900000000011</v>
      </c>
      <c r="M481" s="3">
        <f t="shared" si="37"/>
        <v>0.18374482865423342</v>
      </c>
      <c r="N481" s="4">
        <f t="shared" si="38"/>
        <v>45778</v>
      </c>
      <c r="O481" t="str">
        <f t="shared" si="39"/>
        <v>May</v>
      </c>
    </row>
    <row r="482" spans="1:15" ht="15" customHeight="1" x14ac:dyDescent="0.25">
      <c r="A482" t="s">
        <v>519</v>
      </c>
      <c r="B482" s="2">
        <v>46011</v>
      </c>
      <c r="C482" t="s">
        <v>26</v>
      </c>
      <c r="D482" t="s">
        <v>17</v>
      </c>
      <c r="E482" t="s">
        <v>33</v>
      </c>
      <c r="F482" t="s">
        <v>27</v>
      </c>
      <c r="G482" t="s">
        <v>28</v>
      </c>
      <c r="H482">
        <v>1</v>
      </c>
      <c r="I482" s="18">
        <v>17927.77</v>
      </c>
      <c r="J482" s="18">
        <f t="shared" si="35"/>
        <v>17927.77</v>
      </c>
      <c r="K482" s="18">
        <v>11069.78</v>
      </c>
      <c r="L482" s="18">
        <f t="shared" si="36"/>
        <v>6857.99</v>
      </c>
      <c r="M482" s="3">
        <f t="shared" si="37"/>
        <v>0.38253447026596166</v>
      </c>
      <c r="N482" s="4">
        <f t="shared" si="38"/>
        <v>45992</v>
      </c>
      <c r="O482" t="str">
        <f t="shared" si="39"/>
        <v>Dec</v>
      </c>
    </row>
    <row r="483" spans="1:15" ht="15" customHeight="1" x14ac:dyDescent="0.25">
      <c r="A483" t="s">
        <v>520</v>
      </c>
      <c r="B483" s="2">
        <v>45785</v>
      </c>
      <c r="C483" t="s">
        <v>16</v>
      </c>
      <c r="D483" t="s">
        <v>17</v>
      </c>
      <c r="E483" t="s">
        <v>24</v>
      </c>
      <c r="F483" t="s">
        <v>53</v>
      </c>
      <c r="G483" t="s">
        <v>44</v>
      </c>
      <c r="H483">
        <v>7</v>
      </c>
      <c r="I483" s="18">
        <v>3406.41</v>
      </c>
      <c r="J483" s="18">
        <f t="shared" si="35"/>
        <v>23844.87</v>
      </c>
      <c r="K483" s="18">
        <v>15074.37</v>
      </c>
      <c r="L483" s="18">
        <f t="shared" si="36"/>
        <v>8770.4999999999982</v>
      </c>
      <c r="M483" s="3">
        <f t="shared" si="37"/>
        <v>0.36781496397338287</v>
      </c>
      <c r="N483" s="4">
        <f t="shared" si="38"/>
        <v>45778</v>
      </c>
      <c r="O483" t="str">
        <f t="shared" si="39"/>
        <v>May</v>
      </c>
    </row>
    <row r="484" spans="1:15" ht="15" customHeight="1" x14ac:dyDescent="0.25">
      <c r="A484" t="s">
        <v>521</v>
      </c>
      <c r="B484" s="2">
        <v>45746</v>
      </c>
      <c r="C484" t="s">
        <v>22</v>
      </c>
      <c r="D484" t="s">
        <v>23</v>
      </c>
      <c r="E484" t="s">
        <v>18</v>
      </c>
      <c r="F484" t="s">
        <v>40</v>
      </c>
      <c r="G484" t="s">
        <v>20</v>
      </c>
      <c r="H484">
        <v>5</v>
      </c>
      <c r="I484" s="18">
        <v>779.52</v>
      </c>
      <c r="J484" s="18">
        <f t="shared" si="35"/>
        <v>3897.6</v>
      </c>
      <c r="K484" s="18">
        <v>3016.75</v>
      </c>
      <c r="L484" s="18">
        <f t="shared" si="36"/>
        <v>880.84999999999991</v>
      </c>
      <c r="M484" s="3">
        <f t="shared" si="37"/>
        <v>0.22599805008210178</v>
      </c>
      <c r="N484" s="4">
        <f t="shared" si="38"/>
        <v>45717</v>
      </c>
      <c r="O484" t="str">
        <f t="shared" si="39"/>
        <v>Mar</v>
      </c>
    </row>
    <row r="485" spans="1:15" ht="15" customHeight="1" x14ac:dyDescent="0.25">
      <c r="A485" t="s">
        <v>522</v>
      </c>
      <c r="B485" s="2">
        <v>45829</v>
      </c>
      <c r="C485" t="s">
        <v>16</v>
      </c>
      <c r="D485" t="s">
        <v>17</v>
      </c>
      <c r="E485" t="s">
        <v>18</v>
      </c>
      <c r="F485" t="s">
        <v>46</v>
      </c>
      <c r="G485" t="s">
        <v>28</v>
      </c>
      <c r="H485">
        <v>2</v>
      </c>
      <c r="I485" s="18">
        <v>17306.82</v>
      </c>
      <c r="J485" s="18">
        <f t="shared" si="35"/>
        <v>34613.64</v>
      </c>
      <c r="K485" s="18">
        <v>21959.32</v>
      </c>
      <c r="L485" s="18">
        <f t="shared" si="36"/>
        <v>12654.32</v>
      </c>
      <c r="M485" s="3">
        <f t="shared" si="37"/>
        <v>0.36558767006301562</v>
      </c>
      <c r="N485" s="4">
        <f t="shared" si="38"/>
        <v>45809</v>
      </c>
      <c r="O485" t="str">
        <f t="shared" si="39"/>
        <v>Jun</v>
      </c>
    </row>
    <row r="486" spans="1:15" ht="15" customHeight="1" x14ac:dyDescent="0.25">
      <c r="A486" t="s">
        <v>523</v>
      </c>
      <c r="B486" s="2">
        <v>45814</v>
      </c>
      <c r="C486" t="s">
        <v>31</v>
      </c>
      <c r="D486" t="s">
        <v>23</v>
      </c>
      <c r="E486" t="s">
        <v>24</v>
      </c>
      <c r="F486" t="s">
        <v>50</v>
      </c>
      <c r="G486" t="s">
        <v>28</v>
      </c>
      <c r="H486">
        <v>3</v>
      </c>
      <c r="I486" s="18">
        <v>774.22</v>
      </c>
      <c r="J486" s="18">
        <f t="shared" si="35"/>
        <v>2322.66</v>
      </c>
      <c r="K486" s="18">
        <v>1736.11</v>
      </c>
      <c r="L486" s="18">
        <f t="shared" si="36"/>
        <v>586.54999999999995</v>
      </c>
      <c r="M486" s="3">
        <f t="shared" si="37"/>
        <v>0.25253373287523789</v>
      </c>
      <c r="N486" s="4">
        <f t="shared" si="38"/>
        <v>45809</v>
      </c>
      <c r="O486" t="str">
        <f t="shared" si="39"/>
        <v>Jun</v>
      </c>
    </row>
    <row r="487" spans="1:15" ht="15" customHeight="1" x14ac:dyDescent="0.25">
      <c r="A487" t="s">
        <v>524</v>
      </c>
      <c r="B487" s="2">
        <v>45886</v>
      </c>
      <c r="C487" t="s">
        <v>31</v>
      </c>
      <c r="D487" t="s">
        <v>17</v>
      </c>
      <c r="E487" t="s">
        <v>18</v>
      </c>
      <c r="F487" t="s">
        <v>62</v>
      </c>
      <c r="G487" t="s">
        <v>20</v>
      </c>
      <c r="H487">
        <v>7</v>
      </c>
      <c r="I487" s="18">
        <v>1568.17</v>
      </c>
      <c r="J487" s="18">
        <f t="shared" si="35"/>
        <v>10977.19</v>
      </c>
      <c r="K487" s="18">
        <v>7405.62</v>
      </c>
      <c r="L487" s="18">
        <f t="shared" si="36"/>
        <v>3571.5700000000006</v>
      </c>
      <c r="M487" s="3">
        <f t="shared" si="37"/>
        <v>0.32536286608868031</v>
      </c>
      <c r="N487" s="4">
        <f t="shared" si="38"/>
        <v>45870</v>
      </c>
      <c r="O487" t="str">
        <f t="shared" si="39"/>
        <v>Aug</v>
      </c>
    </row>
    <row r="488" spans="1:15" ht="15" customHeight="1" x14ac:dyDescent="0.25">
      <c r="A488" t="s">
        <v>525</v>
      </c>
      <c r="B488" s="2">
        <v>45901</v>
      </c>
      <c r="C488" t="s">
        <v>22</v>
      </c>
      <c r="D488" t="s">
        <v>23</v>
      </c>
      <c r="E488" t="s">
        <v>52</v>
      </c>
      <c r="F488" t="s">
        <v>62</v>
      </c>
      <c r="G488" t="s">
        <v>20</v>
      </c>
      <c r="H488">
        <v>7</v>
      </c>
      <c r="I488" s="18">
        <v>1241.1199999999999</v>
      </c>
      <c r="J488" s="18">
        <f t="shared" si="35"/>
        <v>8687.84</v>
      </c>
      <c r="K488" s="18">
        <v>5869.91</v>
      </c>
      <c r="L488" s="18">
        <f t="shared" si="36"/>
        <v>2817.9300000000003</v>
      </c>
      <c r="M488" s="3">
        <f t="shared" si="37"/>
        <v>0.32435334904878543</v>
      </c>
      <c r="N488" s="4">
        <f t="shared" si="38"/>
        <v>45901</v>
      </c>
      <c r="O488" t="str">
        <f t="shared" si="39"/>
        <v>Sep</v>
      </c>
    </row>
    <row r="489" spans="1:15" ht="15" customHeight="1" x14ac:dyDescent="0.25">
      <c r="A489" t="s">
        <v>526</v>
      </c>
      <c r="B489" s="2">
        <v>45904</v>
      </c>
      <c r="C489" t="s">
        <v>31</v>
      </c>
      <c r="D489" t="s">
        <v>23</v>
      </c>
      <c r="E489" t="s">
        <v>18</v>
      </c>
      <c r="F489" t="s">
        <v>50</v>
      </c>
      <c r="G489" t="s">
        <v>28</v>
      </c>
      <c r="H489">
        <v>4</v>
      </c>
      <c r="I489" s="18">
        <v>662</v>
      </c>
      <c r="J489" s="18">
        <f t="shared" si="35"/>
        <v>2648</v>
      </c>
      <c r="K489" s="18">
        <v>2169.5</v>
      </c>
      <c r="L489" s="18">
        <f t="shared" si="36"/>
        <v>478.5</v>
      </c>
      <c r="M489" s="3">
        <f t="shared" si="37"/>
        <v>0.180702416918429</v>
      </c>
      <c r="N489" s="4">
        <f t="shared" si="38"/>
        <v>45901</v>
      </c>
      <c r="O489" t="str">
        <f t="shared" si="39"/>
        <v>Sep</v>
      </c>
    </row>
    <row r="490" spans="1:15" ht="15" customHeight="1" x14ac:dyDescent="0.25">
      <c r="A490" t="s">
        <v>527</v>
      </c>
      <c r="B490" s="2">
        <v>45794</v>
      </c>
      <c r="C490" t="s">
        <v>26</v>
      </c>
      <c r="D490" t="s">
        <v>17</v>
      </c>
      <c r="E490" t="s">
        <v>33</v>
      </c>
      <c r="F490" t="s">
        <v>43</v>
      </c>
      <c r="G490" t="s">
        <v>44</v>
      </c>
      <c r="H490">
        <v>7</v>
      </c>
      <c r="I490" s="18">
        <v>359.42</v>
      </c>
      <c r="J490" s="18">
        <f t="shared" si="35"/>
        <v>2515.94</v>
      </c>
      <c r="K490" s="18">
        <v>1669.56</v>
      </c>
      <c r="L490" s="18">
        <f t="shared" si="36"/>
        <v>846.38000000000011</v>
      </c>
      <c r="M490" s="3">
        <f t="shared" si="37"/>
        <v>0.33640706853104607</v>
      </c>
      <c r="N490" s="4">
        <f t="shared" si="38"/>
        <v>45778</v>
      </c>
      <c r="O490" t="str">
        <f t="shared" si="39"/>
        <v>May</v>
      </c>
    </row>
    <row r="491" spans="1:15" ht="15" customHeight="1" x14ac:dyDescent="0.25">
      <c r="A491" t="s">
        <v>528</v>
      </c>
      <c r="B491" s="2">
        <v>45993</v>
      </c>
      <c r="C491" t="s">
        <v>22</v>
      </c>
      <c r="D491" t="s">
        <v>23</v>
      </c>
      <c r="E491" t="s">
        <v>24</v>
      </c>
      <c r="F491" t="s">
        <v>37</v>
      </c>
      <c r="G491" t="s">
        <v>20</v>
      </c>
      <c r="H491">
        <v>6</v>
      </c>
      <c r="I491" s="18">
        <v>22112.31</v>
      </c>
      <c r="J491" s="18">
        <f t="shared" si="35"/>
        <v>132673.86000000002</v>
      </c>
      <c r="K491" s="18">
        <v>108479.22</v>
      </c>
      <c r="L491" s="18">
        <f t="shared" si="36"/>
        <v>24194.640000000014</v>
      </c>
      <c r="M491" s="3">
        <f t="shared" si="37"/>
        <v>0.18236177043465843</v>
      </c>
      <c r="N491" s="4">
        <f t="shared" si="38"/>
        <v>45992</v>
      </c>
      <c r="O491" t="str">
        <f t="shared" si="39"/>
        <v>Dec</v>
      </c>
    </row>
    <row r="492" spans="1:15" ht="15" customHeight="1" x14ac:dyDescent="0.25">
      <c r="A492" t="s">
        <v>529</v>
      </c>
      <c r="B492" s="2">
        <v>45680</v>
      </c>
      <c r="C492" t="s">
        <v>31</v>
      </c>
      <c r="D492" t="s">
        <v>17</v>
      </c>
      <c r="E492" t="s">
        <v>18</v>
      </c>
      <c r="F492" t="s">
        <v>53</v>
      </c>
      <c r="G492" t="s">
        <v>44</v>
      </c>
      <c r="H492">
        <v>2</v>
      </c>
      <c r="I492" s="18">
        <v>3654.84</v>
      </c>
      <c r="J492" s="18">
        <f t="shared" si="35"/>
        <v>7309.68</v>
      </c>
      <c r="K492" s="18">
        <v>4335.29</v>
      </c>
      <c r="L492" s="18">
        <f t="shared" si="36"/>
        <v>2974.3900000000003</v>
      </c>
      <c r="M492" s="3">
        <f t="shared" si="37"/>
        <v>0.40691110965185895</v>
      </c>
      <c r="N492" s="4">
        <f t="shared" si="38"/>
        <v>45658</v>
      </c>
      <c r="O492" t="str">
        <f t="shared" si="39"/>
        <v>Jan</v>
      </c>
    </row>
    <row r="493" spans="1:15" ht="15" customHeight="1" x14ac:dyDescent="0.25">
      <c r="A493" t="s">
        <v>530</v>
      </c>
      <c r="B493" s="2">
        <v>45833</v>
      </c>
      <c r="C493" t="s">
        <v>31</v>
      </c>
      <c r="D493" t="s">
        <v>23</v>
      </c>
      <c r="E493" t="s">
        <v>33</v>
      </c>
      <c r="F493" t="s">
        <v>19</v>
      </c>
      <c r="G493" t="s">
        <v>20</v>
      </c>
      <c r="H493">
        <v>1</v>
      </c>
      <c r="I493" s="18">
        <v>4431.8</v>
      </c>
      <c r="J493" s="18">
        <f t="shared" si="35"/>
        <v>4431.8</v>
      </c>
      <c r="K493" s="18">
        <v>3357.55</v>
      </c>
      <c r="L493" s="18">
        <f t="shared" si="36"/>
        <v>1074.25</v>
      </c>
      <c r="M493" s="3">
        <f t="shared" si="37"/>
        <v>0.24239586623945122</v>
      </c>
      <c r="N493" s="4">
        <f t="shared" si="38"/>
        <v>45809</v>
      </c>
      <c r="O493" t="str">
        <f t="shared" si="39"/>
        <v>Jun</v>
      </c>
    </row>
    <row r="494" spans="1:15" ht="15" customHeight="1" x14ac:dyDescent="0.25">
      <c r="A494" t="s">
        <v>531</v>
      </c>
      <c r="B494" s="2">
        <v>45925</v>
      </c>
      <c r="C494" t="s">
        <v>22</v>
      </c>
      <c r="D494" t="s">
        <v>23</v>
      </c>
      <c r="E494" t="s">
        <v>39</v>
      </c>
      <c r="F494" t="s">
        <v>27</v>
      </c>
      <c r="G494" t="s">
        <v>28</v>
      </c>
      <c r="H494">
        <v>3</v>
      </c>
      <c r="I494" s="18">
        <v>18692.900000000001</v>
      </c>
      <c r="J494" s="18">
        <f t="shared" si="35"/>
        <v>56078.700000000004</v>
      </c>
      <c r="K494" s="18">
        <v>41519.69</v>
      </c>
      <c r="L494" s="18">
        <f t="shared" si="36"/>
        <v>14559.010000000002</v>
      </c>
      <c r="M494" s="3">
        <f t="shared" si="37"/>
        <v>0.25961746616808168</v>
      </c>
      <c r="N494" s="4">
        <f t="shared" si="38"/>
        <v>45901</v>
      </c>
      <c r="O494" t="str">
        <f t="shared" si="39"/>
        <v>Sep</v>
      </c>
    </row>
    <row r="495" spans="1:15" ht="15" customHeight="1" x14ac:dyDescent="0.25">
      <c r="A495" t="s">
        <v>532</v>
      </c>
      <c r="B495" s="2">
        <v>45745</v>
      </c>
      <c r="C495" t="s">
        <v>16</v>
      </c>
      <c r="D495" t="s">
        <v>23</v>
      </c>
      <c r="E495" t="s">
        <v>24</v>
      </c>
      <c r="F495" t="s">
        <v>37</v>
      </c>
      <c r="G495" t="s">
        <v>20</v>
      </c>
      <c r="H495">
        <v>5</v>
      </c>
      <c r="I495" s="18">
        <v>12432.65</v>
      </c>
      <c r="J495" s="18">
        <f t="shared" si="35"/>
        <v>62163.25</v>
      </c>
      <c r="K495" s="18">
        <v>45823.14</v>
      </c>
      <c r="L495" s="18">
        <f t="shared" si="36"/>
        <v>16340.11</v>
      </c>
      <c r="M495" s="3">
        <f t="shared" si="37"/>
        <v>0.26285803911475031</v>
      </c>
      <c r="N495" s="4">
        <f t="shared" si="38"/>
        <v>45717</v>
      </c>
      <c r="O495" t="str">
        <f t="shared" si="39"/>
        <v>Mar</v>
      </c>
    </row>
    <row r="496" spans="1:15" ht="15" customHeight="1" x14ac:dyDescent="0.25">
      <c r="A496" t="s">
        <v>533</v>
      </c>
      <c r="B496" s="2">
        <v>45996</v>
      </c>
      <c r="C496" t="s">
        <v>22</v>
      </c>
      <c r="D496" t="s">
        <v>23</v>
      </c>
      <c r="E496" t="s">
        <v>24</v>
      </c>
      <c r="F496" t="s">
        <v>27</v>
      </c>
      <c r="G496" t="s">
        <v>28</v>
      </c>
      <c r="H496">
        <v>2</v>
      </c>
      <c r="I496" s="18">
        <v>17951.59</v>
      </c>
      <c r="J496" s="18">
        <f t="shared" si="35"/>
        <v>35903.18</v>
      </c>
      <c r="K496" s="18">
        <v>28298.11</v>
      </c>
      <c r="L496" s="18">
        <f t="shared" si="36"/>
        <v>7605.07</v>
      </c>
      <c r="M496" s="3">
        <f t="shared" si="37"/>
        <v>0.21182162694223741</v>
      </c>
      <c r="N496" s="4">
        <f t="shared" si="38"/>
        <v>45992</v>
      </c>
      <c r="O496" t="str">
        <f t="shared" si="39"/>
        <v>Dec</v>
      </c>
    </row>
    <row r="497" spans="1:15" ht="15" customHeight="1" x14ac:dyDescent="0.25">
      <c r="A497" t="s">
        <v>534</v>
      </c>
      <c r="B497" s="2">
        <v>45918</v>
      </c>
      <c r="C497" t="s">
        <v>22</v>
      </c>
      <c r="D497" t="s">
        <v>23</v>
      </c>
      <c r="E497" t="s">
        <v>18</v>
      </c>
      <c r="F497" t="s">
        <v>19</v>
      </c>
      <c r="G497" t="s">
        <v>20</v>
      </c>
      <c r="H497">
        <v>2</v>
      </c>
      <c r="I497" s="18">
        <v>4564.57</v>
      </c>
      <c r="J497" s="18">
        <f t="shared" si="35"/>
        <v>9129.14</v>
      </c>
      <c r="K497" s="18">
        <v>6391.82</v>
      </c>
      <c r="L497" s="18">
        <f t="shared" si="36"/>
        <v>2737.3199999999997</v>
      </c>
      <c r="M497" s="3">
        <f t="shared" si="37"/>
        <v>0.29984423505390428</v>
      </c>
      <c r="N497" s="4">
        <f t="shared" si="38"/>
        <v>45901</v>
      </c>
      <c r="O497" t="str">
        <f t="shared" si="39"/>
        <v>Sep</v>
      </c>
    </row>
    <row r="498" spans="1:15" ht="15" customHeight="1" x14ac:dyDescent="0.25">
      <c r="A498" t="s">
        <v>535</v>
      </c>
      <c r="B498" s="2">
        <v>45784</v>
      </c>
      <c r="C498" t="s">
        <v>26</v>
      </c>
      <c r="D498" t="s">
        <v>17</v>
      </c>
      <c r="E498" t="s">
        <v>39</v>
      </c>
      <c r="F498" t="s">
        <v>50</v>
      </c>
      <c r="G498" t="s">
        <v>28</v>
      </c>
      <c r="H498">
        <v>7</v>
      </c>
      <c r="I498" s="18">
        <v>787.71</v>
      </c>
      <c r="J498" s="18">
        <f t="shared" si="35"/>
        <v>5513.97</v>
      </c>
      <c r="K498" s="18">
        <v>3222.42</v>
      </c>
      <c r="L498" s="18">
        <f t="shared" si="36"/>
        <v>2291.5500000000002</v>
      </c>
      <c r="M498" s="3">
        <f t="shared" si="37"/>
        <v>0.41558985631042605</v>
      </c>
      <c r="N498" s="4">
        <f t="shared" si="38"/>
        <v>45778</v>
      </c>
      <c r="O498" t="str">
        <f t="shared" si="39"/>
        <v>May</v>
      </c>
    </row>
    <row r="499" spans="1:15" ht="15" customHeight="1" x14ac:dyDescent="0.25">
      <c r="A499" t="s">
        <v>536</v>
      </c>
      <c r="B499" s="2">
        <v>45778</v>
      </c>
      <c r="C499" t="s">
        <v>16</v>
      </c>
      <c r="D499" t="s">
        <v>17</v>
      </c>
      <c r="E499" t="s">
        <v>52</v>
      </c>
      <c r="F499" t="s">
        <v>50</v>
      </c>
      <c r="G499" t="s">
        <v>28</v>
      </c>
      <c r="H499">
        <v>5</v>
      </c>
      <c r="I499" s="18">
        <v>957.4</v>
      </c>
      <c r="J499" s="18">
        <f t="shared" si="35"/>
        <v>4787</v>
      </c>
      <c r="K499" s="18">
        <v>3799.43</v>
      </c>
      <c r="L499" s="18">
        <f t="shared" si="36"/>
        <v>987.57000000000016</v>
      </c>
      <c r="M499" s="3">
        <f t="shared" si="37"/>
        <v>0.20630248589931066</v>
      </c>
      <c r="N499" s="4">
        <f t="shared" si="38"/>
        <v>45778</v>
      </c>
      <c r="O499" t="str">
        <f t="shared" si="39"/>
        <v>May</v>
      </c>
    </row>
    <row r="500" spans="1:15" ht="15" customHeight="1" x14ac:dyDescent="0.25">
      <c r="A500" t="s">
        <v>537</v>
      </c>
      <c r="B500" s="2">
        <v>45735</v>
      </c>
      <c r="C500" t="s">
        <v>31</v>
      </c>
      <c r="D500" t="s">
        <v>17</v>
      </c>
      <c r="E500" t="s">
        <v>52</v>
      </c>
      <c r="F500" t="s">
        <v>46</v>
      </c>
      <c r="G500" t="s">
        <v>28</v>
      </c>
      <c r="H500">
        <v>7</v>
      </c>
      <c r="I500" s="18">
        <v>15499.96</v>
      </c>
      <c r="J500" s="18">
        <f t="shared" si="35"/>
        <v>108499.72</v>
      </c>
      <c r="K500" s="18">
        <v>80584.78</v>
      </c>
      <c r="L500" s="18">
        <f t="shared" si="36"/>
        <v>27914.940000000002</v>
      </c>
      <c r="M500" s="3">
        <f t="shared" si="37"/>
        <v>0.25728121694691936</v>
      </c>
      <c r="N500" s="4">
        <f t="shared" si="38"/>
        <v>45717</v>
      </c>
      <c r="O500" t="str">
        <f t="shared" si="39"/>
        <v>Mar</v>
      </c>
    </row>
    <row r="501" spans="1:15" ht="15" customHeight="1" x14ac:dyDescent="0.25">
      <c r="A501" t="s">
        <v>538</v>
      </c>
      <c r="B501" s="2">
        <v>45951</v>
      </c>
      <c r="C501" t="s">
        <v>31</v>
      </c>
      <c r="D501" t="s">
        <v>23</v>
      </c>
      <c r="E501" t="s">
        <v>52</v>
      </c>
      <c r="F501" t="s">
        <v>35</v>
      </c>
      <c r="G501" t="s">
        <v>20</v>
      </c>
      <c r="H501">
        <v>6</v>
      </c>
      <c r="I501" s="18">
        <v>3423.84</v>
      </c>
      <c r="J501" s="18">
        <f t="shared" si="35"/>
        <v>20543.04</v>
      </c>
      <c r="K501" s="18">
        <v>12564.64</v>
      </c>
      <c r="L501" s="18">
        <f t="shared" si="36"/>
        <v>7978.4000000000015</v>
      </c>
      <c r="M501" s="3">
        <f t="shared" si="37"/>
        <v>0.38837484617661266</v>
      </c>
      <c r="N501" s="4">
        <f t="shared" si="38"/>
        <v>45931</v>
      </c>
      <c r="O501" t="str">
        <f t="shared" si="39"/>
        <v>Oct</v>
      </c>
    </row>
    <row r="502" spans="1:15" ht="15" customHeight="1" x14ac:dyDescent="0.25">
      <c r="A502" t="s">
        <v>539</v>
      </c>
      <c r="B502" s="2">
        <v>45816</v>
      </c>
      <c r="C502" t="s">
        <v>31</v>
      </c>
      <c r="D502" t="s">
        <v>17</v>
      </c>
      <c r="E502" t="s">
        <v>18</v>
      </c>
      <c r="F502" t="s">
        <v>50</v>
      </c>
      <c r="G502" t="s">
        <v>28</v>
      </c>
      <c r="H502">
        <v>3</v>
      </c>
      <c r="I502" s="18">
        <v>1216.8699999999999</v>
      </c>
      <c r="J502" s="18">
        <f t="shared" si="35"/>
        <v>3650.6099999999997</v>
      </c>
      <c r="K502" s="18">
        <v>2612.2399999999998</v>
      </c>
      <c r="L502" s="18">
        <f t="shared" si="36"/>
        <v>1038.3699999999999</v>
      </c>
      <c r="M502" s="3">
        <f t="shared" si="37"/>
        <v>0.28443739539419438</v>
      </c>
      <c r="N502" s="4">
        <f t="shared" si="38"/>
        <v>45809</v>
      </c>
      <c r="O502" t="str">
        <f t="shared" si="39"/>
        <v>Jun</v>
      </c>
    </row>
    <row r="503" spans="1:15" ht="15" customHeight="1" x14ac:dyDescent="0.25">
      <c r="A503" t="s">
        <v>540</v>
      </c>
      <c r="B503" s="2">
        <v>45943</v>
      </c>
      <c r="C503" t="s">
        <v>16</v>
      </c>
      <c r="D503" t="s">
        <v>17</v>
      </c>
      <c r="E503" t="s">
        <v>24</v>
      </c>
      <c r="F503" t="s">
        <v>50</v>
      </c>
      <c r="G503" t="s">
        <v>28</v>
      </c>
      <c r="H503">
        <v>6</v>
      </c>
      <c r="I503" s="18">
        <v>467.74</v>
      </c>
      <c r="J503" s="18">
        <f t="shared" si="35"/>
        <v>2806.44</v>
      </c>
      <c r="K503" s="18">
        <v>1725.75</v>
      </c>
      <c r="L503" s="18">
        <f t="shared" si="36"/>
        <v>1080.69</v>
      </c>
      <c r="M503" s="3">
        <f t="shared" si="37"/>
        <v>0.3850750416898277</v>
      </c>
      <c r="N503" s="4">
        <f t="shared" si="38"/>
        <v>45931</v>
      </c>
      <c r="O503" t="str">
        <f t="shared" si="39"/>
        <v>Oct</v>
      </c>
    </row>
    <row r="504" spans="1:15" ht="15" customHeight="1" x14ac:dyDescent="0.25">
      <c r="A504" t="s">
        <v>541</v>
      </c>
      <c r="B504" s="2">
        <v>45868</v>
      </c>
      <c r="C504" t="s">
        <v>26</v>
      </c>
      <c r="D504" t="s">
        <v>23</v>
      </c>
      <c r="E504" t="s">
        <v>33</v>
      </c>
      <c r="F504" t="s">
        <v>27</v>
      </c>
      <c r="G504" t="s">
        <v>28</v>
      </c>
      <c r="H504">
        <v>4</v>
      </c>
      <c r="I504" s="18">
        <v>14979.38</v>
      </c>
      <c r="J504" s="18">
        <f t="shared" si="35"/>
        <v>59917.52</v>
      </c>
      <c r="K504" s="18">
        <v>37408.85</v>
      </c>
      <c r="L504" s="18">
        <f t="shared" si="36"/>
        <v>22508.67</v>
      </c>
      <c r="M504" s="3">
        <f t="shared" si="37"/>
        <v>0.37566090852892442</v>
      </c>
      <c r="N504" s="4">
        <f t="shared" si="38"/>
        <v>45839</v>
      </c>
      <c r="O504" t="str">
        <f t="shared" si="39"/>
        <v>Jul</v>
      </c>
    </row>
    <row r="505" spans="1:15" ht="15" customHeight="1" x14ac:dyDescent="0.25">
      <c r="A505" t="s">
        <v>542</v>
      </c>
      <c r="B505" s="2">
        <v>45776</v>
      </c>
      <c r="C505" t="s">
        <v>22</v>
      </c>
      <c r="D505" t="s">
        <v>17</v>
      </c>
      <c r="E505" t="s">
        <v>52</v>
      </c>
      <c r="F505" t="s">
        <v>53</v>
      </c>
      <c r="G505" t="s">
        <v>44</v>
      </c>
      <c r="H505">
        <v>2</v>
      </c>
      <c r="I505" s="18">
        <v>1154.8800000000001</v>
      </c>
      <c r="J505" s="18">
        <f t="shared" si="35"/>
        <v>2309.7600000000002</v>
      </c>
      <c r="K505" s="18">
        <v>1603.86</v>
      </c>
      <c r="L505" s="18">
        <f t="shared" si="36"/>
        <v>705.90000000000032</v>
      </c>
      <c r="M505" s="3">
        <f t="shared" si="37"/>
        <v>0.30561616791354956</v>
      </c>
      <c r="N505" s="4">
        <f t="shared" si="38"/>
        <v>45748</v>
      </c>
      <c r="O505" t="str">
        <f t="shared" si="39"/>
        <v>Apr</v>
      </c>
    </row>
    <row r="506" spans="1:15" ht="15" customHeight="1" x14ac:dyDescent="0.25">
      <c r="A506" t="s">
        <v>543</v>
      </c>
      <c r="B506" s="2">
        <v>45856</v>
      </c>
      <c r="C506" t="s">
        <v>16</v>
      </c>
      <c r="D506" t="s">
        <v>17</v>
      </c>
      <c r="E506" t="s">
        <v>24</v>
      </c>
      <c r="F506" t="s">
        <v>40</v>
      </c>
      <c r="G506" t="s">
        <v>20</v>
      </c>
      <c r="H506">
        <v>4</v>
      </c>
      <c r="I506" s="18">
        <v>394.17</v>
      </c>
      <c r="J506" s="18">
        <f t="shared" si="35"/>
        <v>1576.68</v>
      </c>
      <c r="K506" s="18">
        <v>1069.0899999999999</v>
      </c>
      <c r="L506" s="18">
        <f t="shared" si="36"/>
        <v>507.59000000000015</v>
      </c>
      <c r="M506" s="3">
        <f t="shared" si="37"/>
        <v>0.32193596671486929</v>
      </c>
      <c r="N506" s="4">
        <f t="shared" si="38"/>
        <v>45839</v>
      </c>
      <c r="O506" t="str">
        <f t="shared" si="39"/>
        <v>Jul</v>
      </c>
    </row>
    <row r="507" spans="1:15" ht="15" customHeight="1" x14ac:dyDescent="0.25">
      <c r="A507" t="s">
        <v>544</v>
      </c>
      <c r="B507" s="2">
        <v>45771</v>
      </c>
      <c r="C507" t="s">
        <v>22</v>
      </c>
      <c r="D507" t="s">
        <v>17</v>
      </c>
      <c r="E507" t="s">
        <v>24</v>
      </c>
      <c r="F507" t="s">
        <v>53</v>
      </c>
      <c r="G507" t="s">
        <v>44</v>
      </c>
      <c r="H507">
        <v>3</v>
      </c>
      <c r="I507" s="18">
        <v>2794.96</v>
      </c>
      <c r="J507" s="18">
        <f t="shared" si="35"/>
        <v>8384.880000000001</v>
      </c>
      <c r="K507" s="18">
        <v>6846.68</v>
      </c>
      <c r="L507" s="18">
        <f t="shared" si="36"/>
        <v>1538.2000000000007</v>
      </c>
      <c r="M507" s="3">
        <f t="shared" si="37"/>
        <v>0.18344925628035233</v>
      </c>
      <c r="N507" s="4">
        <f t="shared" si="38"/>
        <v>45748</v>
      </c>
      <c r="O507" t="str">
        <f t="shared" si="39"/>
        <v>Apr</v>
      </c>
    </row>
    <row r="508" spans="1:15" ht="15" customHeight="1" x14ac:dyDescent="0.25">
      <c r="A508" t="s">
        <v>545</v>
      </c>
      <c r="B508" s="2">
        <v>45784</v>
      </c>
      <c r="C508" t="s">
        <v>16</v>
      </c>
      <c r="D508" t="s">
        <v>23</v>
      </c>
      <c r="E508" t="s">
        <v>24</v>
      </c>
      <c r="F508" t="s">
        <v>43</v>
      </c>
      <c r="G508" t="s">
        <v>44</v>
      </c>
      <c r="H508">
        <v>7</v>
      </c>
      <c r="I508" s="18">
        <v>910.4</v>
      </c>
      <c r="J508" s="18">
        <f t="shared" si="35"/>
        <v>6372.8</v>
      </c>
      <c r="K508" s="18">
        <v>4299.07</v>
      </c>
      <c r="L508" s="18">
        <f t="shared" si="36"/>
        <v>2073.7300000000005</v>
      </c>
      <c r="M508" s="3">
        <f t="shared" si="37"/>
        <v>0.32540327642480549</v>
      </c>
      <c r="N508" s="4">
        <f t="shared" si="38"/>
        <v>45778</v>
      </c>
      <c r="O508" t="str">
        <f t="shared" si="39"/>
        <v>May</v>
      </c>
    </row>
    <row r="509" spans="1:15" ht="15" customHeight="1" x14ac:dyDescent="0.25">
      <c r="A509" t="s">
        <v>546</v>
      </c>
      <c r="B509" s="2">
        <v>45891</v>
      </c>
      <c r="C509" t="s">
        <v>16</v>
      </c>
      <c r="D509" t="s">
        <v>23</v>
      </c>
      <c r="E509" t="s">
        <v>39</v>
      </c>
      <c r="F509" t="s">
        <v>37</v>
      </c>
      <c r="G509" t="s">
        <v>20</v>
      </c>
      <c r="H509">
        <v>1</v>
      </c>
      <c r="I509" s="18">
        <v>13175.31</v>
      </c>
      <c r="J509" s="18">
        <f t="shared" si="35"/>
        <v>13175.31</v>
      </c>
      <c r="K509" s="18">
        <v>9273.7099999999991</v>
      </c>
      <c r="L509" s="18">
        <f t="shared" si="36"/>
        <v>3901.6000000000004</v>
      </c>
      <c r="M509" s="3">
        <f t="shared" si="37"/>
        <v>0.29612965463431223</v>
      </c>
      <c r="N509" s="4">
        <f t="shared" si="38"/>
        <v>45870</v>
      </c>
      <c r="O509" t="str">
        <f t="shared" si="39"/>
        <v>Aug</v>
      </c>
    </row>
    <row r="510" spans="1:15" ht="15" customHeight="1" x14ac:dyDescent="0.25">
      <c r="A510" t="s">
        <v>547</v>
      </c>
      <c r="B510" s="2">
        <v>45883</v>
      </c>
      <c r="C510" t="s">
        <v>16</v>
      </c>
      <c r="D510" t="s">
        <v>23</v>
      </c>
      <c r="E510" t="s">
        <v>24</v>
      </c>
      <c r="F510" t="s">
        <v>43</v>
      </c>
      <c r="G510" t="s">
        <v>44</v>
      </c>
      <c r="H510">
        <v>3</v>
      </c>
      <c r="I510" s="18">
        <v>710.8</v>
      </c>
      <c r="J510" s="18">
        <f t="shared" si="35"/>
        <v>2132.3999999999996</v>
      </c>
      <c r="K510" s="18">
        <v>1550.58</v>
      </c>
      <c r="L510" s="18">
        <f t="shared" si="36"/>
        <v>581.81999999999971</v>
      </c>
      <c r="M510" s="3">
        <f t="shared" si="37"/>
        <v>0.27284749577940343</v>
      </c>
      <c r="N510" s="4">
        <f t="shared" si="38"/>
        <v>45870</v>
      </c>
      <c r="O510" t="str">
        <f t="shared" si="39"/>
        <v>Aug</v>
      </c>
    </row>
    <row r="511" spans="1:15" ht="15" customHeight="1" x14ac:dyDescent="0.25">
      <c r="A511" t="s">
        <v>548</v>
      </c>
      <c r="B511" s="2">
        <v>45988</v>
      </c>
      <c r="C511" t="s">
        <v>16</v>
      </c>
      <c r="D511" t="s">
        <v>23</v>
      </c>
      <c r="E511" t="s">
        <v>24</v>
      </c>
      <c r="F511" t="s">
        <v>40</v>
      </c>
      <c r="G511" t="s">
        <v>20</v>
      </c>
      <c r="H511">
        <v>3</v>
      </c>
      <c r="I511" s="18">
        <v>424.72</v>
      </c>
      <c r="J511" s="18">
        <f t="shared" si="35"/>
        <v>1274.1600000000001</v>
      </c>
      <c r="K511" s="18">
        <v>837.93</v>
      </c>
      <c r="L511" s="18">
        <f t="shared" si="36"/>
        <v>436.23000000000013</v>
      </c>
      <c r="M511" s="3">
        <f t="shared" si="37"/>
        <v>0.34236673573177628</v>
      </c>
      <c r="N511" s="4">
        <f t="shared" si="38"/>
        <v>45962</v>
      </c>
      <c r="O511" t="str">
        <f t="shared" si="39"/>
        <v>Nov</v>
      </c>
    </row>
    <row r="512" spans="1:15" ht="15" customHeight="1" x14ac:dyDescent="0.25">
      <c r="A512" t="s">
        <v>549</v>
      </c>
      <c r="B512" s="2">
        <v>45960</v>
      </c>
      <c r="C512" t="s">
        <v>31</v>
      </c>
      <c r="D512" t="s">
        <v>23</v>
      </c>
      <c r="E512" t="s">
        <v>18</v>
      </c>
      <c r="F512" t="s">
        <v>53</v>
      </c>
      <c r="G512" t="s">
        <v>44</v>
      </c>
      <c r="H512">
        <v>6</v>
      </c>
      <c r="I512" s="18">
        <v>1700.81</v>
      </c>
      <c r="J512" s="18">
        <f t="shared" si="35"/>
        <v>10204.86</v>
      </c>
      <c r="K512" s="18">
        <v>8140.61</v>
      </c>
      <c r="L512" s="18">
        <f t="shared" si="36"/>
        <v>2064.2500000000009</v>
      </c>
      <c r="M512" s="3">
        <f t="shared" si="37"/>
        <v>0.20228106999998047</v>
      </c>
      <c r="N512" s="4">
        <f t="shared" si="38"/>
        <v>45931</v>
      </c>
      <c r="O512" t="str">
        <f t="shared" si="39"/>
        <v>Oct</v>
      </c>
    </row>
    <row r="513" spans="1:15" ht="15" customHeight="1" x14ac:dyDescent="0.25">
      <c r="A513" t="s">
        <v>550</v>
      </c>
      <c r="B513" s="2">
        <v>45716</v>
      </c>
      <c r="C513" t="s">
        <v>31</v>
      </c>
      <c r="D513" t="s">
        <v>17</v>
      </c>
      <c r="E513" t="s">
        <v>33</v>
      </c>
      <c r="F513" t="s">
        <v>40</v>
      </c>
      <c r="G513" t="s">
        <v>20</v>
      </c>
      <c r="H513">
        <v>7</v>
      </c>
      <c r="I513" s="18">
        <v>352.29</v>
      </c>
      <c r="J513" s="18">
        <f t="shared" si="35"/>
        <v>2466.0300000000002</v>
      </c>
      <c r="K513" s="18">
        <v>2007.46</v>
      </c>
      <c r="L513" s="18">
        <f t="shared" si="36"/>
        <v>458.57000000000016</v>
      </c>
      <c r="M513" s="3">
        <f t="shared" si="37"/>
        <v>0.18595475318629542</v>
      </c>
      <c r="N513" s="4">
        <f t="shared" si="38"/>
        <v>45689</v>
      </c>
      <c r="O513" t="str">
        <f t="shared" si="39"/>
        <v>Feb</v>
      </c>
    </row>
    <row r="514" spans="1:15" ht="15" customHeight="1" x14ac:dyDescent="0.25">
      <c r="A514" t="s">
        <v>551</v>
      </c>
      <c r="B514" s="2">
        <v>45852</v>
      </c>
      <c r="C514" t="s">
        <v>31</v>
      </c>
      <c r="D514" t="s">
        <v>23</v>
      </c>
      <c r="E514" t="s">
        <v>52</v>
      </c>
      <c r="F514" t="s">
        <v>37</v>
      </c>
      <c r="G514" t="s">
        <v>20</v>
      </c>
      <c r="H514">
        <v>6</v>
      </c>
      <c r="I514" s="18">
        <v>21869.75</v>
      </c>
      <c r="J514" s="18">
        <f t="shared" ref="J514:J577" si="40">H514*I514</f>
        <v>131218.5</v>
      </c>
      <c r="K514" s="18">
        <v>96876.95</v>
      </c>
      <c r="L514" s="18">
        <f t="shared" ref="L514:L577" si="41">J514-K514</f>
        <v>34341.550000000003</v>
      </c>
      <c r="M514" s="3">
        <f t="shared" ref="M514:M577" si="42">IFERROR(L514/J514,0)</f>
        <v>0.26171271581370009</v>
      </c>
      <c r="N514" s="4">
        <f t="shared" ref="N514:N577" si="43">DATE(YEAR(B514),MONTH(B514),1)</f>
        <v>45839</v>
      </c>
      <c r="O514" t="str">
        <f t="shared" ref="O514:O577" si="44">TEXT(N514,"mmm")</f>
        <v>Jul</v>
      </c>
    </row>
    <row r="515" spans="1:15" ht="15" customHeight="1" x14ac:dyDescent="0.25">
      <c r="A515" t="s">
        <v>552</v>
      </c>
      <c r="B515" s="2">
        <v>45749</v>
      </c>
      <c r="C515" t="s">
        <v>31</v>
      </c>
      <c r="D515" t="s">
        <v>23</v>
      </c>
      <c r="E515" t="s">
        <v>18</v>
      </c>
      <c r="F515" t="s">
        <v>37</v>
      </c>
      <c r="G515" t="s">
        <v>20</v>
      </c>
      <c r="H515">
        <v>8</v>
      </c>
      <c r="I515" s="18">
        <v>15203.42</v>
      </c>
      <c r="J515" s="18">
        <f t="shared" si="40"/>
        <v>121627.36</v>
      </c>
      <c r="K515" s="18">
        <v>75818.490000000005</v>
      </c>
      <c r="L515" s="18">
        <f t="shared" si="41"/>
        <v>45808.869999999995</v>
      </c>
      <c r="M515" s="3">
        <f t="shared" si="42"/>
        <v>0.37663293850988788</v>
      </c>
      <c r="N515" s="4">
        <f t="shared" si="43"/>
        <v>45748</v>
      </c>
      <c r="O515" t="str">
        <f t="shared" si="44"/>
        <v>Apr</v>
      </c>
    </row>
    <row r="516" spans="1:15" ht="15" customHeight="1" x14ac:dyDescent="0.25">
      <c r="A516" t="s">
        <v>553</v>
      </c>
      <c r="B516" s="2">
        <v>45976</v>
      </c>
      <c r="C516" t="s">
        <v>22</v>
      </c>
      <c r="D516" t="s">
        <v>23</v>
      </c>
      <c r="E516" t="s">
        <v>52</v>
      </c>
      <c r="F516" t="s">
        <v>27</v>
      </c>
      <c r="G516" t="s">
        <v>28</v>
      </c>
      <c r="H516">
        <v>8</v>
      </c>
      <c r="I516" s="18">
        <v>9280.0400000000009</v>
      </c>
      <c r="J516" s="18">
        <f t="shared" si="40"/>
        <v>74240.320000000007</v>
      </c>
      <c r="K516" s="18">
        <v>43161.85</v>
      </c>
      <c r="L516" s="18">
        <f t="shared" si="41"/>
        <v>31078.470000000008</v>
      </c>
      <c r="M516" s="3">
        <f t="shared" si="42"/>
        <v>0.41861982814729254</v>
      </c>
      <c r="N516" s="4">
        <f t="shared" si="43"/>
        <v>45962</v>
      </c>
      <c r="O516" t="str">
        <f t="shared" si="44"/>
        <v>Nov</v>
      </c>
    </row>
    <row r="517" spans="1:15" ht="15" customHeight="1" x14ac:dyDescent="0.25">
      <c r="A517" t="s">
        <v>554</v>
      </c>
      <c r="B517" s="2">
        <v>45959</v>
      </c>
      <c r="C517" t="s">
        <v>26</v>
      </c>
      <c r="D517" t="s">
        <v>23</v>
      </c>
      <c r="E517" t="s">
        <v>18</v>
      </c>
      <c r="F517" t="s">
        <v>40</v>
      </c>
      <c r="G517" t="s">
        <v>20</v>
      </c>
      <c r="H517">
        <v>2</v>
      </c>
      <c r="I517" s="18">
        <v>716.21</v>
      </c>
      <c r="J517" s="18">
        <f t="shared" si="40"/>
        <v>1432.42</v>
      </c>
      <c r="K517" s="18">
        <v>833.06</v>
      </c>
      <c r="L517" s="18">
        <f t="shared" si="41"/>
        <v>599.36000000000013</v>
      </c>
      <c r="M517" s="3">
        <f t="shared" si="42"/>
        <v>0.41842476368662829</v>
      </c>
      <c r="N517" s="4">
        <f t="shared" si="43"/>
        <v>45931</v>
      </c>
      <c r="O517" t="str">
        <f t="shared" si="44"/>
        <v>Oct</v>
      </c>
    </row>
    <row r="518" spans="1:15" ht="15" customHeight="1" x14ac:dyDescent="0.25">
      <c r="A518" t="s">
        <v>555</v>
      </c>
      <c r="B518" s="2">
        <v>45752</v>
      </c>
      <c r="C518" t="s">
        <v>26</v>
      </c>
      <c r="D518" t="s">
        <v>17</v>
      </c>
      <c r="E518" t="s">
        <v>18</v>
      </c>
      <c r="F518" t="s">
        <v>35</v>
      </c>
      <c r="G518" t="s">
        <v>20</v>
      </c>
      <c r="H518">
        <v>3</v>
      </c>
      <c r="I518" s="18">
        <v>4025.01</v>
      </c>
      <c r="J518" s="18">
        <f t="shared" si="40"/>
        <v>12075.03</v>
      </c>
      <c r="K518" s="18">
        <v>8936.48</v>
      </c>
      <c r="L518" s="18">
        <f t="shared" si="41"/>
        <v>3138.5500000000011</v>
      </c>
      <c r="M518" s="3">
        <f t="shared" si="42"/>
        <v>0.25992067928609708</v>
      </c>
      <c r="N518" s="4">
        <f t="shared" si="43"/>
        <v>45748</v>
      </c>
      <c r="O518" t="str">
        <f t="shared" si="44"/>
        <v>Apr</v>
      </c>
    </row>
    <row r="519" spans="1:15" ht="15" customHeight="1" x14ac:dyDescent="0.25">
      <c r="A519" t="s">
        <v>556</v>
      </c>
      <c r="B519" s="2">
        <v>45683</v>
      </c>
      <c r="C519" t="s">
        <v>31</v>
      </c>
      <c r="D519" t="s">
        <v>17</v>
      </c>
      <c r="E519" t="s">
        <v>33</v>
      </c>
      <c r="F519" t="s">
        <v>19</v>
      </c>
      <c r="G519" t="s">
        <v>20</v>
      </c>
      <c r="H519">
        <v>5</v>
      </c>
      <c r="I519" s="18">
        <v>2412.4299999999998</v>
      </c>
      <c r="J519" s="18">
        <f t="shared" si="40"/>
        <v>12062.15</v>
      </c>
      <c r="K519" s="18">
        <v>8997.92</v>
      </c>
      <c r="L519" s="18">
        <f t="shared" si="41"/>
        <v>3064.2299999999996</v>
      </c>
      <c r="M519" s="3">
        <f t="shared" si="42"/>
        <v>0.25403680106780296</v>
      </c>
      <c r="N519" s="4">
        <f t="shared" si="43"/>
        <v>45658</v>
      </c>
      <c r="O519" t="str">
        <f t="shared" si="44"/>
        <v>Jan</v>
      </c>
    </row>
    <row r="520" spans="1:15" ht="15" customHeight="1" x14ac:dyDescent="0.25">
      <c r="A520" t="s">
        <v>557</v>
      </c>
      <c r="B520" s="2">
        <v>45842</v>
      </c>
      <c r="C520" t="s">
        <v>22</v>
      </c>
      <c r="D520" t="s">
        <v>23</v>
      </c>
      <c r="E520" t="s">
        <v>39</v>
      </c>
      <c r="F520" t="s">
        <v>37</v>
      </c>
      <c r="G520" t="s">
        <v>20</v>
      </c>
      <c r="H520">
        <v>6</v>
      </c>
      <c r="I520" s="18">
        <v>11361.8</v>
      </c>
      <c r="J520" s="18">
        <f t="shared" si="40"/>
        <v>68170.799999999988</v>
      </c>
      <c r="K520" s="18">
        <v>52959.41</v>
      </c>
      <c r="L520" s="18">
        <f t="shared" si="41"/>
        <v>15211.389999999985</v>
      </c>
      <c r="M520" s="3">
        <f t="shared" si="42"/>
        <v>0.22313644551626191</v>
      </c>
      <c r="N520" s="4">
        <f t="shared" si="43"/>
        <v>45839</v>
      </c>
      <c r="O520" t="str">
        <f t="shared" si="44"/>
        <v>Jul</v>
      </c>
    </row>
    <row r="521" spans="1:15" ht="15" customHeight="1" x14ac:dyDescent="0.25">
      <c r="A521" t="s">
        <v>558</v>
      </c>
      <c r="B521" s="2">
        <v>45899</v>
      </c>
      <c r="C521" t="s">
        <v>16</v>
      </c>
      <c r="D521" t="s">
        <v>23</v>
      </c>
      <c r="E521" t="s">
        <v>33</v>
      </c>
      <c r="F521" t="s">
        <v>35</v>
      </c>
      <c r="G521" t="s">
        <v>20</v>
      </c>
      <c r="H521">
        <v>7</v>
      </c>
      <c r="I521" s="18">
        <v>3163.52</v>
      </c>
      <c r="J521" s="18">
        <f t="shared" si="40"/>
        <v>22144.639999999999</v>
      </c>
      <c r="K521" s="18">
        <v>16542.03</v>
      </c>
      <c r="L521" s="18">
        <f t="shared" si="41"/>
        <v>5602.6100000000006</v>
      </c>
      <c r="M521" s="3">
        <f t="shared" si="42"/>
        <v>0.25300072613508284</v>
      </c>
      <c r="N521" s="4">
        <f t="shared" si="43"/>
        <v>45870</v>
      </c>
      <c r="O521" t="str">
        <f t="shared" si="44"/>
        <v>Aug</v>
      </c>
    </row>
    <row r="522" spans="1:15" ht="15" customHeight="1" x14ac:dyDescent="0.25">
      <c r="A522" t="s">
        <v>559</v>
      </c>
      <c r="B522" s="2">
        <v>45980</v>
      </c>
      <c r="C522" t="s">
        <v>26</v>
      </c>
      <c r="D522" t="s">
        <v>17</v>
      </c>
      <c r="E522" t="s">
        <v>52</v>
      </c>
      <c r="F522" t="s">
        <v>50</v>
      </c>
      <c r="G522" t="s">
        <v>28</v>
      </c>
      <c r="H522">
        <v>5</v>
      </c>
      <c r="I522" s="18">
        <v>976.54</v>
      </c>
      <c r="J522" s="18">
        <f t="shared" si="40"/>
        <v>4882.7</v>
      </c>
      <c r="K522" s="18">
        <v>3825.46</v>
      </c>
      <c r="L522" s="18">
        <f t="shared" si="41"/>
        <v>1057.2399999999998</v>
      </c>
      <c r="M522" s="3">
        <f t="shared" si="42"/>
        <v>0.21652774079914797</v>
      </c>
      <c r="N522" s="4">
        <f t="shared" si="43"/>
        <v>45962</v>
      </c>
      <c r="O522" t="str">
        <f t="shared" si="44"/>
        <v>Nov</v>
      </c>
    </row>
    <row r="523" spans="1:15" ht="15" customHeight="1" x14ac:dyDescent="0.25">
      <c r="A523" t="s">
        <v>560</v>
      </c>
      <c r="B523" s="2">
        <v>45972</v>
      </c>
      <c r="C523" t="s">
        <v>26</v>
      </c>
      <c r="D523" t="s">
        <v>23</v>
      </c>
      <c r="E523" t="s">
        <v>18</v>
      </c>
      <c r="F523" t="s">
        <v>62</v>
      </c>
      <c r="G523" t="s">
        <v>20</v>
      </c>
      <c r="H523">
        <v>3</v>
      </c>
      <c r="I523" s="18">
        <v>5358.9</v>
      </c>
      <c r="J523" s="18">
        <f t="shared" si="40"/>
        <v>16076.699999999999</v>
      </c>
      <c r="K523" s="18">
        <v>10222.42</v>
      </c>
      <c r="L523" s="18">
        <f t="shared" si="41"/>
        <v>5854.2799999999988</v>
      </c>
      <c r="M523" s="3">
        <f t="shared" si="42"/>
        <v>0.36414687093744358</v>
      </c>
      <c r="N523" s="4">
        <f t="shared" si="43"/>
        <v>45962</v>
      </c>
      <c r="O523" t="str">
        <f t="shared" si="44"/>
        <v>Nov</v>
      </c>
    </row>
    <row r="524" spans="1:15" ht="15" customHeight="1" x14ac:dyDescent="0.25">
      <c r="A524" t="s">
        <v>561</v>
      </c>
      <c r="B524" s="2">
        <v>45718</v>
      </c>
      <c r="C524" t="s">
        <v>22</v>
      </c>
      <c r="D524" t="s">
        <v>23</v>
      </c>
      <c r="E524" t="s">
        <v>39</v>
      </c>
      <c r="F524" t="s">
        <v>37</v>
      </c>
      <c r="G524" t="s">
        <v>20</v>
      </c>
      <c r="H524">
        <v>4</v>
      </c>
      <c r="I524" s="18">
        <v>17611.509999999998</v>
      </c>
      <c r="J524" s="18">
        <f t="shared" si="40"/>
        <v>70446.039999999994</v>
      </c>
      <c r="K524" s="18">
        <v>57748.63</v>
      </c>
      <c r="L524" s="18">
        <f t="shared" si="41"/>
        <v>12697.409999999996</v>
      </c>
      <c r="M524" s="3">
        <f t="shared" si="42"/>
        <v>0.18024306263347092</v>
      </c>
      <c r="N524" s="4">
        <f t="shared" si="43"/>
        <v>45717</v>
      </c>
      <c r="O524" t="str">
        <f t="shared" si="44"/>
        <v>Mar</v>
      </c>
    </row>
    <row r="525" spans="1:15" ht="15" customHeight="1" x14ac:dyDescent="0.25">
      <c r="A525" t="s">
        <v>562</v>
      </c>
      <c r="B525" s="2">
        <v>45837</v>
      </c>
      <c r="C525" t="s">
        <v>16</v>
      </c>
      <c r="D525" t="s">
        <v>17</v>
      </c>
      <c r="E525" t="s">
        <v>39</v>
      </c>
      <c r="F525" t="s">
        <v>50</v>
      </c>
      <c r="G525" t="s">
        <v>28</v>
      </c>
      <c r="H525">
        <v>4</v>
      </c>
      <c r="I525" s="18">
        <v>270.92</v>
      </c>
      <c r="J525" s="18">
        <f t="shared" si="40"/>
        <v>1083.68</v>
      </c>
      <c r="K525" s="18">
        <v>694.7</v>
      </c>
      <c r="L525" s="18">
        <f t="shared" si="41"/>
        <v>388.98</v>
      </c>
      <c r="M525" s="3">
        <f t="shared" si="42"/>
        <v>0.35894359958659383</v>
      </c>
      <c r="N525" s="4">
        <f t="shared" si="43"/>
        <v>45809</v>
      </c>
      <c r="O525" t="str">
        <f t="shared" si="44"/>
        <v>Jun</v>
      </c>
    </row>
    <row r="526" spans="1:15" ht="15" customHeight="1" x14ac:dyDescent="0.25">
      <c r="A526" t="s">
        <v>563</v>
      </c>
      <c r="B526" s="2">
        <v>45917</v>
      </c>
      <c r="C526" t="s">
        <v>16</v>
      </c>
      <c r="D526" t="s">
        <v>23</v>
      </c>
      <c r="E526" t="s">
        <v>52</v>
      </c>
      <c r="F526" t="s">
        <v>50</v>
      </c>
      <c r="G526" t="s">
        <v>28</v>
      </c>
      <c r="H526">
        <v>6</v>
      </c>
      <c r="I526" s="18">
        <v>354.39</v>
      </c>
      <c r="J526" s="18">
        <f t="shared" si="40"/>
        <v>2126.34</v>
      </c>
      <c r="K526" s="18">
        <v>1602.95</v>
      </c>
      <c r="L526" s="18">
        <f t="shared" si="41"/>
        <v>523.3900000000001</v>
      </c>
      <c r="M526" s="3">
        <f t="shared" si="42"/>
        <v>0.24614595972422099</v>
      </c>
      <c r="N526" s="4">
        <f t="shared" si="43"/>
        <v>45901</v>
      </c>
      <c r="O526" t="str">
        <f t="shared" si="44"/>
        <v>Sep</v>
      </c>
    </row>
    <row r="527" spans="1:15" ht="15" customHeight="1" x14ac:dyDescent="0.25">
      <c r="A527" t="s">
        <v>564</v>
      </c>
      <c r="B527" s="2">
        <v>45827</v>
      </c>
      <c r="C527" t="s">
        <v>22</v>
      </c>
      <c r="D527" t="s">
        <v>23</v>
      </c>
      <c r="E527" t="s">
        <v>24</v>
      </c>
      <c r="F527" t="s">
        <v>46</v>
      </c>
      <c r="G527" t="s">
        <v>28</v>
      </c>
      <c r="H527">
        <v>8</v>
      </c>
      <c r="I527" s="18">
        <v>21207.03</v>
      </c>
      <c r="J527" s="18">
        <f t="shared" si="40"/>
        <v>169656.24</v>
      </c>
      <c r="K527" s="18">
        <v>124689.96</v>
      </c>
      <c r="L527" s="18">
        <f t="shared" si="41"/>
        <v>44966.279999999984</v>
      </c>
      <c r="M527" s="3">
        <f t="shared" si="42"/>
        <v>0.26504347850689125</v>
      </c>
      <c r="N527" s="4">
        <f t="shared" si="43"/>
        <v>45809</v>
      </c>
      <c r="O527" t="str">
        <f t="shared" si="44"/>
        <v>Jun</v>
      </c>
    </row>
    <row r="528" spans="1:15" ht="15" customHeight="1" x14ac:dyDescent="0.25">
      <c r="A528" t="s">
        <v>565</v>
      </c>
      <c r="B528" s="2">
        <v>45932</v>
      </c>
      <c r="C528" t="s">
        <v>26</v>
      </c>
      <c r="D528" t="s">
        <v>23</v>
      </c>
      <c r="E528" t="s">
        <v>52</v>
      </c>
      <c r="F528" t="s">
        <v>46</v>
      </c>
      <c r="G528" t="s">
        <v>28</v>
      </c>
      <c r="H528">
        <v>1</v>
      </c>
      <c r="I528" s="18">
        <v>17688.009999999998</v>
      </c>
      <c r="J528" s="18">
        <f t="shared" si="40"/>
        <v>17688.009999999998</v>
      </c>
      <c r="K528" s="18">
        <v>11529.8</v>
      </c>
      <c r="L528" s="18">
        <f t="shared" si="41"/>
        <v>6158.2099999999991</v>
      </c>
      <c r="M528" s="3">
        <f t="shared" si="42"/>
        <v>0.34815731108247899</v>
      </c>
      <c r="N528" s="4">
        <f t="shared" si="43"/>
        <v>45931</v>
      </c>
      <c r="O528" t="str">
        <f t="shared" si="44"/>
        <v>Oct</v>
      </c>
    </row>
    <row r="529" spans="1:15" ht="15" customHeight="1" x14ac:dyDescent="0.25">
      <c r="A529" t="s">
        <v>566</v>
      </c>
      <c r="B529" s="2">
        <v>45953</v>
      </c>
      <c r="C529" t="s">
        <v>22</v>
      </c>
      <c r="D529" t="s">
        <v>23</v>
      </c>
      <c r="E529" t="s">
        <v>33</v>
      </c>
      <c r="F529" t="s">
        <v>46</v>
      </c>
      <c r="G529" t="s">
        <v>28</v>
      </c>
      <c r="H529">
        <v>5</v>
      </c>
      <c r="I529" s="18">
        <v>15801.11</v>
      </c>
      <c r="J529" s="18">
        <f t="shared" si="40"/>
        <v>79005.55</v>
      </c>
      <c r="K529" s="18">
        <v>52254</v>
      </c>
      <c r="L529" s="18">
        <f t="shared" si="41"/>
        <v>26751.550000000003</v>
      </c>
      <c r="M529" s="3">
        <f t="shared" si="42"/>
        <v>0.33860342722758086</v>
      </c>
      <c r="N529" s="4">
        <f t="shared" si="43"/>
        <v>45931</v>
      </c>
      <c r="O529" t="str">
        <f t="shared" si="44"/>
        <v>Oct</v>
      </c>
    </row>
    <row r="530" spans="1:15" ht="15" customHeight="1" x14ac:dyDescent="0.25">
      <c r="A530" t="s">
        <v>567</v>
      </c>
      <c r="B530" s="2">
        <v>45968</v>
      </c>
      <c r="C530" t="s">
        <v>16</v>
      </c>
      <c r="D530" t="s">
        <v>17</v>
      </c>
      <c r="E530" t="s">
        <v>24</v>
      </c>
      <c r="F530" t="s">
        <v>43</v>
      </c>
      <c r="G530" t="s">
        <v>44</v>
      </c>
      <c r="H530">
        <v>5</v>
      </c>
      <c r="I530" s="18">
        <v>1181.5999999999999</v>
      </c>
      <c r="J530" s="18">
        <f t="shared" si="40"/>
        <v>5908</v>
      </c>
      <c r="K530" s="18">
        <v>3872.57</v>
      </c>
      <c r="L530" s="18">
        <f t="shared" si="41"/>
        <v>2035.4299999999998</v>
      </c>
      <c r="M530" s="3">
        <f t="shared" si="42"/>
        <v>0.34452098849018276</v>
      </c>
      <c r="N530" s="4">
        <f t="shared" si="43"/>
        <v>45962</v>
      </c>
      <c r="O530" t="str">
        <f t="shared" si="44"/>
        <v>Nov</v>
      </c>
    </row>
    <row r="531" spans="1:15" ht="15" customHeight="1" x14ac:dyDescent="0.25">
      <c r="A531" t="s">
        <v>568</v>
      </c>
      <c r="B531" s="2">
        <v>45702</v>
      </c>
      <c r="C531" t="s">
        <v>16</v>
      </c>
      <c r="D531" t="s">
        <v>17</v>
      </c>
      <c r="E531" t="s">
        <v>18</v>
      </c>
      <c r="F531" t="s">
        <v>40</v>
      </c>
      <c r="G531" t="s">
        <v>20</v>
      </c>
      <c r="H531">
        <v>5</v>
      </c>
      <c r="I531" s="18">
        <v>671.58</v>
      </c>
      <c r="J531" s="18">
        <f t="shared" si="40"/>
        <v>3357.9</v>
      </c>
      <c r="K531" s="18">
        <v>2191.2199999999998</v>
      </c>
      <c r="L531" s="18">
        <f t="shared" si="41"/>
        <v>1166.6800000000003</v>
      </c>
      <c r="M531" s="3">
        <f t="shared" si="42"/>
        <v>0.34744334256529386</v>
      </c>
      <c r="N531" s="4">
        <f t="shared" si="43"/>
        <v>45689</v>
      </c>
      <c r="O531" t="str">
        <f t="shared" si="44"/>
        <v>Feb</v>
      </c>
    </row>
    <row r="532" spans="1:15" ht="15" customHeight="1" x14ac:dyDescent="0.25">
      <c r="A532" t="s">
        <v>569</v>
      </c>
      <c r="B532" s="2">
        <v>45761</v>
      </c>
      <c r="C532" t="s">
        <v>26</v>
      </c>
      <c r="D532" t="s">
        <v>17</v>
      </c>
      <c r="E532" t="s">
        <v>33</v>
      </c>
      <c r="F532" t="s">
        <v>19</v>
      </c>
      <c r="G532" t="s">
        <v>20</v>
      </c>
      <c r="H532">
        <v>8</v>
      </c>
      <c r="I532" s="18">
        <v>1193.4100000000001</v>
      </c>
      <c r="J532" s="18">
        <f t="shared" si="40"/>
        <v>9547.2800000000007</v>
      </c>
      <c r="K532" s="18">
        <v>5890.47</v>
      </c>
      <c r="L532" s="18">
        <f t="shared" si="41"/>
        <v>3656.8100000000004</v>
      </c>
      <c r="M532" s="3">
        <f t="shared" si="42"/>
        <v>0.38302113272052357</v>
      </c>
      <c r="N532" s="4">
        <f t="shared" si="43"/>
        <v>45748</v>
      </c>
      <c r="O532" t="str">
        <f t="shared" si="44"/>
        <v>Apr</v>
      </c>
    </row>
    <row r="533" spans="1:15" ht="15" customHeight="1" x14ac:dyDescent="0.25">
      <c r="A533" t="s">
        <v>570</v>
      </c>
      <c r="B533" s="2">
        <v>45816</v>
      </c>
      <c r="C533" t="s">
        <v>22</v>
      </c>
      <c r="D533" t="s">
        <v>23</v>
      </c>
      <c r="E533" t="s">
        <v>18</v>
      </c>
      <c r="F533" t="s">
        <v>46</v>
      </c>
      <c r="G533" t="s">
        <v>28</v>
      </c>
      <c r="H533">
        <v>3</v>
      </c>
      <c r="I533" s="18">
        <v>10677.95</v>
      </c>
      <c r="J533" s="18">
        <f t="shared" si="40"/>
        <v>32033.850000000002</v>
      </c>
      <c r="K533" s="18">
        <v>18860.650000000001</v>
      </c>
      <c r="L533" s="18">
        <f t="shared" si="41"/>
        <v>13173.2</v>
      </c>
      <c r="M533" s="3">
        <f t="shared" si="42"/>
        <v>0.4112274984118362</v>
      </c>
      <c r="N533" s="4">
        <f t="shared" si="43"/>
        <v>45809</v>
      </c>
      <c r="O533" t="str">
        <f t="shared" si="44"/>
        <v>Jun</v>
      </c>
    </row>
    <row r="534" spans="1:15" ht="15" customHeight="1" x14ac:dyDescent="0.25">
      <c r="A534" t="s">
        <v>571</v>
      </c>
      <c r="B534" s="2">
        <v>45817</v>
      </c>
      <c r="C534" t="s">
        <v>26</v>
      </c>
      <c r="D534" t="s">
        <v>23</v>
      </c>
      <c r="E534" t="s">
        <v>33</v>
      </c>
      <c r="F534" t="s">
        <v>37</v>
      </c>
      <c r="G534" t="s">
        <v>20</v>
      </c>
      <c r="H534">
        <v>8</v>
      </c>
      <c r="I534" s="18">
        <v>21832.67</v>
      </c>
      <c r="J534" s="18">
        <f t="shared" si="40"/>
        <v>174661.36</v>
      </c>
      <c r="K534" s="18">
        <v>105625.53</v>
      </c>
      <c r="L534" s="18">
        <f t="shared" si="41"/>
        <v>69035.829999999987</v>
      </c>
      <c r="M534" s="3">
        <f t="shared" si="42"/>
        <v>0.39525531004682429</v>
      </c>
      <c r="N534" s="4">
        <f t="shared" si="43"/>
        <v>45809</v>
      </c>
      <c r="O534" t="str">
        <f t="shared" si="44"/>
        <v>Jun</v>
      </c>
    </row>
    <row r="535" spans="1:15" ht="15" customHeight="1" x14ac:dyDescent="0.25">
      <c r="A535" t="s">
        <v>572</v>
      </c>
      <c r="B535" s="2">
        <v>45817</v>
      </c>
      <c r="C535" t="s">
        <v>22</v>
      </c>
      <c r="D535" t="s">
        <v>23</v>
      </c>
      <c r="E535" t="s">
        <v>39</v>
      </c>
      <c r="F535" t="s">
        <v>53</v>
      </c>
      <c r="G535" t="s">
        <v>44</v>
      </c>
      <c r="H535">
        <v>5</v>
      </c>
      <c r="I535" s="18">
        <v>2428.4499999999998</v>
      </c>
      <c r="J535" s="18">
        <f t="shared" si="40"/>
        <v>12142.25</v>
      </c>
      <c r="K535" s="18">
        <v>7972.55</v>
      </c>
      <c r="L535" s="18">
        <f t="shared" si="41"/>
        <v>4169.7</v>
      </c>
      <c r="M535" s="3">
        <f t="shared" si="42"/>
        <v>0.34340422903498113</v>
      </c>
      <c r="N535" s="4">
        <f t="shared" si="43"/>
        <v>45809</v>
      </c>
      <c r="O535" t="str">
        <f t="shared" si="44"/>
        <v>Jun</v>
      </c>
    </row>
    <row r="536" spans="1:15" ht="15" customHeight="1" x14ac:dyDescent="0.25">
      <c r="A536" t="s">
        <v>573</v>
      </c>
      <c r="B536" s="2">
        <v>45734</v>
      </c>
      <c r="C536" t="s">
        <v>26</v>
      </c>
      <c r="D536" t="s">
        <v>17</v>
      </c>
      <c r="E536" t="s">
        <v>52</v>
      </c>
      <c r="F536" t="s">
        <v>35</v>
      </c>
      <c r="G536" t="s">
        <v>20</v>
      </c>
      <c r="H536">
        <v>2</v>
      </c>
      <c r="I536" s="18">
        <v>1729.2</v>
      </c>
      <c r="J536" s="18">
        <f t="shared" si="40"/>
        <v>3458.4</v>
      </c>
      <c r="K536" s="18">
        <v>2296.64</v>
      </c>
      <c r="L536" s="18">
        <f t="shared" si="41"/>
        <v>1161.7600000000002</v>
      </c>
      <c r="M536" s="3">
        <f t="shared" si="42"/>
        <v>0.3359241267638215</v>
      </c>
      <c r="N536" s="4">
        <f t="shared" si="43"/>
        <v>45717</v>
      </c>
      <c r="O536" t="str">
        <f t="shared" si="44"/>
        <v>Mar</v>
      </c>
    </row>
    <row r="537" spans="1:15" ht="15" customHeight="1" x14ac:dyDescent="0.25">
      <c r="A537" t="s">
        <v>574</v>
      </c>
      <c r="B537" s="2">
        <v>46018</v>
      </c>
      <c r="C537" t="s">
        <v>22</v>
      </c>
      <c r="D537" t="s">
        <v>23</v>
      </c>
      <c r="E537" t="s">
        <v>52</v>
      </c>
      <c r="F537" t="s">
        <v>27</v>
      </c>
      <c r="G537" t="s">
        <v>28</v>
      </c>
      <c r="H537">
        <v>2</v>
      </c>
      <c r="I537" s="18">
        <v>17710.68</v>
      </c>
      <c r="J537" s="18">
        <f t="shared" si="40"/>
        <v>35421.360000000001</v>
      </c>
      <c r="K537" s="18">
        <v>28129.46</v>
      </c>
      <c r="L537" s="18">
        <f t="shared" si="41"/>
        <v>7291.9000000000015</v>
      </c>
      <c r="M537" s="3">
        <f t="shared" si="42"/>
        <v>0.20586166087355204</v>
      </c>
      <c r="N537" s="4">
        <f t="shared" si="43"/>
        <v>45992</v>
      </c>
      <c r="O537" t="str">
        <f t="shared" si="44"/>
        <v>Dec</v>
      </c>
    </row>
    <row r="538" spans="1:15" ht="15" customHeight="1" x14ac:dyDescent="0.25">
      <c r="A538" t="s">
        <v>575</v>
      </c>
      <c r="B538" s="2">
        <v>45672</v>
      </c>
      <c r="C538" t="s">
        <v>31</v>
      </c>
      <c r="D538" t="s">
        <v>17</v>
      </c>
      <c r="E538" t="s">
        <v>33</v>
      </c>
      <c r="F538" t="s">
        <v>40</v>
      </c>
      <c r="G538" t="s">
        <v>20</v>
      </c>
      <c r="H538">
        <v>7</v>
      </c>
      <c r="I538" s="18">
        <v>326.05</v>
      </c>
      <c r="J538" s="18">
        <f t="shared" si="40"/>
        <v>2282.35</v>
      </c>
      <c r="K538" s="18">
        <v>1557.37</v>
      </c>
      <c r="L538" s="18">
        <f t="shared" si="41"/>
        <v>724.98</v>
      </c>
      <c r="M538" s="3">
        <f t="shared" si="42"/>
        <v>0.31764628562665675</v>
      </c>
      <c r="N538" s="4">
        <f t="shared" si="43"/>
        <v>45658</v>
      </c>
      <c r="O538" t="str">
        <f t="shared" si="44"/>
        <v>Jan</v>
      </c>
    </row>
    <row r="539" spans="1:15" ht="15" customHeight="1" x14ac:dyDescent="0.25">
      <c r="A539" t="s">
        <v>576</v>
      </c>
      <c r="B539" s="2">
        <v>45840</v>
      </c>
      <c r="C539" t="s">
        <v>22</v>
      </c>
      <c r="D539" t="s">
        <v>23</v>
      </c>
      <c r="E539" t="s">
        <v>18</v>
      </c>
      <c r="F539" t="s">
        <v>27</v>
      </c>
      <c r="G539" t="s">
        <v>28</v>
      </c>
      <c r="H539">
        <v>2</v>
      </c>
      <c r="I539" s="18">
        <v>15812.37</v>
      </c>
      <c r="J539" s="18">
        <f t="shared" si="40"/>
        <v>31624.74</v>
      </c>
      <c r="K539" s="18">
        <v>24078.39</v>
      </c>
      <c r="L539" s="18">
        <f t="shared" si="41"/>
        <v>7546.3500000000022</v>
      </c>
      <c r="M539" s="3">
        <f t="shared" si="42"/>
        <v>0.23862172463710379</v>
      </c>
      <c r="N539" s="4">
        <f t="shared" si="43"/>
        <v>45839</v>
      </c>
      <c r="O539" t="str">
        <f t="shared" si="44"/>
        <v>Jul</v>
      </c>
    </row>
    <row r="540" spans="1:15" ht="15" customHeight="1" x14ac:dyDescent="0.25">
      <c r="A540" t="s">
        <v>577</v>
      </c>
      <c r="B540" s="2">
        <v>46015</v>
      </c>
      <c r="C540" t="s">
        <v>31</v>
      </c>
      <c r="D540" t="s">
        <v>17</v>
      </c>
      <c r="E540" t="s">
        <v>39</v>
      </c>
      <c r="F540" t="s">
        <v>40</v>
      </c>
      <c r="G540" t="s">
        <v>20</v>
      </c>
      <c r="H540">
        <v>8</v>
      </c>
      <c r="I540" s="18">
        <v>563.66</v>
      </c>
      <c r="J540" s="18">
        <f t="shared" si="40"/>
        <v>4509.28</v>
      </c>
      <c r="K540" s="18">
        <v>3640.74</v>
      </c>
      <c r="L540" s="18">
        <f t="shared" si="41"/>
        <v>868.54</v>
      </c>
      <c r="M540" s="3">
        <f t="shared" si="42"/>
        <v>0.19261168080048258</v>
      </c>
      <c r="N540" s="4">
        <f t="shared" si="43"/>
        <v>45992</v>
      </c>
      <c r="O540" t="str">
        <f t="shared" si="44"/>
        <v>Dec</v>
      </c>
    </row>
    <row r="541" spans="1:15" ht="15" customHeight="1" x14ac:dyDescent="0.25">
      <c r="A541" t="s">
        <v>578</v>
      </c>
      <c r="B541" s="2">
        <v>45858</v>
      </c>
      <c r="C541" t="s">
        <v>22</v>
      </c>
      <c r="D541" t="s">
        <v>23</v>
      </c>
      <c r="E541" t="s">
        <v>39</v>
      </c>
      <c r="F541" t="s">
        <v>35</v>
      </c>
      <c r="G541" t="s">
        <v>20</v>
      </c>
      <c r="H541">
        <v>6</v>
      </c>
      <c r="I541" s="18">
        <v>3572.31</v>
      </c>
      <c r="J541" s="18">
        <f t="shared" si="40"/>
        <v>21433.86</v>
      </c>
      <c r="K541" s="18">
        <v>12587.32</v>
      </c>
      <c r="L541" s="18">
        <f t="shared" si="41"/>
        <v>8846.5400000000009</v>
      </c>
      <c r="M541" s="3">
        <f t="shared" si="42"/>
        <v>0.4127366699231963</v>
      </c>
      <c r="N541" s="4">
        <f t="shared" si="43"/>
        <v>45839</v>
      </c>
      <c r="O541" t="str">
        <f t="shared" si="44"/>
        <v>Jul</v>
      </c>
    </row>
    <row r="542" spans="1:15" ht="15" customHeight="1" x14ac:dyDescent="0.25">
      <c r="A542" t="s">
        <v>579</v>
      </c>
      <c r="B542" s="2">
        <v>45903</v>
      </c>
      <c r="C542" t="s">
        <v>16</v>
      </c>
      <c r="D542" t="s">
        <v>17</v>
      </c>
      <c r="E542" t="s">
        <v>18</v>
      </c>
      <c r="F542" t="s">
        <v>40</v>
      </c>
      <c r="G542" t="s">
        <v>20</v>
      </c>
      <c r="H542">
        <v>6</v>
      </c>
      <c r="I542" s="18">
        <v>1057.6400000000001</v>
      </c>
      <c r="J542" s="18">
        <f t="shared" si="40"/>
        <v>6345.84</v>
      </c>
      <c r="K542" s="18">
        <v>3874.61</v>
      </c>
      <c r="L542" s="18">
        <f t="shared" si="41"/>
        <v>2471.23</v>
      </c>
      <c r="M542" s="3">
        <f t="shared" si="42"/>
        <v>0.38942519824010691</v>
      </c>
      <c r="N542" s="4">
        <f t="shared" si="43"/>
        <v>45901</v>
      </c>
      <c r="O542" t="str">
        <f t="shared" si="44"/>
        <v>Sep</v>
      </c>
    </row>
    <row r="543" spans="1:15" ht="15" customHeight="1" x14ac:dyDescent="0.25">
      <c r="A543" t="s">
        <v>580</v>
      </c>
      <c r="B543" s="2">
        <v>45824</v>
      </c>
      <c r="C543" t="s">
        <v>22</v>
      </c>
      <c r="D543" t="s">
        <v>23</v>
      </c>
      <c r="E543" t="s">
        <v>33</v>
      </c>
      <c r="F543" t="s">
        <v>50</v>
      </c>
      <c r="G543" t="s">
        <v>28</v>
      </c>
      <c r="H543">
        <v>5</v>
      </c>
      <c r="I543" s="18">
        <v>1067.95</v>
      </c>
      <c r="J543" s="18">
        <f t="shared" si="40"/>
        <v>5339.75</v>
      </c>
      <c r="K543" s="18">
        <v>3610.72</v>
      </c>
      <c r="L543" s="18">
        <f t="shared" si="41"/>
        <v>1729.0300000000002</v>
      </c>
      <c r="M543" s="3">
        <f t="shared" si="42"/>
        <v>0.32380354885528351</v>
      </c>
      <c r="N543" s="4">
        <f t="shared" si="43"/>
        <v>45809</v>
      </c>
      <c r="O543" t="str">
        <f t="shared" si="44"/>
        <v>Jun</v>
      </c>
    </row>
    <row r="544" spans="1:15" ht="15" customHeight="1" x14ac:dyDescent="0.25">
      <c r="A544" t="s">
        <v>581</v>
      </c>
      <c r="B544" s="2">
        <v>45782</v>
      </c>
      <c r="C544" t="s">
        <v>22</v>
      </c>
      <c r="D544" t="s">
        <v>17</v>
      </c>
      <c r="E544" t="s">
        <v>33</v>
      </c>
      <c r="F544" t="s">
        <v>50</v>
      </c>
      <c r="G544" t="s">
        <v>28</v>
      </c>
      <c r="H544">
        <v>2</v>
      </c>
      <c r="I544" s="18">
        <v>622.52</v>
      </c>
      <c r="J544" s="18">
        <f t="shared" si="40"/>
        <v>1245.04</v>
      </c>
      <c r="K544" s="18">
        <v>965.33</v>
      </c>
      <c r="L544" s="18">
        <f t="shared" si="41"/>
        <v>279.70999999999992</v>
      </c>
      <c r="M544" s="3">
        <f t="shared" si="42"/>
        <v>0.22465944869241145</v>
      </c>
      <c r="N544" s="4">
        <f t="shared" si="43"/>
        <v>45778</v>
      </c>
      <c r="O544" t="str">
        <f t="shared" si="44"/>
        <v>May</v>
      </c>
    </row>
    <row r="545" spans="1:15" ht="15" customHeight="1" x14ac:dyDescent="0.25">
      <c r="A545" t="s">
        <v>582</v>
      </c>
      <c r="B545" s="2">
        <v>45833</v>
      </c>
      <c r="C545" t="s">
        <v>22</v>
      </c>
      <c r="D545" t="s">
        <v>23</v>
      </c>
      <c r="E545" t="s">
        <v>33</v>
      </c>
      <c r="F545" t="s">
        <v>50</v>
      </c>
      <c r="G545" t="s">
        <v>28</v>
      </c>
      <c r="H545">
        <v>2</v>
      </c>
      <c r="I545" s="18">
        <v>447.44</v>
      </c>
      <c r="J545" s="18">
        <f t="shared" si="40"/>
        <v>894.88</v>
      </c>
      <c r="K545" s="18">
        <v>671.93</v>
      </c>
      <c r="L545" s="18">
        <f t="shared" si="41"/>
        <v>222.95000000000005</v>
      </c>
      <c r="M545" s="3">
        <f t="shared" si="42"/>
        <v>0.24913954943679606</v>
      </c>
      <c r="N545" s="4">
        <f t="shared" si="43"/>
        <v>45809</v>
      </c>
      <c r="O545" t="str">
        <f t="shared" si="44"/>
        <v>Jun</v>
      </c>
    </row>
    <row r="546" spans="1:15" ht="15" customHeight="1" x14ac:dyDescent="0.25">
      <c r="A546" t="s">
        <v>583</v>
      </c>
      <c r="B546" s="2">
        <v>45963</v>
      </c>
      <c r="C546" t="s">
        <v>16</v>
      </c>
      <c r="D546" t="s">
        <v>23</v>
      </c>
      <c r="E546" t="s">
        <v>33</v>
      </c>
      <c r="F546" t="s">
        <v>40</v>
      </c>
      <c r="G546" t="s">
        <v>20</v>
      </c>
      <c r="H546">
        <v>8</v>
      </c>
      <c r="I546" s="18">
        <v>1020.34</v>
      </c>
      <c r="J546" s="18">
        <f t="shared" si="40"/>
        <v>8162.72</v>
      </c>
      <c r="K546" s="18">
        <v>6607</v>
      </c>
      <c r="L546" s="18">
        <f t="shared" si="41"/>
        <v>1555.7200000000003</v>
      </c>
      <c r="M546" s="3">
        <f t="shared" si="42"/>
        <v>0.19058843130721134</v>
      </c>
      <c r="N546" s="4">
        <f t="shared" si="43"/>
        <v>45962</v>
      </c>
      <c r="O546" t="str">
        <f t="shared" si="44"/>
        <v>Nov</v>
      </c>
    </row>
    <row r="547" spans="1:15" ht="15" customHeight="1" x14ac:dyDescent="0.25">
      <c r="A547" t="s">
        <v>584</v>
      </c>
      <c r="B547" s="2">
        <v>45852</v>
      </c>
      <c r="C547" t="s">
        <v>16</v>
      </c>
      <c r="D547" t="s">
        <v>23</v>
      </c>
      <c r="E547" t="s">
        <v>52</v>
      </c>
      <c r="F547" t="s">
        <v>46</v>
      </c>
      <c r="G547" t="s">
        <v>28</v>
      </c>
      <c r="H547">
        <v>4</v>
      </c>
      <c r="I547" s="18">
        <v>18182.13</v>
      </c>
      <c r="J547" s="18">
        <f t="shared" si="40"/>
        <v>72728.52</v>
      </c>
      <c r="K547" s="18">
        <v>57669.55</v>
      </c>
      <c r="L547" s="18">
        <f t="shared" si="41"/>
        <v>15058.970000000001</v>
      </c>
      <c r="M547" s="3">
        <f t="shared" si="42"/>
        <v>0.2070572864675371</v>
      </c>
      <c r="N547" s="4">
        <f t="shared" si="43"/>
        <v>45839</v>
      </c>
      <c r="O547" t="str">
        <f t="shared" si="44"/>
        <v>Jul</v>
      </c>
    </row>
    <row r="548" spans="1:15" ht="15" customHeight="1" x14ac:dyDescent="0.25">
      <c r="A548" t="s">
        <v>585</v>
      </c>
      <c r="B548" s="2">
        <v>45889</v>
      </c>
      <c r="C548" t="s">
        <v>26</v>
      </c>
      <c r="D548" t="s">
        <v>17</v>
      </c>
      <c r="E548" t="s">
        <v>33</v>
      </c>
      <c r="F548" t="s">
        <v>50</v>
      </c>
      <c r="G548" t="s">
        <v>28</v>
      </c>
      <c r="H548">
        <v>8</v>
      </c>
      <c r="I548" s="18">
        <v>826.44</v>
      </c>
      <c r="J548" s="18">
        <f t="shared" si="40"/>
        <v>6611.52</v>
      </c>
      <c r="K548" s="18">
        <v>4916.09</v>
      </c>
      <c r="L548" s="18">
        <f t="shared" si="41"/>
        <v>1695.4300000000003</v>
      </c>
      <c r="M548" s="3">
        <f t="shared" si="42"/>
        <v>0.25643573641159678</v>
      </c>
      <c r="N548" s="4">
        <f t="shared" si="43"/>
        <v>45870</v>
      </c>
      <c r="O548" t="str">
        <f t="shared" si="44"/>
        <v>Aug</v>
      </c>
    </row>
    <row r="549" spans="1:15" ht="15" customHeight="1" x14ac:dyDescent="0.25">
      <c r="A549" t="s">
        <v>586</v>
      </c>
      <c r="B549" s="2">
        <v>46005</v>
      </c>
      <c r="C549" t="s">
        <v>31</v>
      </c>
      <c r="D549" t="s">
        <v>17</v>
      </c>
      <c r="E549" t="s">
        <v>18</v>
      </c>
      <c r="F549" t="s">
        <v>27</v>
      </c>
      <c r="G549" t="s">
        <v>28</v>
      </c>
      <c r="H549">
        <v>1</v>
      </c>
      <c r="I549" s="18">
        <v>16481.490000000002</v>
      </c>
      <c r="J549" s="18">
        <f t="shared" si="40"/>
        <v>16481.490000000002</v>
      </c>
      <c r="K549" s="18">
        <v>11578.28</v>
      </c>
      <c r="L549" s="18">
        <f t="shared" si="41"/>
        <v>4903.2100000000009</v>
      </c>
      <c r="M549" s="3">
        <f t="shared" si="42"/>
        <v>0.29749798106845926</v>
      </c>
      <c r="N549" s="4">
        <f t="shared" si="43"/>
        <v>45992</v>
      </c>
      <c r="O549" t="str">
        <f t="shared" si="44"/>
        <v>Dec</v>
      </c>
    </row>
    <row r="550" spans="1:15" ht="15" customHeight="1" x14ac:dyDescent="0.25">
      <c r="A550" t="s">
        <v>587</v>
      </c>
      <c r="B550" s="2">
        <v>45847</v>
      </c>
      <c r="C550" t="s">
        <v>16</v>
      </c>
      <c r="D550" t="s">
        <v>23</v>
      </c>
      <c r="E550" t="s">
        <v>24</v>
      </c>
      <c r="F550" t="s">
        <v>50</v>
      </c>
      <c r="G550" t="s">
        <v>28</v>
      </c>
      <c r="H550">
        <v>6</v>
      </c>
      <c r="I550" s="18">
        <v>894.28</v>
      </c>
      <c r="J550" s="18">
        <f t="shared" si="40"/>
        <v>5365.68</v>
      </c>
      <c r="K550" s="18">
        <v>3475.51</v>
      </c>
      <c r="L550" s="18">
        <f t="shared" si="41"/>
        <v>1890.17</v>
      </c>
      <c r="M550" s="3">
        <f t="shared" si="42"/>
        <v>0.35227035529513501</v>
      </c>
      <c r="N550" s="4">
        <f t="shared" si="43"/>
        <v>45839</v>
      </c>
      <c r="O550" t="str">
        <f t="shared" si="44"/>
        <v>Jul</v>
      </c>
    </row>
    <row r="551" spans="1:15" ht="15" customHeight="1" x14ac:dyDescent="0.25">
      <c r="A551" t="s">
        <v>588</v>
      </c>
      <c r="B551" s="2">
        <v>46017</v>
      </c>
      <c r="C551" t="s">
        <v>31</v>
      </c>
      <c r="D551" t="s">
        <v>23</v>
      </c>
      <c r="E551" t="s">
        <v>24</v>
      </c>
      <c r="F551" t="s">
        <v>62</v>
      </c>
      <c r="G551" t="s">
        <v>20</v>
      </c>
      <c r="H551">
        <v>7</v>
      </c>
      <c r="I551" s="18">
        <v>3440.11</v>
      </c>
      <c r="J551" s="18">
        <f t="shared" si="40"/>
        <v>24080.77</v>
      </c>
      <c r="K551" s="18">
        <v>16481.98</v>
      </c>
      <c r="L551" s="18">
        <f t="shared" si="41"/>
        <v>7598.7900000000009</v>
      </c>
      <c r="M551" s="3">
        <f t="shared" si="42"/>
        <v>0.3155542783723278</v>
      </c>
      <c r="N551" s="4">
        <f t="shared" si="43"/>
        <v>45992</v>
      </c>
      <c r="O551" t="str">
        <f t="shared" si="44"/>
        <v>Dec</v>
      </c>
    </row>
    <row r="552" spans="1:15" ht="15" customHeight="1" x14ac:dyDescent="0.25">
      <c r="A552" t="s">
        <v>589</v>
      </c>
      <c r="B552" s="2">
        <v>45729</v>
      </c>
      <c r="C552" t="s">
        <v>31</v>
      </c>
      <c r="D552" t="s">
        <v>23</v>
      </c>
      <c r="E552" t="s">
        <v>18</v>
      </c>
      <c r="F552" t="s">
        <v>53</v>
      </c>
      <c r="G552" t="s">
        <v>44</v>
      </c>
      <c r="H552">
        <v>6</v>
      </c>
      <c r="I552" s="18">
        <v>4325.37</v>
      </c>
      <c r="J552" s="18">
        <f t="shared" si="40"/>
        <v>25952.22</v>
      </c>
      <c r="K552" s="18">
        <v>16013.15</v>
      </c>
      <c r="L552" s="18">
        <f t="shared" si="41"/>
        <v>9939.0700000000015</v>
      </c>
      <c r="M552" s="3">
        <f t="shared" si="42"/>
        <v>0.38297571460167956</v>
      </c>
      <c r="N552" s="4">
        <f t="shared" si="43"/>
        <v>45717</v>
      </c>
      <c r="O552" t="str">
        <f t="shared" si="44"/>
        <v>Mar</v>
      </c>
    </row>
    <row r="553" spans="1:15" ht="15" customHeight="1" x14ac:dyDescent="0.25">
      <c r="A553" t="s">
        <v>590</v>
      </c>
      <c r="B553" s="2">
        <v>45694</v>
      </c>
      <c r="C553" t="s">
        <v>31</v>
      </c>
      <c r="D553" t="s">
        <v>17</v>
      </c>
      <c r="E553" t="s">
        <v>24</v>
      </c>
      <c r="F553" t="s">
        <v>37</v>
      </c>
      <c r="G553" t="s">
        <v>20</v>
      </c>
      <c r="H553">
        <v>7</v>
      </c>
      <c r="I553" s="18">
        <v>12438.05</v>
      </c>
      <c r="J553" s="18">
        <f t="shared" si="40"/>
        <v>87066.349999999991</v>
      </c>
      <c r="K553" s="18">
        <v>53335.64</v>
      </c>
      <c r="L553" s="18">
        <f t="shared" si="41"/>
        <v>33730.709999999992</v>
      </c>
      <c r="M553" s="3">
        <f t="shared" si="42"/>
        <v>0.38741385162005754</v>
      </c>
      <c r="N553" s="4">
        <f t="shared" si="43"/>
        <v>45689</v>
      </c>
      <c r="O553" t="str">
        <f t="shared" si="44"/>
        <v>Feb</v>
      </c>
    </row>
    <row r="554" spans="1:15" ht="15" customHeight="1" x14ac:dyDescent="0.25">
      <c r="A554" t="s">
        <v>591</v>
      </c>
      <c r="B554" s="2">
        <v>46014</v>
      </c>
      <c r="C554" t="s">
        <v>26</v>
      </c>
      <c r="D554" t="s">
        <v>23</v>
      </c>
      <c r="E554" t="s">
        <v>52</v>
      </c>
      <c r="F554" t="s">
        <v>62</v>
      </c>
      <c r="G554" t="s">
        <v>20</v>
      </c>
      <c r="H554">
        <v>7</v>
      </c>
      <c r="I554" s="18">
        <v>2396.69</v>
      </c>
      <c r="J554" s="18">
        <f t="shared" si="40"/>
        <v>16776.830000000002</v>
      </c>
      <c r="K554" s="18">
        <v>11542.64</v>
      </c>
      <c r="L554" s="18">
        <f t="shared" si="41"/>
        <v>5234.1900000000023</v>
      </c>
      <c r="M554" s="3">
        <f t="shared" si="42"/>
        <v>0.31198921369531679</v>
      </c>
      <c r="N554" s="4">
        <f t="shared" si="43"/>
        <v>45992</v>
      </c>
      <c r="O554" t="str">
        <f t="shared" si="44"/>
        <v>Dec</v>
      </c>
    </row>
    <row r="555" spans="1:15" ht="15" customHeight="1" x14ac:dyDescent="0.25">
      <c r="A555" t="s">
        <v>592</v>
      </c>
      <c r="B555" s="2">
        <v>45875</v>
      </c>
      <c r="C555" t="s">
        <v>26</v>
      </c>
      <c r="D555" t="s">
        <v>23</v>
      </c>
      <c r="E555" t="s">
        <v>18</v>
      </c>
      <c r="F555" t="s">
        <v>62</v>
      </c>
      <c r="G555" t="s">
        <v>20</v>
      </c>
      <c r="H555">
        <v>4</v>
      </c>
      <c r="I555" s="18">
        <v>5191.28</v>
      </c>
      <c r="J555" s="18">
        <f t="shared" si="40"/>
        <v>20765.12</v>
      </c>
      <c r="K555" s="18">
        <v>13385.61</v>
      </c>
      <c r="L555" s="18">
        <f t="shared" si="41"/>
        <v>7379.5099999999984</v>
      </c>
      <c r="M555" s="3">
        <f t="shared" si="42"/>
        <v>0.35538007967206542</v>
      </c>
      <c r="N555" s="4">
        <f t="shared" si="43"/>
        <v>45870</v>
      </c>
      <c r="O555" t="str">
        <f t="shared" si="44"/>
        <v>Aug</v>
      </c>
    </row>
    <row r="556" spans="1:15" ht="15" customHeight="1" x14ac:dyDescent="0.25">
      <c r="A556" t="s">
        <v>593</v>
      </c>
      <c r="B556" s="2">
        <v>45948</v>
      </c>
      <c r="C556" t="s">
        <v>26</v>
      </c>
      <c r="D556" t="s">
        <v>17</v>
      </c>
      <c r="E556" t="s">
        <v>33</v>
      </c>
      <c r="F556" t="s">
        <v>40</v>
      </c>
      <c r="G556" t="s">
        <v>20</v>
      </c>
      <c r="H556">
        <v>8</v>
      </c>
      <c r="I556" s="18">
        <v>398.71</v>
      </c>
      <c r="J556" s="18">
        <f t="shared" si="40"/>
        <v>3189.68</v>
      </c>
      <c r="K556" s="18">
        <v>1911.3</v>
      </c>
      <c r="L556" s="18">
        <f t="shared" si="41"/>
        <v>1278.3799999999999</v>
      </c>
      <c r="M556" s="3">
        <f t="shared" si="42"/>
        <v>0.40078628577161346</v>
      </c>
      <c r="N556" s="4">
        <f t="shared" si="43"/>
        <v>45931</v>
      </c>
      <c r="O556" t="str">
        <f t="shared" si="44"/>
        <v>Oct</v>
      </c>
    </row>
    <row r="557" spans="1:15" ht="15" customHeight="1" x14ac:dyDescent="0.25">
      <c r="A557" t="s">
        <v>594</v>
      </c>
      <c r="B557" s="2">
        <v>45698</v>
      </c>
      <c r="C557" t="s">
        <v>16</v>
      </c>
      <c r="D557" t="s">
        <v>17</v>
      </c>
      <c r="E557" t="s">
        <v>33</v>
      </c>
      <c r="F557" t="s">
        <v>50</v>
      </c>
      <c r="G557" t="s">
        <v>28</v>
      </c>
      <c r="H557">
        <v>8</v>
      </c>
      <c r="I557" s="18">
        <v>514.09</v>
      </c>
      <c r="J557" s="18">
        <f t="shared" si="40"/>
        <v>4112.72</v>
      </c>
      <c r="K557" s="18">
        <v>3040.52</v>
      </c>
      <c r="L557" s="18">
        <f t="shared" si="41"/>
        <v>1072.2000000000003</v>
      </c>
      <c r="M557" s="3">
        <f t="shared" si="42"/>
        <v>0.26070337878581579</v>
      </c>
      <c r="N557" s="4">
        <f t="shared" si="43"/>
        <v>45689</v>
      </c>
      <c r="O557" t="str">
        <f t="shared" si="44"/>
        <v>Feb</v>
      </c>
    </row>
    <row r="558" spans="1:15" ht="15" customHeight="1" x14ac:dyDescent="0.25">
      <c r="A558" t="s">
        <v>595</v>
      </c>
      <c r="B558" s="2">
        <v>45685</v>
      </c>
      <c r="C558" t="s">
        <v>26</v>
      </c>
      <c r="D558" t="s">
        <v>17</v>
      </c>
      <c r="E558" t="s">
        <v>39</v>
      </c>
      <c r="F558" t="s">
        <v>46</v>
      </c>
      <c r="G558" t="s">
        <v>28</v>
      </c>
      <c r="H558">
        <v>8</v>
      </c>
      <c r="I558" s="18">
        <v>17809.990000000002</v>
      </c>
      <c r="J558" s="18">
        <f t="shared" si="40"/>
        <v>142479.92000000001</v>
      </c>
      <c r="K558" s="18">
        <v>98683.839999999997</v>
      </c>
      <c r="L558" s="18">
        <f t="shared" si="41"/>
        <v>43796.080000000016</v>
      </c>
      <c r="M558" s="3">
        <f t="shared" si="42"/>
        <v>0.3073842264931087</v>
      </c>
      <c r="N558" s="4">
        <f t="shared" si="43"/>
        <v>45658</v>
      </c>
      <c r="O558" t="str">
        <f t="shared" si="44"/>
        <v>Jan</v>
      </c>
    </row>
    <row r="559" spans="1:15" ht="15" customHeight="1" x14ac:dyDescent="0.25">
      <c r="A559" t="s">
        <v>596</v>
      </c>
      <c r="B559" s="2">
        <v>45808</v>
      </c>
      <c r="C559" t="s">
        <v>16</v>
      </c>
      <c r="D559" t="s">
        <v>17</v>
      </c>
      <c r="E559" t="s">
        <v>33</v>
      </c>
      <c r="F559" t="s">
        <v>27</v>
      </c>
      <c r="G559" t="s">
        <v>28</v>
      </c>
      <c r="H559">
        <v>5</v>
      </c>
      <c r="I559" s="18">
        <v>12277.11</v>
      </c>
      <c r="J559" s="18">
        <f t="shared" si="40"/>
        <v>61385.55</v>
      </c>
      <c r="K559" s="18">
        <v>43908.44</v>
      </c>
      <c r="L559" s="18">
        <f t="shared" si="41"/>
        <v>17477.11</v>
      </c>
      <c r="M559" s="3">
        <f t="shared" si="42"/>
        <v>0.28471048968364704</v>
      </c>
      <c r="N559" s="4">
        <f t="shared" si="43"/>
        <v>45778</v>
      </c>
      <c r="O559" t="str">
        <f t="shared" si="44"/>
        <v>May</v>
      </c>
    </row>
    <row r="560" spans="1:15" ht="15" customHeight="1" x14ac:dyDescent="0.25">
      <c r="A560" t="s">
        <v>597</v>
      </c>
      <c r="B560" s="2">
        <v>45744</v>
      </c>
      <c r="C560" t="s">
        <v>16</v>
      </c>
      <c r="D560" t="s">
        <v>17</v>
      </c>
      <c r="E560" t="s">
        <v>39</v>
      </c>
      <c r="F560" t="s">
        <v>62</v>
      </c>
      <c r="G560" t="s">
        <v>20</v>
      </c>
      <c r="H560">
        <v>1</v>
      </c>
      <c r="I560" s="18">
        <v>3149.72</v>
      </c>
      <c r="J560" s="18">
        <f t="shared" si="40"/>
        <v>3149.72</v>
      </c>
      <c r="K560" s="18">
        <v>1889.21</v>
      </c>
      <c r="L560" s="18">
        <f t="shared" si="41"/>
        <v>1260.5099999999998</v>
      </c>
      <c r="M560" s="3">
        <f t="shared" si="42"/>
        <v>0.40019747787104881</v>
      </c>
      <c r="N560" s="4">
        <f t="shared" si="43"/>
        <v>45717</v>
      </c>
      <c r="O560" t="str">
        <f t="shared" si="44"/>
        <v>Mar</v>
      </c>
    </row>
    <row r="561" spans="1:15" ht="15" customHeight="1" x14ac:dyDescent="0.25">
      <c r="A561" t="s">
        <v>598</v>
      </c>
      <c r="B561" s="2">
        <v>45725</v>
      </c>
      <c r="C561" t="s">
        <v>31</v>
      </c>
      <c r="D561" t="s">
        <v>23</v>
      </c>
      <c r="E561" t="s">
        <v>24</v>
      </c>
      <c r="F561" t="s">
        <v>62</v>
      </c>
      <c r="G561" t="s">
        <v>20</v>
      </c>
      <c r="H561">
        <v>5</v>
      </c>
      <c r="I561" s="18">
        <v>2847.56</v>
      </c>
      <c r="J561" s="18">
        <f t="shared" si="40"/>
        <v>14237.8</v>
      </c>
      <c r="K561" s="18">
        <v>8639.1</v>
      </c>
      <c r="L561" s="18">
        <f t="shared" si="41"/>
        <v>5598.6999999999989</v>
      </c>
      <c r="M561" s="3">
        <f t="shared" si="42"/>
        <v>0.39322788633075328</v>
      </c>
      <c r="N561" s="4">
        <f t="shared" si="43"/>
        <v>45717</v>
      </c>
      <c r="O561" t="str">
        <f t="shared" si="44"/>
        <v>Mar</v>
      </c>
    </row>
    <row r="562" spans="1:15" ht="15" customHeight="1" x14ac:dyDescent="0.25">
      <c r="A562" t="s">
        <v>599</v>
      </c>
      <c r="B562" s="2">
        <v>45847</v>
      </c>
      <c r="C562" t="s">
        <v>26</v>
      </c>
      <c r="D562" t="s">
        <v>23</v>
      </c>
      <c r="E562" t="s">
        <v>52</v>
      </c>
      <c r="F562" t="s">
        <v>35</v>
      </c>
      <c r="G562" t="s">
        <v>20</v>
      </c>
      <c r="H562">
        <v>3</v>
      </c>
      <c r="I562" s="18">
        <v>3003.68</v>
      </c>
      <c r="J562" s="18">
        <f t="shared" si="40"/>
        <v>9011.0399999999991</v>
      </c>
      <c r="K562" s="18">
        <v>7090.64</v>
      </c>
      <c r="L562" s="18">
        <f t="shared" si="41"/>
        <v>1920.3999999999987</v>
      </c>
      <c r="M562" s="3">
        <f t="shared" si="42"/>
        <v>0.21311635504891766</v>
      </c>
      <c r="N562" s="4">
        <f t="shared" si="43"/>
        <v>45839</v>
      </c>
      <c r="O562" t="str">
        <f t="shared" si="44"/>
        <v>Jul</v>
      </c>
    </row>
    <row r="563" spans="1:15" ht="15" customHeight="1" x14ac:dyDescent="0.25">
      <c r="A563" t="s">
        <v>600</v>
      </c>
      <c r="B563" s="2">
        <v>45962</v>
      </c>
      <c r="C563" t="s">
        <v>31</v>
      </c>
      <c r="D563" t="s">
        <v>23</v>
      </c>
      <c r="E563" t="s">
        <v>33</v>
      </c>
      <c r="F563" t="s">
        <v>35</v>
      </c>
      <c r="G563" t="s">
        <v>20</v>
      </c>
      <c r="H563">
        <v>7</v>
      </c>
      <c r="I563" s="18">
        <v>4057.58</v>
      </c>
      <c r="J563" s="18">
        <f t="shared" si="40"/>
        <v>28403.059999999998</v>
      </c>
      <c r="K563" s="18">
        <v>19474.400000000001</v>
      </c>
      <c r="L563" s="18">
        <f t="shared" si="41"/>
        <v>8928.6599999999962</v>
      </c>
      <c r="M563" s="3">
        <f t="shared" si="42"/>
        <v>0.31435556591437674</v>
      </c>
      <c r="N563" s="4">
        <f t="shared" si="43"/>
        <v>45962</v>
      </c>
      <c r="O563" t="str">
        <f t="shared" si="44"/>
        <v>Nov</v>
      </c>
    </row>
    <row r="564" spans="1:15" ht="15" customHeight="1" x14ac:dyDescent="0.25">
      <c r="A564" t="s">
        <v>601</v>
      </c>
      <c r="B564" s="2">
        <v>45834</v>
      </c>
      <c r="C564" t="s">
        <v>22</v>
      </c>
      <c r="D564" t="s">
        <v>17</v>
      </c>
      <c r="E564" t="s">
        <v>24</v>
      </c>
      <c r="F564" t="s">
        <v>37</v>
      </c>
      <c r="G564" t="s">
        <v>20</v>
      </c>
      <c r="H564">
        <v>2</v>
      </c>
      <c r="I564" s="18">
        <v>17774.87</v>
      </c>
      <c r="J564" s="18">
        <f t="shared" si="40"/>
        <v>35549.74</v>
      </c>
      <c r="K564" s="18">
        <v>24577.8</v>
      </c>
      <c r="L564" s="18">
        <f t="shared" si="41"/>
        <v>10971.939999999999</v>
      </c>
      <c r="M564" s="3">
        <f t="shared" si="42"/>
        <v>0.30863629382380853</v>
      </c>
      <c r="N564" s="4">
        <f t="shared" si="43"/>
        <v>45809</v>
      </c>
      <c r="O564" t="str">
        <f t="shared" si="44"/>
        <v>Jun</v>
      </c>
    </row>
    <row r="565" spans="1:15" ht="15" customHeight="1" x14ac:dyDescent="0.25">
      <c r="A565" t="s">
        <v>602</v>
      </c>
      <c r="B565" s="2">
        <v>45930</v>
      </c>
      <c r="C565" t="s">
        <v>16</v>
      </c>
      <c r="D565" t="s">
        <v>17</v>
      </c>
      <c r="E565" t="s">
        <v>24</v>
      </c>
      <c r="F565" t="s">
        <v>53</v>
      </c>
      <c r="G565" t="s">
        <v>44</v>
      </c>
      <c r="H565">
        <v>5</v>
      </c>
      <c r="I565" s="18">
        <v>3804.38</v>
      </c>
      <c r="J565" s="18">
        <f t="shared" si="40"/>
        <v>19021.900000000001</v>
      </c>
      <c r="K565" s="18">
        <v>15005.74</v>
      </c>
      <c r="L565" s="18">
        <f t="shared" si="41"/>
        <v>4016.1600000000017</v>
      </c>
      <c r="M565" s="3">
        <f t="shared" si="42"/>
        <v>0.21113348298540111</v>
      </c>
      <c r="N565" s="4">
        <f t="shared" si="43"/>
        <v>45901</v>
      </c>
      <c r="O565" t="str">
        <f t="shared" si="44"/>
        <v>Sep</v>
      </c>
    </row>
    <row r="566" spans="1:15" ht="15" customHeight="1" x14ac:dyDescent="0.25">
      <c r="A566" t="s">
        <v>603</v>
      </c>
      <c r="B566" s="2">
        <v>45853</v>
      </c>
      <c r="C566" t="s">
        <v>26</v>
      </c>
      <c r="D566" t="s">
        <v>17</v>
      </c>
      <c r="E566" t="s">
        <v>39</v>
      </c>
      <c r="F566" t="s">
        <v>46</v>
      </c>
      <c r="G566" t="s">
        <v>28</v>
      </c>
      <c r="H566">
        <v>6</v>
      </c>
      <c r="I566" s="18">
        <v>19300.7</v>
      </c>
      <c r="J566" s="18">
        <f t="shared" si="40"/>
        <v>115804.20000000001</v>
      </c>
      <c r="K566" s="18">
        <v>79167.06</v>
      </c>
      <c r="L566" s="18">
        <f t="shared" si="41"/>
        <v>36637.140000000014</v>
      </c>
      <c r="M566" s="3">
        <f t="shared" si="42"/>
        <v>0.3163714269430643</v>
      </c>
      <c r="N566" s="4">
        <f t="shared" si="43"/>
        <v>45839</v>
      </c>
      <c r="O566" t="str">
        <f t="shared" si="44"/>
        <v>Jul</v>
      </c>
    </row>
    <row r="567" spans="1:15" ht="15" customHeight="1" x14ac:dyDescent="0.25">
      <c r="A567" t="s">
        <v>604</v>
      </c>
      <c r="B567" s="2">
        <v>45794</v>
      </c>
      <c r="C567" t="s">
        <v>31</v>
      </c>
      <c r="D567" t="s">
        <v>17</v>
      </c>
      <c r="E567" t="s">
        <v>52</v>
      </c>
      <c r="F567" t="s">
        <v>19</v>
      </c>
      <c r="G567" t="s">
        <v>20</v>
      </c>
      <c r="H567">
        <v>4</v>
      </c>
      <c r="I567" s="18">
        <v>4296.32</v>
      </c>
      <c r="J567" s="18">
        <f t="shared" si="40"/>
        <v>17185.28</v>
      </c>
      <c r="K567" s="18">
        <v>12395.64</v>
      </c>
      <c r="L567" s="18">
        <f t="shared" si="41"/>
        <v>4789.6399999999994</v>
      </c>
      <c r="M567" s="3">
        <f t="shared" si="42"/>
        <v>0.27870596231193207</v>
      </c>
      <c r="N567" s="4">
        <f t="shared" si="43"/>
        <v>45778</v>
      </c>
      <c r="O567" t="str">
        <f t="shared" si="44"/>
        <v>May</v>
      </c>
    </row>
    <row r="568" spans="1:15" ht="15" customHeight="1" x14ac:dyDescent="0.25">
      <c r="A568" t="s">
        <v>605</v>
      </c>
      <c r="B568" s="2">
        <v>45818</v>
      </c>
      <c r="C568" t="s">
        <v>16</v>
      </c>
      <c r="D568" t="s">
        <v>17</v>
      </c>
      <c r="E568" t="s">
        <v>39</v>
      </c>
      <c r="F568" t="s">
        <v>50</v>
      </c>
      <c r="G568" t="s">
        <v>28</v>
      </c>
      <c r="H568">
        <v>2</v>
      </c>
      <c r="I568" s="18">
        <v>993.53</v>
      </c>
      <c r="J568" s="18">
        <f t="shared" si="40"/>
        <v>1987.06</v>
      </c>
      <c r="K568" s="18">
        <v>1199.0899999999999</v>
      </c>
      <c r="L568" s="18">
        <f t="shared" si="41"/>
        <v>787.97</v>
      </c>
      <c r="M568" s="3">
        <f t="shared" si="42"/>
        <v>0.39655068291848261</v>
      </c>
      <c r="N568" s="4">
        <f t="shared" si="43"/>
        <v>45809</v>
      </c>
      <c r="O568" t="str">
        <f t="shared" si="44"/>
        <v>Jun</v>
      </c>
    </row>
    <row r="569" spans="1:15" ht="15" customHeight="1" x14ac:dyDescent="0.25">
      <c r="A569" t="s">
        <v>606</v>
      </c>
      <c r="B569" s="2">
        <v>45770</v>
      </c>
      <c r="C569" t="s">
        <v>31</v>
      </c>
      <c r="D569" t="s">
        <v>23</v>
      </c>
      <c r="E569" t="s">
        <v>18</v>
      </c>
      <c r="F569" t="s">
        <v>27</v>
      </c>
      <c r="G569" t="s">
        <v>28</v>
      </c>
      <c r="H569">
        <v>1</v>
      </c>
      <c r="I569" s="18">
        <v>13440.47</v>
      </c>
      <c r="J569" s="18">
        <f t="shared" si="40"/>
        <v>13440.47</v>
      </c>
      <c r="K569" s="18">
        <v>7978.96</v>
      </c>
      <c r="L569" s="18">
        <f t="shared" si="41"/>
        <v>5461.5099999999993</v>
      </c>
      <c r="M569" s="3">
        <f t="shared" si="42"/>
        <v>0.40634814109923234</v>
      </c>
      <c r="N569" s="4">
        <f t="shared" si="43"/>
        <v>45748</v>
      </c>
      <c r="O569" t="str">
        <f t="shared" si="44"/>
        <v>Apr</v>
      </c>
    </row>
    <row r="570" spans="1:15" ht="15" customHeight="1" x14ac:dyDescent="0.25">
      <c r="A570" t="s">
        <v>607</v>
      </c>
      <c r="B570" s="2">
        <v>45702</v>
      </c>
      <c r="C570" t="s">
        <v>26</v>
      </c>
      <c r="D570" t="s">
        <v>17</v>
      </c>
      <c r="E570" t="s">
        <v>24</v>
      </c>
      <c r="F570" t="s">
        <v>62</v>
      </c>
      <c r="G570" t="s">
        <v>20</v>
      </c>
      <c r="H570">
        <v>3</v>
      </c>
      <c r="I570" s="18">
        <v>4294.1400000000003</v>
      </c>
      <c r="J570" s="18">
        <f t="shared" si="40"/>
        <v>12882.420000000002</v>
      </c>
      <c r="K570" s="18">
        <v>9622.61</v>
      </c>
      <c r="L570" s="18">
        <f t="shared" si="41"/>
        <v>3259.8100000000013</v>
      </c>
      <c r="M570" s="3">
        <f t="shared" si="42"/>
        <v>0.25304329466047537</v>
      </c>
      <c r="N570" s="4">
        <f t="shared" si="43"/>
        <v>45689</v>
      </c>
      <c r="O570" t="str">
        <f t="shared" si="44"/>
        <v>Feb</v>
      </c>
    </row>
    <row r="571" spans="1:15" ht="15" customHeight="1" x14ac:dyDescent="0.25">
      <c r="A571" t="s">
        <v>608</v>
      </c>
      <c r="B571" s="2">
        <v>45996</v>
      </c>
      <c r="C571" t="s">
        <v>26</v>
      </c>
      <c r="D571" t="s">
        <v>17</v>
      </c>
      <c r="E571" t="s">
        <v>52</v>
      </c>
      <c r="F571" t="s">
        <v>19</v>
      </c>
      <c r="G571" t="s">
        <v>20</v>
      </c>
      <c r="H571">
        <v>5</v>
      </c>
      <c r="I571" s="18">
        <v>4862.5600000000004</v>
      </c>
      <c r="J571" s="18">
        <f t="shared" si="40"/>
        <v>24312.800000000003</v>
      </c>
      <c r="K571" s="18">
        <v>18140.59</v>
      </c>
      <c r="L571" s="18">
        <f t="shared" si="41"/>
        <v>6172.2100000000028</v>
      </c>
      <c r="M571" s="3">
        <f t="shared" si="42"/>
        <v>0.2538666875061697</v>
      </c>
      <c r="N571" s="4">
        <f t="shared" si="43"/>
        <v>45992</v>
      </c>
      <c r="O571" t="str">
        <f t="shared" si="44"/>
        <v>Dec</v>
      </c>
    </row>
    <row r="572" spans="1:15" ht="15" customHeight="1" x14ac:dyDescent="0.25">
      <c r="A572" t="s">
        <v>609</v>
      </c>
      <c r="B572" s="2">
        <v>45695</v>
      </c>
      <c r="C572" t="s">
        <v>26</v>
      </c>
      <c r="D572" t="s">
        <v>23</v>
      </c>
      <c r="E572" t="s">
        <v>24</v>
      </c>
      <c r="F572" t="s">
        <v>27</v>
      </c>
      <c r="G572" t="s">
        <v>28</v>
      </c>
      <c r="H572">
        <v>7</v>
      </c>
      <c r="I572" s="18">
        <v>21004.65</v>
      </c>
      <c r="J572" s="18">
        <f t="shared" si="40"/>
        <v>147032.55000000002</v>
      </c>
      <c r="K572" s="18">
        <v>87398.22</v>
      </c>
      <c r="L572" s="18">
        <f t="shared" si="41"/>
        <v>59634.330000000016</v>
      </c>
      <c r="M572" s="3">
        <f t="shared" si="42"/>
        <v>0.40558590597796207</v>
      </c>
      <c r="N572" s="4">
        <f t="shared" si="43"/>
        <v>45689</v>
      </c>
      <c r="O572" t="str">
        <f t="shared" si="44"/>
        <v>Feb</v>
      </c>
    </row>
    <row r="573" spans="1:15" ht="15" customHeight="1" x14ac:dyDescent="0.25">
      <c r="A573" t="s">
        <v>610</v>
      </c>
      <c r="B573" s="2">
        <v>45693</v>
      </c>
      <c r="C573" t="s">
        <v>22</v>
      </c>
      <c r="D573" t="s">
        <v>23</v>
      </c>
      <c r="E573" t="s">
        <v>33</v>
      </c>
      <c r="F573" t="s">
        <v>40</v>
      </c>
      <c r="G573" t="s">
        <v>20</v>
      </c>
      <c r="H573">
        <v>8</v>
      </c>
      <c r="I573" s="18">
        <v>398.17</v>
      </c>
      <c r="J573" s="18">
        <f t="shared" si="40"/>
        <v>3185.36</v>
      </c>
      <c r="K573" s="18">
        <v>2260.81</v>
      </c>
      <c r="L573" s="18">
        <f t="shared" si="41"/>
        <v>924.55000000000018</v>
      </c>
      <c r="M573" s="3">
        <f t="shared" si="42"/>
        <v>0.29024976768716887</v>
      </c>
      <c r="N573" s="4">
        <f t="shared" si="43"/>
        <v>45689</v>
      </c>
      <c r="O573" t="str">
        <f t="shared" si="44"/>
        <v>Feb</v>
      </c>
    </row>
    <row r="574" spans="1:15" ht="15" customHeight="1" x14ac:dyDescent="0.25">
      <c r="A574" t="s">
        <v>611</v>
      </c>
      <c r="B574" s="2">
        <v>45987</v>
      </c>
      <c r="C574" t="s">
        <v>26</v>
      </c>
      <c r="D574" t="s">
        <v>17</v>
      </c>
      <c r="E574" t="s">
        <v>18</v>
      </c>
      <c r="F574" t="s">
        <v>19</v>
      </c>
      <c r="G574" t="s">
        <v>20</v>
      </c>
      <c r="H574">
        <v>1</v>
      </c>
      <c r="I574" s="18">
        <v>2762.96</v>
      </c>
      <c r="J574" s="18">
        <f t="shared" si="40"/>
        <v>2762.96</v>
      </c>
      <c r="K574" s="18">
        <v>1981.38</v>
      </c>
      <c r="L574" s="18">
        <f t="shared" si="41"/>
        <v>781.57999999999993</v>
      </c>
      <c r="M574" s="3">
        <f t="shared" si="42"/>
        <v>0.28287778324695251</v>
      </c>
      <c r="N574" s="4">
        <f t="shared" si="43"/>
        <v>45962</v>
      </c>
      <c r="O574" t="str">
        <f t="shared" si="44"/>
        <v>Nov</v>
      </c>
    </row>
    <row r="575" spans="1:15" ht="15" customHeight="1" x14ac:dyDescent="0.25">
      <c r="A575" t="s">
        <v>612</v>
      </c>
      <c r="B575" s="2">
        <v>45912</v>
      </c>
      <c r="C575" t="s">
        <v>22</v>
      </c>
      <c r="D575" t="s">
        <v>23</v>
      </c>
      <c r="E575" t="s">
        <v>33</v>
      </c>
      <c r="F575" t="s">
        <v>35</v>
      </c>
      <c r="G575" t="s">
        <v>20</v>
      </c>
      <c r="H575">
        <v>7</v>
      </c>
      <c r="I575" s="18">
        <v>864.63</v>
      </c>
      <c r="J575" s="18">
        <f t="shared" si="40"/>
        <v>6052.41</v>
      </c>
      <c r="K575" s="18">
        <v>4527.28</v>
      </c>
      <c r="L575" s="18">
        <f t="shared" si="41"/>
        <v>1525.13</v>
      </c>
      <c r="M575" s="3">
        <f t="shared" si="42"/>
        <v>0.25198722492362546</v>
      </c>
      <c r="N575" s="4">
        <f t="shared" si="43"/>
        <v>45901</v>
      </c>
      <c r="O575" t="str">
        <f t="shared" si="44"/>
        <v>Sep</v>
      </c>
    </row>
    <row r="576" spans="1:15" ht="15" customHeight="1" x14ac:dyDescent="0.25">
      <c r="A576" t="s">
        <v>613</v>
      </c>
      <c r="B576" s="2">
        <v>46020</v>
      </c>
      <c r="C576" t="s">
        <v>22</v>
      </c>
      <c r="D576" t="s">
        <v>23</v>
      </c>
      <c r="E576" t="s">
        <v>33</v>
      </c>
      <c r="F576" t="s">
        <v>40</v>
      </c>
      <c r="G576" t="s">
        <v>20</v>
      </c>
      <c r="H576">
        <v>2</v>
      </c>
      <c r="I576" s="18">
        <v>668.32</v>
      </c>
      <c r="J576" s="18">
        <f t="shared" si="40"/>
        <v>1336.64</v>
      </c>
      <c r="K576" s="18">
        <v>776.31</v>
      </c>
      <c r="L576" s="18">
        <f t="shared" si="41"/>
        <v>560.33000000000015</v>
      </c>
      <c r="M576" s="3">
        <f t="shared" si="42"/>
        <v>0.41920786449604985</v>
      </c>
      <c r="N576" s="4">
        <f t="shared" si="43"/>
        <v>45992</v>
      </c>
      <c r="O576" t="str">
        <f t="shared" si="44"/>
        <v>Dec</v>
      </c>
    </row>
    <row r="577" spans="1:15" ht="15" customHeight="1" x14ac:dyDescent="0.25">
      <c r="A577" t="s">
        <v>614</v>
      </c>
      <c r="B577" s="2">
        <v>45932</v>
      </c>
      <c r="C577" t="s">
        <v>16</v>
      </c>
      <c r="D577" t="s">
        <v>17</v>
      </c>
      <c r="E577" t="s">
        <v>33</v>
      </c>
      <c r="F577" t="s">
        <v>46</v>
      </c>
      <c r="G577" t="s">
        <v>28</v>
      </c>
      <c r="H577">
        <v>1</v>
      </c>
      <c r="I577" s="18">
        <v>14845.61</v>
      </c>
      <c r="J577" s="18">
        <f t="shared" si="40"/>
        <v>14845.61</v>
      </c>
      <c r="K577" s="18">
        <v>12026.69</v>
      </c>
      <c r="L577" s="18">
        <f t="shared" si="41"/>
        <v>2818.92</v>
      </c>
      <c r="M577" s="3">
        <f t="shared" si="42"/>
        <v>0.18988239621005806</v>
      </c>
      <c r="N577" s="4">
        <f t="shared" si="43"/>
        <v>45931</v>
      </c>
      <c r="O577" t="str">
        <f t="shared" si="44"/>
        <v>Oct</v>
      </c>
    </row>
    <row r="578" spans="1:15" ht="15" customHeight="1" x14ac:dyDescent="0.25">
      <c r="A578" t="s">
        <v>615</v>
      </c>
      <c r="B578" s="2">
        <v>45832</v>
      </c>
      <c r="C578" t="s">
        <v>22</v>
      </c>
      <c r="D578" t="s">
        <v>23</v>
      </c>
      <c r="E578" t="s">
        <v>39</v>
      </c>
      <c r="F578" t="s">
        <v>19</v>
      </c>
      <c r="G578" t="s">
        <v>20</v>
      </c>
      <c r="H578">
        <v>4</v>
      </c>
      <c r="I578" s="18">
        <v>3063.18</v>
      </c>
      <c r="J578" s="18">
        <f t="shared" ref="J578:J601" si="45">H578*I578</f>
        <v>12252.72</v>
      </c>
      <c r="K578" s="18">
        <v>7222.24</v>
      </c>
      <c r="L578" s="18">
        <f t="shared" ref="L578:L601" si="46">J578-K578</f>
        <v>5030.4799999999996</v>
      </c>
      <c r="M578" s="3">
        <f t="shared" ref="M578:M601" si="47">IFERROR(L578/J578,0)</f>
        <v>0.41056026743449614</v>
      </c>
      <c r="N578" s="4">
        <f t="shared" ref="N578:N601" si="48">DATE(YEAR(B578),MONTH(B578),1)</f>
        <v>45809</v>
      </c>
      <c r="O578" t="str">
        <f t="shared" ref="O578:O601" si="49">TEXT(N578,"mmm")</f>
        <v>Jun</v>
      </c>
    </row>
    <row r="579" spans="1:15" ht="15" customHeight="1" x14ac:dyDescent="0.25">
      <c r="A579" t="s">
        <v>616</v>
      </c>
      <c r="B579" s="2">
        <v>46014</v>
      </c>
      <c r="C579" t="s">
        <v>31</v>
      </c>
      <c r="D579" t="s">
        <v>23</v>
      </c>
      <c r="E579" t="s">
        <v>18</v>
      </c>
      <c r="F579" t="s">
        <v>43</v>
      </c>
      <c r="G579" t="s">
        <v>44</v>
      </c>
      <c r="H579">
        <v>2</v>
      </c>
      <c r="I579" s="18">
        <v>805.63</v>
      </c>
      <c r="J579" s="18">
        <f t="shared" si="45"/>
        <v>1611.26</v>
      </c>
      <c r="K579" s="18">
        <v>1103.9000000000001</v>
      </c>
      <c r="L579" s="18">
        <f t="shared" si="46"/>
        <v>507.3599999999999</v>
      </c>
      <c r="M579" s="3">
        <f t="shared" si="47"/>
        <v>0.31488400382309489</v>
      </c>
      <c r="N579" s="4">
        <f t="shared" si="48"/>
        <v>45992</v>
      </c>
      <c r="O579" t="str">
        <f t="shared" si="49"/>
        <v>Dec</v>
      </c>
    </row>
    <row r="580" spans="1:15" ht="15" customHeight="1" x14ac:dyDescent="0.25">
      <c r="A580" t="s">
        <v>617</v>
      </c>
      <c r="B580" s="2">
        <v>45756</v>
      </c>
      <c r="C580" t="s">
        <v>26</v>
      </c>
      <c r="D580" t="s">
        <v>17</v>
      </c>
      <c r="E580" t="s">
        <v>33</v>
      </c>
      <c r="F580" t="s">
        <v>37</v>
      </c>
      <c r="G580" t="s">
        <v>20</v>
      </c>
      <c r="H580">
        <v>7</v>
      </c>
      <c r="I580" s="18">
        <v>18974.75</v>
      </c>
      <c r="J580" s="18">
        <f t="shared" si="45"/>
        <v>132823.25</v>
      </c>
      <c r="K580" s="18">
        <v>94268.98</v>
      </c>
      <c r="L580" s="18">
        <f t="shared" si="46"/>
        <v>38554.270000000004</v>
      </c>
      <c r="M580" s="3">
        <f t="shared" si="47"/>
        <v>0.29026747952636306</v>
      </c>
      <c r="N580" s="4">
        <f t="shared" si="48"/>
        <v>45748</v>
      </c>
      <c r="O580" t="str">
        <f t="shared" si="49"/>
        <v>Apr</v>
      </c>
    </row>
    <row r="581" spans="1:15" ht="15" customHeight="1" x14ac:dyDescent="0.25">
      <c r="A581" t="s">
        <v>618</v>
      </c>
      <c r="B581" s="2">
        <v>45888</v>
      </c>
      <c r="C581" t="s">
        <v>16</v>
      </c>
      <c r="D581" t="s">
        <v>23</v>
      </c>
      <c r="E581" t="s">
        <v>33</v>
      </c>
      <c r="F581" t="s">
        <v>37</v>
      </c>
      <c r="G581" t="s">
        <v>20</v>
      </c>
      <c r="H581">
        <v>6</v>
      </c>
      <c r="I581" s="18">
        <v>10158.879999999999</v>
      </c>
      <c r="J581" s="18">
        <f t="shared" si="45"/>
        <v>60953.279999999999</v>
      </c>
      <c r="K581" s="18">
        <v>35979.230000000003</v>
      </c>
      <c r="L581" s="18">
        <f t="shared" si="46"/>
        <v>24974.049999999996</v>
      </c>
      <c r="M581" s="3">
        <f t="shared" si="47"/>
        <v>0.40972446437665039</v>
      </c>
      <c r="N581" s="4">
        <f t="shared" si="48"/>
        <v>45870</v>
      </c>
      <c r="O581" t="str">
        <f t="shared" si="49"/>
        <v>Aug</v>
      </c>
    </row>
    <row r="582" spans="1:15" ht="15" customHeight="1" x14ac:dyDescent="0.25">
      <c r="A582" t="s">
        <v>619</v>
      </c>
      <c r="B582" s="2">
        <v>45892</v>
      </c>
      <c r="C582" t="s">
        <v>16</v>
      </c>
      <c r="D582" t="s">
        <v>17</v>
      </c>
      <c r="E582" t="s">
        <v>33</v>
      </c>
      <c r="F582" t="s">
        <v>50</v>
      </c>
      <c r="G582" t="s">
        <v>28</v>
      </c>
      <c r="H582">
        <v>2</v>
      </c>
      <c r="I582" s="18">
        <v>1086.1300000000001</v>
      </c>
      <c r="J582" s="18">
        <f t="shared" si="45"/>
        <v>2172.2600000000002</v>
      </c>
      <c r="K582" s="18">
        <v>1333.73</v>
      </c>
      <c r="L582" s="18">
        <f t="shared" si="46"/>
        <v>838.5300000000002</v>
      </c>
      <c r="M582" s="3">
        <f t="shared" si="47"/>
        <v>0.38601732757588875</v>
      </c>
      <c r="N582" s="4">
        <f t="shared" si="48"/>
        <v>45870</v>
      </c>
      <c r="O582" t="str">
        <f t="shared" si="49"/>
        <v>Aug</v>
      </c>
    </row>
    <row r="583" spans="1:15" ht="15" customHeight="1" x14ac:dyDescent="0.25">
      <c r="A583" t="s">
        <v>620</v>
      </c>
      <c r="B583" s="2">
        <v>45681</v>
      </c>
      <c r="C583" t="s">
        <v>16</v>
      </c>
      <c r="D583" t="s">
        <v>17</v>
      </c>
      <c r="E583" t="s">
        <v>33</v>
      </c>
      <c r="F583" t="s">
        <v>53</v>
      </c>
      <c r="G583" t="s">
        <v>44</v>
      </c>
      <c r="H583">
        <v>3</v>
      </c>
      <c r="I583" s="18">
        <v>2021.24</v>
      </c>
      <c r="J583" s="18">
        <f t="shared" si="45"/>
        <v>6063.72</v>
      </c>
      <c r="K583" s="18">
        <v>4833.51</v>
      </c>
      <c r="L583" s="18">
        <f t="shared" si="46"/>
        <v>1230.21</v>
      </c>
      <c r="M583" s="3">
        <f t="shared" si="47"/>
        <v>0.2028804100453187</v>
      </c>
      <c r="N583" s="4">
        <f t="shared" si="48"/>
        <v>45658</v>
      </c>
      <c r="O583" t="str">
        <f t="shared" si="49"/>
        <v>Jan</v>
      </c>
    </row>
    <row r="584" spans="1:15" ht="15" customHeight="1" x14ac:dyDescent="0.25">
      <c r="A584" t="s">
        <v>621</v>
      </c>
      <c r="B584" s="2">
        <v>45745</v>
      </c>
      <c r="C584" t="s">
        <v>16</v>
      </c>
      <c r="D584" t="s">
        <v>23</v>
      </c>
      <c r="E584" t="s">
        <v>24</v>
      </c>
      <c r="F584" t="s">
        <v>62</v>
      </c>
      <c r="G584" t="s">
        <v>20</v>
      </c>
      <c r="H584">
        <v>8</v>
      </c>
      <c r="I584" s="18">
        <v>1804.64</v>
      </c>
      <c r="J584" s="18">
        <f t="shared" si="45"/>
        <v>14437.12</v>
      </c>
      <c r="K584" s="18">
        <v>10506.63</v>
      </c>
      <c r="L584" s="18">
        <f t="shared" si="46"/>
        <v>3930.4900000000016</v>
      </c>
      <c r="M584" s="3">
        <f t="shared" si="47"/>
        <v>0.27224889728699364</v>
      </c>
      <c r="N584" s="4">
        <f t="shared" si="48"/>
        <v>45717</v>
      </c>
      <c r="O584" t="str">
        <f t="shared" si="49"/>
        <v>Mar</v>
      </c>
    </row>
    <row r="585" spans="1:15" ht="15" customHeight="1" x14ac:dyDescent="0.25">
      <c r="A585" t="s">
        <v>622</v>
      </c>
      <c r="B585" s="2">
        <v>45830</v>
      </c>
      <c r="C585" t="s">
        <v>31</v>
      </c>
      <c r="D585" t="s">
        <v>23</v>
      </c>
      <c r="E585" t="s">
        <v>33</v>
      </c>
      <c r="F585" t="s">
        <v>43</v>
      </c>
      <c r="G585" t="s">
        <v>44</v>
      </c>
      <c r="H585">
        <v>3</v>
      </c>
      <c r="I585" s="18">
        <v>916.1</v>
      </c>
      <c r="J585" s="18">
        <f t="shared" si="45"/>
        <v>2748.3</v>
      </c>
      <c r="K585" s="18">
        <v>2230.3200000000002</v>
      </c>
      <c r="L585" s="18">
        <f t="shared" si="46"/>
        <v>517.98</v>
      </c>
      <c r="M585" s="3">
        <f t="shared" si="47"/>
        <v>0.18847287414037769</v>
      </c>
      <c r="N585" s="4">
        <f t="shared" si="48"/>
        <v>45809</v>
      </c>
      <c r="O585" t="str">
        <f t="shared" si="49"/>
        <v>Jun</v>
      </c>
    </row>
    <row r="586" spans="1:15" ht="15" customHeight="1" x14ac:dyDescent="0.25">
      <c r="A586" t="s">
        <v>623</v>
      </c>
      <c r="B586" s="2">
        <v>45746</v>
      </c>
      <c r="C586" t="s">
        <v>26</v>
      </c>
      <c r="D586" t="s">
        <v>23</v>
      </c>
      <c r="E586" t="s">
        <v>24</v>
      </c>
      <c r="F586" t="s">
        <v>46</v>
      </c>
      <c r="G586" t="s">
        <v>28</v>
      </c>
      <c r="H586">
        <v>3</v>
      </c>
      <c r="I586" s="18">
        <v>10551.9</v>
      </c>
      <c r="J586" s="18">
        <f t="shared" si="45"/>
        <v>31655.699999999997</v>
      </c>
      <c r="K586" s="18">
        <v>19637.05</v>
      </c>
      <c r="L586" s="18">
        <f t="shared" si="46"/>
        <v>12018.649999999998</v>
      </c>
      <c r="M586" s="3">
        <f t="shared" si="47"/>
        <v>0.37966780074362594</v>
      </c>
      <c r="N586" s="4">
        <f t="shared" si="48"/>
        <v>45717</v>
      </c>
      <c r="O586" t="str">
        <f t="shared" si="49"/>
        <v>Mar</v>
      </c>
    </row>
    <row r="587" spans="1:15" ht="15" customHeight="1" x14ac:dyDescent="0.25">
      <c r="A587" t="s">
        <v>624</v>
      </c>
      <c r="B587" s="2">
        <v>45782</v>
      </c>
      <c r="C587" t="s">
        <v>22</v>
      </c>
      <c r="D587" t="s">
        <v>23</v>
      </c>
      <c r="E587" t="s">
        <v>18</v>
      </c>
      <c r="F587" t="s">
        <v>62</v>
      </c>
      <c r="G587" t="s">
        <v>20</v>
      </c>
      <c r="H587">
        <v>7</v>
      </c>
      <c r="I587" s="18">
        <v>2102.62</v>
      </c>
      <c r="J587" s="18">
        <f t="shared" si="45"/>
        <v>14718.34</v>
      </c>
      <c r="K587" s="18">
        <v>8591.85</v>
      </c>
      <c r="L587" s="18">
        <f t="shared" si="46"/>
        <v>6126.49</v>
      </c>
      <c r="M587" s="3">
        <f t="shared" si="47"/>
        <v>0.41624870739499154</v>
      </c>
      <c r="N587" s="4">
        <f t="shared" si="48"/>
        <v>45778</v>
      </c>
      <c r="O587" t="str">
        <f t="shared" si="49"/>
        <v>May</v>
      </c>
    </row>
    <row r="588" spans="1:15" ht="15" customHeight="1" x14ac:dyDescent="0.25">
      <c r="A588" t="s">
        <v>625</v>
      </c>
      <c r="B588" s="2">
        <v>45661</v>
      </c>
      <c r="C588" t="s">
        <v>26</v>
      </c>
      <c r="D588" t="s">
        <v>17</v>
      </c>
      <c r="E588" t="s">
        <v>24</v>
      </c>
      <c r="F588" t="s">
        <v>35</v>
      </c>
      <c r="G588" t="s">
        <v>20</v>
      </c>
      <c r="H588">
        <v>8</v>
      </c>
      <c r="I588" s="18">
        <v>3348.03</v>
      </c>
      <c r="J588" s="18">
        <f t="shared" si="45"/>
        <v>26784.240000000002</v>
      </c>
      <c r="K588" s="18">
        <v>16860.099999999999</v>
      </c>
      <c r="L588" s="18">
        <f t="shared" si="46"/>
        <v>9924.1400000000031</v>
      </c>
      <c r="M588" s="3">
        <f t="shared" si="47"/>
        <v>0.37052162017664131</v>
      </c>
      <c r="N588" s="4">
        <f t="shared" si="48"/>
        <v>45658</v>
      </c>
      <c r="O588" t="str">
        <f t="shared" si="49"/>
        <v>Jan</v>
      </c>
    </row>
    <row r="589" spans="1:15" ht="15" customHeight="1" x14ac:dyDescent="0.25">
      <c r="A589" t="s">
        <v>626</v>
      </c>
      <c r="B589" s="2">
        <v>45780</v>
      </c>
      <c r="C589" t="s">
        <v>16</v>
      </c>
      <c r="D589" t="s">
        <v>17</v>
      </c>
      <c r="E589" t="s">
        <v>39</v>
      </c>
      <c r="F589" t="s">
        <v>35</v>
      </c>
      <c r="G589" t="s">
        <v>20</v>
      </c>
      <c r="H589">
        <v>3</v>
      </c>
      <c r="I589" s="18">
        <v>1260.48</v>
      </c>
      <c r="J589" s="18">
        <f t="shared" si="45"/>
        <v>3781.44</v>
      </c>
      <c r="K589" s="18">
        <v>2748.7</v>
      </c>
      <c r="L589" s="18">
        <f t="shared" si="46"/>
        <v>1032.7400000000002</v>
      </c>
      <c r="M589" s="3">
        <f t="shared" si="47"/>
        <v>0.27310759922146066</v>
      </c>
      <c r="N589" s="4">
        <f t="shared" si="48"/>
        <v>45778</v>
      </c>
      <c r="O589" t="str">
        <f t="shared" si="49"/>
        <v>May</v>
      </c>
    </row>
    <row r="590" spans="1:15" ht="15" customHeight="1" x14ac:dyDescent="0.25">
      <c r="A590" t="s">
        <v>627</v>
      </c>
      <c r="B590" s="2">
        <v>45872</v>
      </c>
      <c r="C590" t="s">
        <v>26</v>
      </c>
      <c r="D590" t="s">
        <v>23</v>
      </c>
      <c r="E590" t="s">
        <v>24</v>
      </c>
      <c r="F590" t="s">
        <v>37</v>
      </c>
      <c r="G590" t="s">
        <v>20</v>
      </c>
      <c r="H590">
        <v>2</v>
      </c>
      <c r="I590" s="18">
        <v>19902.11</v>
      </c>
      <c r="J590" s="18">
        <f t="shared" si="45"/>
        <v>39804.22</v>
      </c>
      <c r="K590" s="18">
        <v>32417.75</v>
      </c>
      <c r="L590" s="18">
        <f t="shared" si="46"/>
        <v>7386.4700000000012</v>
      </c>
      <c r="M590" s="3">
        <f t="shared" si="47"/>
        <v>0.18557002247500393</v>
      </c>
      <c r="N590" s="4">
        <f t="shared" si="48"/>
        <v>45870</v>
      </c>
      <c r="O590" t="str">
        <f t="shared" si="49"/>
        <v>Aug</v>
      </c>
    </row>
    <row r="591" spans="1:15" ht="15" customHeight="1" x14ac:dyDescent="0.25">
      <c r="A591" t="s">
        <v>628</v>
      </c>
      <c r="B591" s="2">
        <v>45978</v>
      </c>
      <c r="C591" t="s">
        <v>22</v>
      </c>
      <c r="D591" t="s">
        <v>17</v>
      </c>
      <c r="E591" t="s">
        <v>52</v>
      </c>
      <c r="F591" t="s">
        <v>53</v>
      </c>
      <c r="G591" t="s">
        <v>44</v>
      </c>
      <c r="H591">
        <v>2</v>
      </c>
      <c r="I591" s="18">
        <v>1413.14</v>
      </c>
      <c r="J591" s="18">
        <f t="shared" si="45"/>
        <v>2826.28</v>
      </c>
      <c r="K591" s="18">
        <v>2104.0500000000002</v>
      </c>
      <c r="L591" s="18">
        <f t="shared" si="46"/>
        <v>722.23</v>
      </c>
      <c r="M591" s="3">
        <f t="shared" si="47"/>
        <v>0.25554085228639767</v>
      </c>
      <c r="N591" s="4">
        <f t="shared" si="48"/>
        <v>45962</v>
      </c>
      <c r="O591" t="str">
        <f t="shared" si="49"/>
        <v>Nov</v>
      </c>
    </row>
    <row r="592" spans="1:15" ht="15" customHeight="1" x14ac:dyDescent="0.25">
      <c r="A592" t="s">
        <v>629</v>
      </c>
      <c r="B592" s="2">
        <v>45739</v>
      </c>
      <c r="C592" t="s">
        <v>22</v>
      </c>
      <c r="D592" t="s">
        <v>23</v>
      </c>
      <c r="E592" t="s">
        <v>18</v>
      </c>
      <c r="F592" t="s">
        <v>37</v>
      </c>
      <c r="G592" t="s">
        <v>20</v>
      </c>
      <c r="H592">
        <v>4</v>
      </c>
      <c r="I592" s="18">
        <v>9755.85</v>
      </c>
      <c r="J592" s="18">
        <f t="shared" si="45"/>
        <v>39023.4</v>
      </c>
      <c r="K592" s="18">
        <v>25764.45</v>
      </c>
      <c r="L592" s="18">
        <f t="shared" si="46"/>
        <v>13258.95</v>
      </c>
      <c r="M592" s="3">
        <f t="shared" si="47"/>
        <v>0.33976921539384064</v>
      </c>
      <c r="N592" s="4">
        <f t="shared" si="48"/>
        <v>45717</v>
      </c>
      <c r="O592" t="str">
        <f t="shared" si="49"/>
        <v>Mar</v>
      </c>
    </row>
    <row r="593" spans="1:15" ht="15" customHeight="1" x14ac:dyDescent="0.25">
      <c r="A593" t="s">
        <v>630</v>
      </c>
      <c r="B593" s="2">
        <v>45684</v>
      </c>
      <c r="C593" t="s">
        <v>31</v>
      </c>
      <c r="D593" t="s">
        <v>17</v>
      </c>
      <c r="E593" t="s">
        <v>33</v>
      </c>
      <c r="F593" t="s">
        <v>50</v>
      </c>
      <c r="G593" t="s">
        <v>28</v>
      </c>
      <c r="H593">
        <v>1</v>
      </c>
      <c r="I593" s="18">
        <v>1050.8499999999999</v>
      </c>
      <c r="J593" s="18">
        <f t="shared" si="45"/>
        <v>1050.8499999999999</v>
      </c>
      <c r="K593" s="18">
        <v>638.77</v>
      </c>
      <c r="L593" s="18">
        <f t="shared" si="46"/>
        <v>412.07999999999993</v>
      </c>
      <c r="M593" s="3">
        <f t="shared" si="47"/>
        <v>0.39213969643621827</v>
      </c>
      <c r="N593" s="4">
        <f t="shared" si="48"/>
        <v>45658</v>
      </c>
      <c r="O593" t="str">
        <f t="shared" si="49"/>
        <v>Jan</v>
      </c>
    </row>
    <row r="594" spans="1:15" ht="15" customHeight="1" x14ac:dyDescent="0.25">
      <c r="A594" t="s">
        <v>631</v>
      </c>
      <c r="B594" s="2">
        <v>45954</v>
      </c>
      <c r="C594" t="s">
        <v>31</v>
      </c>
      <c r="D594" t="s">
        <v>23</v>
      </c>
      <c r="E594" t="s">
        <v>52</v>
      </c>
      <c r="F594" t="s">
        <v>46</v>
      </c>
      <c r="G594" t="s">
        <v>28</v>
      </c>
      <c r="H594">
        <v>6</v>
      </c>
      <c r="I594" s="18">
        <v>15008.49</v>
      </c>
      <c r="J594" s="18">
        <f t="shared" si="45"/>
        <v>90050.94</v>
      </c>
      <c r="K594" s="18">
        <v>54609.760000000002</v>
      </c>
      <c r="L594" s="18">
        <f t="shared" si="46"/>
        <v>35441.18</v>
      </c>
      <c r="M594" s="3">
        <f t="shared" si="47"/>
        <v>0.39356812932768942</v>
      </c>
      <c r="N594" s="4">
        <f t="shared" si="48"/>
        <v>45931</v>
      </c>
      <c r="O594" t="str">
        <f t="shared" si="49"/>
        <v>Oct</v>
      </c>
    </row>
    <row r="595" spans="1:15" ht="15" customHeight="1" x14ac:dyDescent="0.25">
      <c r="A595" t="s">
        <v>632</v>
      </c>
      <c r="B595" s="2">
        <v>45869</v>
      </c>
      <c r="C595" t="s">
        <v>22</v>
      </c>
      <c r="D595" t="s">
        <v>23</v>
      </c>
      <c r="E595" t="s">
        <v>52</v>
      </c>
      <c r="F595" t="s">
        <v>53</v>
      </c>
      <c r="G595" t="s">
        <v>44</v>
      </c>
      <c r="H595">
        <v>8</v>
      </c>
      <c r="I595" s="18">
        <v>2753.07</v>
      </c>
      <c r="J595" s="18">
        <f t="shared" si="45"/>
        <v>22024.560000000001</v>
      </c>
      <c r="K595" s="18">
        <v>13061.48</v>
      </c>
      <c r="L595" s="18">
        <f t="shared" si="46"/>
        <v>8963.0800000000017</v>
      </c>
      <c r="M595" s="3">
        <f t="shared" si="47"/>
        <v>0.40695841369816249</v>
      </c>
      <c r="N595" s="4">
        <f t="shared" si="48"/>
        <v>45839</v>
      </c>
      <c r="O595" t="str">
        <f t="shared" si="49"/>
        <v>Jul</v>
      </c>
    </row>
    <row r="596" spans="1:15" ht="15" customHeight="1" x14ac:dyDescent="0.25">
      <c r="A596" t="s">
        <v>633</v>
      </c>
      <c r="B596" s="2">
        <v>45970</v>
      </c>
      <c r="C596" t="s">
        <v>26</v>
      </c>
      <c r="D596" t="s">
        <v>17</v>
      </c>
      <c r="E596" t="s">
        <v>52</v>
      </c>
      <c r="F596" t="s">
        <v>40</v>
      </c>
      <c r="G596" t="s">
        <v>20</v>
      </c>
      <c r="H596">
        <v>3</v>
      </c>
      <c r="I596" s="18">
        <v>626.66</v>
      </c>
      <c r="J596" s="18">
        <f t="shared" si="45"/>
        <v>1879.98</v>
      </c>
      <c r="K596" s="18">
        <v>1177.99</v>
      </c>
      <c r="L596" s="18">
        <f t="shared" si="46"/>
        <v>701.99</v>
      </c>
      <c r="M596" s="3">
        <f t="shared" si="47"/>
        <v>0.37340290854158026</v>
      </c>
      <c r="N596" s="4">
        <f t="shared" si="48"/>
        <v>45962</v>
      </c>
      <c r="O596" t="str">
        <f t="shared" si="49"/>
        <v>Nov</v>
      </c>
    </row>
    <row r="597" spans="1:15" ht="15" customHeight="1" x14ac:dyDescent="0.25">
      <c r="A597" t="s">
        <v>634</v>
      </c>
      <c r="B597" s="2">
        <v>45829</v>
      </c>
      <c r="C597" t="s">
        <v>22</v>
      </c>
      <c r="D597" t="s">
        <v>23</v>
      </c>
      <c r="E597" t="s">
        <v>39</v>
      </c>
      <c r="F597" t="s">
        <v>35</v>
      </c>
      <c r="G597" t="s">
        <v>20</v>
      </c>
      <c r="H597">
        <v>3</v>
      </c>
      <c r="I597" s="18">
        <v>1280.04</v>
      </c>
      <c r="J597" s="18">
        <f t="shared" si="45"/>
        <v>3840.12</v>
      </c>
      <c r="K597" s="18">
        <v>2656.32</v>
      </c>
      <c r="L597" s="18">
        <f t="shared" si="46"/>
        <v>1183.7999999999997</v>
      </c>
      <c r="M597" s="3">
        <f t="shared" si="47"/>
        <v>0.30827161651198393</v>
      </c>
      <c r="N597" s="4">
        <f t="shared" si="48"/>
        <v>45809</v>
      </c>
      <c r="O597" t="str">
        <f t="shared" si="49"/>
        <v>Jun</v>
      </c>
    </row>
    <row r="598" spans="1:15" ht="15" customHeight="1" x14ac:dyDescent="0.25">
      <c r="A598" t="s">
        <v>635</v>
      </c>
      <c r="B598" s="2">
        <v>45770</v>
      </c>
      <c r="C598" t="s">
        <v>31</v>
      </c>
      <c r="D598" t="s">
        <v>23</v>
      </c>
      <c r="E598" t="s">
        <v>24</v>
      </c>
      <c r="F598" t="s">
        <v>27</v>
      </c>
      <c r="G598" t="s">
        <v>28</v>
      </c>
      <c r="H598">
        <v>3</v>
      </c>
      <c r="I598" s="18">
        <v>19184.13</v>
      </c>
      <c r="J598" s="18">
        <f t="shared" si="45"/>
        <v>57552.39</v>
      </c>
      <c r="K598" s="18">
        <v>41015.360000000001</v>
      </c>
      <c r="L598" s="18">
        <f t="shared" si="46"/>
        <v>16537.03</v>
      </c>
      <c r="M598" s="3">
        <f t="shared" si="47"/>
        <v>0.28733871868744287</v>
      </c>
      <c r="N598" s="4">
        <f t="shared" si="48"/>
        <v>45748</v>
      </c>
      <c r="O598" t="str">
        <f t="shared" si="49"/>
        <v>Apr</v>
      </c>
    </row>
    <row r="599" spans="1:15" ht="15" customHeight="1" x14ac:dyDescent="0.25">
      <c r="A599" t="s">
        <v>636</v>
      </c>
      <c r="B599" s="2">
        <v>45925</v>
      </c>
      <c r="C599" t="s">
        <v>31</v>
      </c>
      <c r="D599" t="s">
        <v>23</v>
      </c>
      <c r="E599" t="s">
        <v>39</v>
      </c>
      <c r="F599" t="s">
        <v>40</v>
      </c>
      <c r="G599" t="s">
        <v>20</v>
      </c>
      <c r="H599">
        <v>8</v>
      </c>
      <c r="I599" s="18">
        <v>1058.1099999999999</v>
      </c>
      <c r="J599" s="18">
        <f t="shared" si="45"/>
        <v>8464.8799999999992</v>
      </c>
      <c r="K599" s="18">
        <v>6392.71</v>
      </c>
      <c r="L599" s="18">
        <f t="shared" si="46"/>
        <v>2072.1699999999992</v>
      </c>
      <c r="M599" s="3">
        <f t="shared" si="47"/>
        <v>0.24479614595835963</v>
      </c>
      <c r="N599" s="4">
        <f t="shared" si="48"/>
        <v>45901</v>
      </c>
      <c r="O599" t="str">
        <f t="shared" si="49"/>
        <v>Sep</v>
      </c>
    </row>
    <row r="600" spans="1:15" ht="15" customHeight="1" x14ac:dyDescent="0.25">
      <c r="A600" t="s">
        <v>637</v>
      </c>
      <c r="B600" s="2">
        <v>45880</v>
      </c>
      <c r="C600" t="s">
        <v>22</v>
      </c>
      <c r="D600" t="s">
        <v>23</v>
      </c>
      <c r="E600" t="s">
        <v>24</v>
      </c>
      <c r="F600" t="s">
        <v>62</v>
      </c>
      <c r="G600" t="s">
        <v>20</v>
      </c>
      <c r="H600">
        <v>1</v>
      </c>
      <c r="I600" s="18">
        <v>2085.14</v>
      </c>
      <c r="J600" s="18">
        <f t="shared" si="45"/>
        <v>2085.14</v>
      </c>
      <c r="K600" s="18">
        <v>1231.51</v>
      </c>
      <c r="L600" s="18">
        <f t="shared" si="46"/>
        <v>853.62999999999988</v>
      </c>
      <c r="M600" s="3">
        <f t="shared" si="47"/>
        <v>0.40938737926470165</v>
      </c>
      <c r="N600" s="4">
        <f t="shared" si="48"/>
        <v>45870</v>
      </c>
      <c r="O600" t="str">
        <f t="shared" si="49"/>
        <v>Aug</v>
      </c>
    </row>
    <row r="601" spans="1:15" ht="15" customHeight="1" x14ac:dyDescent="0.25">
      <c r="A601" t="s">
        <v>638</v>
      </c>
      <c r="B601" s="2">
        <v>45929</v>
      </c>
      <c r="C601" t="s">
        <v>16</v>
      </c>
      <c r="D601" t="s">
        <v>17</v>
      </c>
      <c r="E601" t="s">
        <v>52</v>
      </c>
      <c r="F601" t="s">
        <v>43</v>
      </c>
      <c r="G601" t="s">
        <v>44</v>
      </c>
      <c r="H601">
        <v>8</v>
      </c>
      <c r="I601" s="18">
        <v>676</v>
      </c>
      <c r="J601" s="18">
        <f t="shared" si="45"/>
        <v>5408</v>
      </c>
      <c r="K601" s="18">
        <v>3861.51</v>
      </c>
      <c r="L601" s="18">
        <f t="shared" si="46"/>
        <v>1546.4899999999998</v>
      </c>
      <c r="M601" s="3">
        <f t="shared" si="47"/>
        <v>0.28596338757396444</v>
      </c>
      <c r="N601" s="4">
        <f t="shared" si="48"/>
        <v>45901</v>
      </c>
      <c r="O601" t="str">
        <f t="shared" si="49"/>
        <v>Sep</v>
      </c>
    </row>
  </sheetData>
  <autoFilter ref="A1:O601"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0"/>
  <sheetViews>
    <sheetView showGridLines="0" zoomScaleNormal="100" workbookViewId="0">
      <selection activeCell="D8" sqref="D8"/>
    </sheetView>
  </sheetViews>
  <sheetFormatPr defaultColWidth="8.7109375" defaultRowHeight="15" customHeight="1" x14ac:dyDescent="0.25"/>
  <cols>
    <col min="1" max="1" width="29.7109375" style="11" customWidth="1"/>
    <col min="2" max="3" width="24" style="20" customWidth="1"/>
    <col min="4" max="4" width="24" style="11" customWidth="1"/>
    <col min="5" max="5" width="19" style="11" customWidth="1"/>
    <col min="6" max="6" width="27.140625" style="11" customWidth="1"/>
    <col min="7" max="8" width="24" style="11" customWidth="1"/>
    <col min="9" max="9" width="21" style="11" customWidth="1"/>
    <col min="10" max="16384" width="8.7109375" style="11"/>
  </cols>
  <sheetData>
    <row r="1" spans="1:12" ht="24.4" customHeight="1" x14ac:dyDescent="0.25">
      <c r="A1" s="26" t="s">
        <v>639</v>
      </c>
      <c r="B1" s="27"/>
      <c r="C1" s="27"/>
      <c r="D1" s="27"/>
      <c r="E1" s="27"/>
      <c r="F1" s="27"/>
      <c r="G1" s="27"/>
      <c r="H1" s="27"/>
      <c r="I1" s="27"/>
      <c r="J1" s="27"/>
      <c r="K1" s="27"/>
      <c r="L1" s="27"/>
    </row>
    <row r="2" spans="1:12" ht="15" customHeight="1" x14ac:dyDescent="0.25">
      <c r="A2" s="24" t="s">
        <v>640</v>
      </c>
      <c r="B2" s="25"/>
      <c r="C2" s="25"/>
      <c r="D2" s="25"/>
      <c r="E2" s="25"/>
      <c r="F2" s="25"/>
      <c r="G2" s="25"/>
      <c r="H2" s="25"/>
      <c r="I2" s="25"/>
      <c r="J2" s="25"/>
      <c r="K2" s="25"/>
      <c r="L2" s="25"/>
    </row>
    <row r="4" spans="1:12" ht="16.149999999999999" customHeight="1" x14ac:dyDescent="0.25">
      <c r="A4" s="12" t="s">
        <v>641</v>
      </c>
    </row>
    <row r="5" spans="1:12" ht="19.7" customHeight="1" x14ac:dyDescent="0.3">
      <c r="A5" s="19">
        <f>SUM('Raw Data'!$J$2:$J$601)</f>
        <v>16007787.889999997</v>
      </c>
      <c r="C5" s="19">
        <f>SUM('Raw Data'!$L$2:$L$601)</f>
        <v>4796641.7600000026</v>
      </c>
      <c r="E5" s="7">
        <f>IFERROR(C5/A5,0)</f>
        <v>0.29964426021639418</v>
      </c>
      <c r="G5" s="8">
        <f>SUM('Raw Data'!$H$2:$H$601)</f>
        <v>2747</v>
      </c>
    </row>
    <row r="6" spans="1:12" ht="15" customHeight="1" x14ac:dyDescent="0.25">
      <c r="A6" s="6" t="s">
        <v>642</v>
      </c>
      <c r="C6" s="22" t="s">
        <v>643</v>
      </c>
      <c r="E6" s="6" t="s">
        <v>12</v>
      </c>
      <c r="G6" s="6" t="s">
        <v>644</v>
      </c>
    </row>
    <row r="9" spans="1:12" ht="16.149999999999999" customHeight="1" x14ac:dyDescent="0.25">
      <c r="A9" s="15" t="s">
        <v>645</v>
      </c>
    </row>
    <row r="10" spans="1:12" ht="15" customHeight="1" x14ac:dyDescent="0.25">
      <c r="A10" s="14" t="s">
        <v>14</v>
      </c>
      <c r="B10" s="21" t="s">
        <v>9</v>
      </c>
      <c r="C10" s="21" t="s">
        <v>11</v>
      </c>
      <c r="D10" s="14" t="s">
        <v>7</v>
      </c>
    </row>
    <row r="11" spans="1:12" ht="15" customHeight="1" x14ac:dyDescent="0.25">
      <c r="A11" s="11" t="s">
        <v>646</v>
      </c>
      <c r="B11" s="20">
        <f>SUMIFS('Raw Data'!$J$2:$J$601,'Raw Data'!$O$2:$O$601,A11)</f>
        <v>1313622.9199999997</v>
      </c>
      <c r="C11" s="20">
        <f>SUMIFS('Raw Data'!$L$2:$L$601,'Raw Data'!$O$2:$O$601,A11)</f>
        <v>386913.60000000009</v>
      </c>
      <c r="D11" s="11">
        <f>SUMIFS('Raw Data'!$H$2:$H$601,'Raw Data'!$O$2:$O$601,A11)</f>
        <v>196</v>
      </c>
    </row>
    <row r="12" spans="1:12" ht="15" customHeight="1" x14ac:dyDescent="0.25">
      <c r="A12" s="11" t="s">
        <v>647</v>
      </c>
      <c r="B12" s="20">
        <f>SUMIFS('Raw Data'!$J$2:$J$601,'Raw Data'!$O$2:$O$601,A12)</f>
        <v>1036002.57</v>
      </c>
      <c r="C12" s="20">
        <f>SUMIFS('Raw Data'!$L$2:$L$601,'Raw Data'!$O$2:$O$601,A12)</f>
        <v>331692.7</v>
      </c>
      <c r="D12" s="11">
        <f>SUMIFS('Raw Data'!$H$2:$H$601,'Raw Data'!$O$2:$O$601,A12)</f>
        <v>206</v>
      </c>
    </row>
    <row r="13" spans="1:12" ht="15" customHeight="1" x14ac:dyDescent="0.25">
      <c r="A13" s="11" t="s">
        <v>648</v>
      </c>
      <c r="B13" s="20">
        <f>SUMIFS('Raw Data'!$J$2:$J$601,'Raw Data'!$O$2:$O$601,A13)</f>
        <v>1189416.7399999998</v>
      </c>
      <c r="C13" s="20">
        <f>SUMIFS('Raw Data'!$L$2:$L$601,'Raw Data'!$O$2:$O$601,A13)</f>
        <v>358069.56000000006</v>
      </c>
      <c r="D13" s="11">
        <f>SUMIFS('Raw Data'!$H$2:$H$601,'Raw Data'!$O$2:$O$601,A13)</f>
        <v>229</v>
      </c>
    </row>
    <row r="14" spans="1:12" ht="15" customHeight="1" x14ac:dyDescent="0.25">
      <c r="A14" s="11" t="s">
        <v>649</v>
      </c>
      <c r="B14" s="20">
        <f>SUMIFS('Raw Data'!$J$2:$J$601,'Raw Data'!$O$2:$O$601,A14)</f>
        <v>1359350.8599999999</v>
      </c>
      <c r="C14" s="20">
        <f>SUMIFS('Raw Data'!$L$2:$L$601,'Raw Data'!$O$2:$O$601,A14)</f>
        <v>447929.55000000005</v>
      </c>
      <c r="D14" s="11">
        <f>SUMIFS('Raw Data'!$H$2:$H$601,'Raw Data'!$O$2:$O$601,A14)</f>
        <v>208</v>
      </c>
    </row>
    <row r="15" spans="1:12" ht="15" customHeight="1" x14ac:dyDescent="0.25">
      <c r="A15" s="11" t="s">
        <v>650</v>
      </c>
      <c r="B15" s="20">
        <f>SUMIFS('Raw Data'!$J$2:$J$601,'Raw Data'!$O$2:$O$601,A15)</f>
        <v>1640967.93</v>
      </c>
      <c r="C15" s="20">
        <f>SUMIFS('Raw Data'!$L$2:$L$601,'Raw Data'!$O$2:$O$601,A15)</f>
        <v>470482.13</v>
      </c>
      <c r="D15" s="11">
        <f>SUMIFS('Raw Data'!$H$2:$H$601,'Raw Data'!$O$2:$O$601,A15)</f>
        <v>316</v>
      </c>
    </row>
    <row r="16" spans="1:12" ht="15" customHeight="1" x14ac:dyDescent="0.25">
      <c r="A16" s="11" t="s">
        <v>651</v>
      </c>
      <c r="B16" s="20">
        <f>SUMIFS('Raw Data'!$J$2:$J$601,'Raw Data'!$O$2:$O$601,A16)</f>
        <v>1303152.6700000002</v>
      </c>
      <c r="C16" s="20">
        <f>SUMIFS('Raw Data'!$L$2:$L$601,'Raw Data'!$O$2:$O$601,A16)</f>
        <v>403013.26</v>
      </c>
      <c r="D16" s="11">
        <f>SUMIFS('Raw Data'!$H$2:$H$601,'Raw Data'!$O$2:$O$601,A16)</f>
        <v>212</v>
      </c>
    </row>
    <row r="17" spans="1:9" ht="15" customHeight="1" x14ac:dyDescent="0.25">
      <c r="A17" s="11" t="s">
        <v>652</v>
      </c>
      <c r="B17" s="20">
        <f>SUMIFS('Raw Data'!$J$2:$J$601,'Raw Data'!$O$2:$O$601,A17)</f>
        <v>1716260.8400000003</v>
      </c>
      <c r="C17" s="20">
        <f>SUMIFS('Raw Data'!$L$2:$L$601,'Raw Data'!$O$2:$O$601,A17)</f>
        <v>511711.13</v>
      </c>
      <c r="D17" s="11">
        <f>SUMIFS('Raw Data'!$H$2:$H$601,'Raw Data'!$O$2:$O$601,A17)</f>
        <v>262</v>
      </c>
    </row>
    <row r="18" spans="1:9" ht="15" customHeight="1" x14ac:dyDescent="0.25">
      <c r="A18" s="11" t="s">
        <v>653</v>
      </c>
      <c r="B18" s="20">
        <f>SUMIFS('Raw Data'!$J$2:$J$601,'Raw Data'!$O$2:$O$601,A18)</f>
        <v>1260612.8999999999</v>
      </c>
      <c r="C18" s="20">
        <f>SUMIFS('Raw Data'!$L$2:$L$601,'Raw Data'!$O$2:$O$601,A18)</f>
        <v>351618.65999999992</v>
      </c>
      <c r="D18" s="11">
        <f>SUMIFS('Raw Data'!$H$2:$H$601,'Raw Data'!$O$2:$O$601,A18)</f>
        <v>226</v>
      </c>
    </row>
    <row r="19" spans="1:9" ht="15" customHeight="1" x14ac:dyDescent="0.25">
      <c r="A19" s="11" t="s">
        <v>654</v>
      </c>
      <c r="B19" s="20">
        <f>SUMIFS('Raw Data'!$J$2:$J$601,'Raw Data'!$O$2:$O$601,A19)</f>
        <v>957721.95</v>
      </c>
      <c r="C19" s="20">
        <f>SUMIFS('Raw Data'!$L$2:$L$601,'Raw Data'!$O$2:$O$601,A19)</f>
        <v>300083.88</v>
      </c>
      <c r="D19" s="11">
        <f>SUMIFS('Raw Data'!$H$2:$H$601,'Raw Data'!$O$2:$O$601,A19)</f>
        <v>203</v>
      </c>
    </row>
    <row r="20" spans="1:9" ht="15" customHeight="1" x14ac:dyDescent="0.25">
      <c r="A20" s="11" t="s">
        <v>655</v>
      </c>
      <c r="B20" s="20">
        <f>SUMIFS('Raw Data'!$J$2:$J$601,'Raw Data'!$O$2:$O$601,A20)</f>
        <v>1571618.33</v>
      </c>
      <c r="C20" s="20">
        <f>SUMIFS('Raw Data'!$L$2:$L$601,'Raw Data'!$O$2:$O$601,A20)</f>
        <v>496842.44</v>
      </c>
      <c r="D20" s="11">
        <f>SUMIFS('Raw Data'!$H$2:$H$601,'Raw Data'!$O$2:$O$601,A20)</f>
        <v>240</v>
      </c>
    </row>
    <row r="21" spans="1:9" ht="15" customHeight="1" x14ac:dyDescent="0.25">
      <c r="A21" s="11" t="s">
        <v>656</v>
      </c>
      <c r="B21" s="20">
        <f>SUMIFS('Raw Data'!$J$2:$J$601,'Raw Data'!$O$2:$O$601,A21)</f>
        <v>1333713.8300000003</v>
      </c>
      <c r="C21" s="20">
        <f>SUMIFS('Raw Data'!$L$2:$L$601,'Raw Data'!$O$2:$O$601,A21)</f>
        <v>393796.12999999995</v>
      </c>
      <c r="D21" s="11">
        <f>SUMIFS('Raw Data'!$H$2:$H$601,'Raw Data'!$O$2:$O$601,A21)</f>
        <v>208</v>
      </c>
    </row>
    <row r="22" spans="1:9" ht="15" customHeight="1" x14ac:dyDescent="0.25">
      <c r="A22" s="11" t="s">
        <v>657</v>
      </c>
      <c r="B22" s="20">
        <f>SUMIFS('Raw Data'!$J$2:$J$601,'Raw Data'!$O$2:$O$601,A22)</f>
        <v>1325346.3500000006</v>
      </c>
      <c r="C22" s="20">
        <f>SUMIFS('Raw Data'!$L$2:$L$601,'Raw Data'!$O$2:$O$601,A22)</f>
        <v>344488.71999999991</v>
      </c>
      <c r="D22" s="11">
        <f>SUMIFS('Raw Data'!$H$2:$H$601,'Raw Data'!$O$2:$O$601,A22)</f>
        <v>241</v>
      </c>
    </row>
    <row r="25" spans="1:9" ht="16.149999999999999" customHeight="1" x14ac:dyDescent="0.25">
      <c r="A25" s="15" t="s">
        <v>658</v>
      </c>
      <c r="F25" s="15" t="s">
        <v>659</v>
      </c>
    </row>
    <row r="26" spans="1:9" ht="15" customHeight="1" x14ac:dyDescent="0.25">
      <c r="A26" s="14" t="s">
        <v>6</v>
      </c>
      <c r="B26" s="21" t="s">
        <v>9</v>
      </c>
      <c r="C26" s="21" t="s">
        <v>11</v>
      </c>
      <c r="D26" s="14" t="s">
        <v>660</v>
      </c>
      <c r="F26" s="14" t="s">
        <v>2</v>
      </c>
      <c r="G26" s="14" t="s">
        <v>9</v>
      </c>
      <c r="H26" s="14" t="s">
        <v>11</v>
      </c>
      <c r="I26" s="14" t="s">
        <v>660</v>
      </c>
    </row>
    <row r="27" spans="1:9" ht="15" customHeight="1" x14ac:dyDescent="0.25">
      <c r="A27" s="11" t="s">
        <v>20</v>
      </c>
      <c r="B27" s="20">
        <f>SUMIFS('Raw Data'!$J$2:$J$601,'Raw Data'!$G$2:$G$601,A27)</f>
        <v>6650110.7199999979</v>
      </c>
      <c r="C27" s="20">
        <f>SUMIFS('Raw Data'!$L$2:$L$601,'Raw Data'!$G$2:$G$601,A27)</f>
        <v>1995217.7100000004</v>
      </c>
      <c r="D27" s="13">
        <f>IFERROR(C27/B27,0)</f>
        <v>0.30002774299673629</v>
      </c>
      <c r="F27" s="11" t="s">
        <v>16</v>
      </c>
      <c r="G27" s="20">
        <f>SUMIFS('Raw Data'!$J$2:$J$601,'Raw Data'!$C$2:$C$601,F27)</f>
        <v>3544447.7900000005</v>
      </c>
      <c r="H27" s="20">
        <f>SUMIFS('Raw Data'!$L$2:$L$601,'Raw Data'!$C$2:$C$601,F27)</f>
        <v>1027623.45</v>
      </c>
      <c r="I27" s="13">
        <f>IFERROR(H27/G27,0)</f>
        <v>0.28992483762893845</v>
      </c>
    </row>
    <row r="28" spans="1:9" ht="15" customHeight="1" x14ac:dyDescent="0.25">
      <c r="A28" s="11" t="s">
        <v>44</v>
      </c>
      <c r="B28" s="20">
        <f>SUMIFS('Raw Data'!$J$2:$J$601,'Raw Data'!$G$2:$G$601,A28)</f>
        <v>880033.47000000032</v>
      </c>
      <c r="C28" s="20">
        <f>SUMIFS('Raw Data'!$L$2:$L$601,'Raw Data'!$G$2:$G$601,A28)</f>
        <v>269856.22000000009</v>
      </c>
      <c r="D28" s="13">
        <f>IFERROR(C28/B28,0)</f>
        <v>0.30664313256176495</v>
      </c>
      <c r="F28" s="11" t="s">
        <v>31</v>
      </c>
      <c r="G28" s="20">
        <f>SUMIFS('Raw Data'!$J$2:$J$601,'Raw Data'!$C$2:$C$601,F28)</f>
        <v>4131554.8299999996</v>
      </c>
      <c r="H28" s="20">
        <f>SUMIFS('Raw Data'!$L$2:$L$601,'Raw Data'!$C$2:$C$601,F28)</f>
        <v>1253665.9699999997</v>
      </c>
      <c r="I28" s="13">
        <f>IFERROR(H28/G28,0)</f>
        <v>0.30343684680084465</v>
      </c>
    </row>
    <row r="29" spans="1:9" ht="15" customHeight="1" x14ac:dyDescent="0.25">
      <c r="A29" s="11" t="s">
        <v>28</v>
      </c>
      <c r="B29" s="20">
        <f>SUMIFS('Raw Data'!$J$2:$J$601,'Raw Data'!$G$2:$G$601,A29)</f>
        <v>8477643.7000000011</v>
      </c>
      <c r="C29" s="20">
        <f>SUMIFS('Raw Data'!$L$2:$L$601,'Raw Data'!$G$2:$G$601,A29)</f>
        <v>2531567.830000001</v>
      </c>
      <c r="D29" s="13">
        <f>IFERROR(C29/B29,0)</f>
        <v>0.29861691757581188</v>
      </c>
      <c r="F29" s="11" t="s">
        <v>26</v>
      </c>
      <c r="G29" s="20">
        <f>SUMIFS('Raw Data'!$J$2:$J$601,'Raw Data'!$C$2:$C$601,F29)</f>
        <v>3959103.2199999993</v>
      </c>
      <c r="H29" s="20">
        <f>SUMIFS('Raw Data'!$L$2:$L$601,'Raw Data'!$C$2:$C$601,F29)</f>
        <v>1256200.5400000003</v>
      </c>
      <c r="I29" s="13">
        <f>IFERROR(H29/G29,0)</f>
        <v>0.3172942129051135</v>
      </c>
    </row>
    <row r="30" spans="1:9" ht="15" customHeight="1" x14ac:dyDescent="0.25">
      <c r="F30" s="11" t="s">
        <v>22</v>
      </c>
      <c r="G30" s="20">
        <f>SUMIFS('Raw Data'!$J$2:$J$601,'Raw Data'!$C$2:$C$601,F30)</f>
        <v>4372682.05</v>
      </c>
      <c r="H30" s="20">
        <f>SUMIFS('Raw Data'!$L$2:$L$601,'Raw Data'!$C$2:$C$601,F30)</f>
        <v>1259151.7999999993</v>
      </c>
      <c r="I30" s="13">
        <f>IFERROR(H30/G30,0)</f>
        <v>0.28795869116529965</v>
      </c>
    </row>
  </sheetData>
  <mergeCells count="2">
    <mergeCell ref="A2:L2"/>
    <mergeCell ref="A1:L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27"/>
  <sheetViews>
    <sheetView showGridLines="0" zoomScaleNormal="100" workbookViewId="0">
      <selection activeCell="E10" sqref="E10"/>
    </sheetView>
  </sheetViews>
  <sheetFormatPr defaultColWidth="8.7109375" defaultRowHeight="15" customHeight="1" x14ac:dyDescent="0.25"/>
  <cols>
    <col min="1" max="1" width="18" style="5" customWidth="1"/>
    <col min="2" max="2" width="24.7109375" style="5" customWidth="1"/>
    <col min="3" max="3" width="8.7109375" style="5"/>
    <col min="4" max="4" width="23.85546875" style="5" customWidth="1"/>
    <col min="5" max="5" width="8.7109375" style="5"/>
    <col min="6" max="6" width="15" style="5" customWidth="1"/>
    <col min="7" max="7" width="18" style="5" customWidth="1"/>
    <col min="8" max="8" width="14" style="5" customWidth="1"/>
    <col min="9" max="16384" width="8.7109375" style="5"/>
  </cols>
  <sheetData>
    <row r="1" spans="1:12" ht="24.4" customHeight="1" x14ac:dyDescent="0.35">
      <c r="A1" s="32" t="s">
        <v>661</v>
      </c>
      <c r="B1" s="33"/>
      <c r="C1" s="33"/>
      <c r="D1" s="33"/>
      <c r="E1" s="33"/>
      <c r="F1" s="33"/>
      <c r="G1" s="33"/>
      <c r="H1" s="33"/>
      <c r="I1" s="33"/>
      <c r="J1" s="33"/>
      <c r="K1" s="33"/>
      <c r="L1" s="33"/>
    </row>
    <row r="2" spans="1:12" ht="15" customHeight="1" x14ac:dyDescent="0.25">
      <c r="A2" s="28" t="s">
        <v>662</v>
      </c>
      <c r="B2" s="29"/>
      <c r="C2" s="29"/>
      <c r="D2" s="29"/>
      <c r="E2" s="29"/>
      <c r="F2" s="29"/>
      <c r="G2" s="29"/>
      <c r="H2" s="29"/>
      <c r="I2" s="29"/>
      <c r="J2" s="29"/>
      <c r="K2" s="29"/>
      <c r="L2" s="29"/>
    </row>
    <row r="4" spans="1:12" ht="19.7" customHeight="1" x14ac:dyDescent="0.3">
      <c r="B4" s="19">
        <f>Analysis!A5</f>
        <v>16007787.889999997</v>
      </c>
      <c r="D4" s="19">
        <f>Analysis!C5</f>
        <v>4796641.7600000026</v>
      </c>
      <c r="F4" s="7">
        <f>Analysis!E5</f>
        <v>0.29964426021639418</v>
      </c>
      <c r="H4" s="8">
        <f>Analysis!G5</f>
        <v>2747</v>
      </c>
    </row>
    <row r="5" spans="1:12" ht="15" customHeight="1" x14ac:dyDescent="0.25">
      <c r="B5" s="6" t="s">
        <v>642</v>
      </c>
      <c r="D5" s="6" t="s">
        <v>643</v>
      </c>
      <c r="F5" s="6" t="s">
        <v>12</v>
      </c>
      <c r="H5" s="6" t="s">
        <v>644</v>
      </c>
    </row>
    <row r="23" spans="7:12" ht="16.149999999999999" customHeight="1" x14ac:dyDescent="0.25">
      <c r="G23" s="9" t="s">
        <v>663</v>
      </c>
      <c r="H23" s="10"/>
    </row>
    <row r="24" spans="7:12" ht="28.35" customHeight="1" x14ac:dyDescent="0.25">
      <c r="G24" s="30" t="s">
        <v>664</v>
      </c>
      <c r="H24" s="31"/>
      <c r="I24" s="31"/>
      <c r="J24" s="31"/>
      <c r="K24" s="31"/>
      <c r="L24" s="31"/>
    </row>
    <row r="25" spans="7:12" ht="28.35" customHeight="1" x14ac:dyDescent="0.25">
      <c r="G25" s="30" t="s">
        <v>665</v>
      </c>
      <c r="H25" s="31"/>
      <c r="I25" s="31"/>
      <c r="J25" s="31"/>
      <c r="K25" s="31"/>
      <c r="L25" s="31"/>
    </row>
    <row r="26" spans="7:12" ht="28.35" customHeight="1" x14ac:dyDescent="0.25">
      <c r="G26" s="30" t="s">
        <v>666</v>
      </c>
      <c r="H26" s="31"/>
      <c r="I26" s="31"/>
      <c r="J26" s="31"/>
      <c r="K26" s="31"/>
      <c r="L26" s="31"/>
    </row>
    <row r="27" spans="7:12" ht="28.35" customHeight="1" x14ac:dyDescent="0.25">
      <c r="G27" s="30" t="s">
        <v>667</v>
      </c>
      <c r="H27" s="31"/>
      <c r="I27" s="31"/>
      <c r="J27" s="31"/>
      <c r="K27" s="31"/>
      <c r="L27" s="31"/>
    </row>
  </sheetData>
  <mergeCells count="6">
    <mergeCell ref="A2:L2"/>
    <mergeCell ref="G25:L25"/>
    <mergeCell ref="G27:L27"/>
    <mergeCell ref="G24:L24"/>
    <mergeCell ref="A1:L1"/>
    <mergeCell ref="G26:L26"/>
  </mergeCells>
  <pageMargins left="0.25" right="0.25" top="0.4" bottom="0.4" header="0.511811023622047" footer="0.2"/>
  <pageSetup paperSize="9" orientation="landscape" horizontalDpi="300" verticalDpi="300"/>
  <headerFooter>
    <oddFooter>&amp;CPortfolio project | Naomi Mohlala&amp;RPage &amp;P of &amp;N</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7BCE9-883E-4D13-AA89-793E8C478F4C}">
  <dimension ref="A3:L8"/>
  <sheetViews>
    <sheetView tabSelected="1" workbookViewId="0">
      <selection activeCell="L3" sqref="L3:L6"/>
      <pivotSelection pane="bottomRight" showHeader="1" extendable="1" axis="axisCol" start="1" max="2" activeRow="2" activeCol="11" previousRow="2" previousCol="11" click="1" r:id="rId3">
        <pivotArea dataOnly="0" outline="0" fieldPosition="0">
          <references count="1">
            <reference field="4294967294" count="1">
              <x v="1"/>
            </reference>
          </references>
        </pivotArea>
      </pivotSelection>
    </sheetView>
  </sheetViews>
  <sheetFormatPr defaultRowHeight="15" x14ac:dyDescent="0.25"/>
  <cols>
    <col min="1" max="1" width="14.140625" style="5" bestFit="1" customWidth="1"/>
    <col min="2" max="2" width="14.42578125" style="5" bestFit="1" customWidth="1"/>
    <col min="3" max="3" width="12.28515625" style="5" bestFit="1" customWidth="1"/>
    <col min="4" max="4" width="15.5703125" style="5" bestFit="1" customWidth="1"/>
    <col min="5" max="5" width="9.140625" style="5"/>
    <col min="6" max="6" width="13.140625" style="5" bestFit="1" customWidth="1"/>
    <col min="7" max="7" width="15.5703125" style="5" bestFit="1" customWidth="1"/>
    <col min="8" max="8" width="14.42578125" style="5" bestFit="1" customWidth="1"/>
    <col min="9" max="9" width="9.140625" style="5"/>
    <col min="10" max="10" width="13.140625" style="5" bestFit="1" customWidth="1"/>
    <col min="11" max="11" width="15.5703125" style="5" bestFit="1" customWidth="1"/>
    <col min="12" max="12" width="14.42578125" style="5" bestFit="1" customWidth="1"/>
    <col min="13" max="16384" width="9.140625" style="5"/>
  </cols>
  <sheetData>
    <row r="3" spans="1:12" x14ac:dyDescent="0.25">
      <c r="A3" s="5" t="s">
        <v>668</v>
      </c>
      <c r="B3" s="23" t="s">
        <v>672</v>
      </c>
      <c r="C3" s="5" t="s">
        <v>670</v>
      </c>
      <c r="D3" s="23" t="s">
        <v>671</v>
      </c>
      <c r="F3" s="5" t="s">
        <v>668</v>
      </c>
      <c r="G3" s="23" t="s">
        <v>671</v>
      </c>
      <c r="H3" s="23" t="s">
        <v>672</v>
      </c>
      <c r="J3" s="5" t="s">
        <v>668</v>
      </c>
      <c r="K3" s="23" t="s">
        <v>671</v>
      </c>
      <c r="L3" s="23" t="s">
        <v>672</v>
      </c>
    </row>
    <row r="4" spans="1:12" x14ac:dyDescent="0.25">
      <c r="A4" s="16" t="s">
        <v>22</v>
      </c>
      <c r="B4" s="23">
        <v>1259151.7999999993</v>
      </c>
      <c r="C4" s="5">
        <v>754</v>
      </c>
      <c r="D4" s="23">
        <v>4372682.05</v>
      </c>
      <c r="F4" s="16" t="s">
        <v>44</v>
      </c>
      <c r="G4" s="23">
        <v>880033.47000000032</v>
      </c>
      <c r="H4" s="23">
        <v>269856.22000000009</v>
      </c>
      <c r="J4" s="16" t="s">
        <v>23</v>
      </c>
      <c r="K4" s="23">
        <v>8138239.9699999942</v>
      </c>
      <c r="L4" s="23">
        <v>2481607.6900000004</v>
      </c>
    </row>
    <row r="5" spans="1:12" x14ac:dyDescent="0.25">
      <c r="A5" s="16" t="s">
        <v>16</v>
      </c>
      <c r="B5" s="23">
        <v>1027623.45</v>
      </c>
      <c r="C5" s="5">
        <v>641</v>
      </c>
      <c r="D5" s="23">
        <v>3544447.7900000005</v>
      </c>
      <c r="F5" s="16" t="s">
        <v>20</v>
      </c>
      <c r="G5" s="23">
        <v>6650110.7199999979</v>
      </c>
      <c r="H5" s="23">
        <v>1995217.7100000004</v>
      </c>
      <c r="J5" s="16" t="s">
        <v>17</v>
      </c>
      <c r="K5" s="23">
        <v>7869547.9200000064</v>
      </c>
      <c r="L5" s="23">
        <v>2315034.0700000012</v>
      </c>
    </row>
    <row r="6" spans="1:12" x14ac:dyDescent="0.25">
      <c r="A6" s="16" t="s">
        <v>26</v>
      </c>
      <c r="B6" s="23">
        <v>1256200.5400000003</v>
      </c>
      <c r="C6" s="5">
        <v>656</v>
      </c>
      <c r="D6" s="23">
        <v>3959103.2199999993</v>
      </c>
      <c r="F6" s="16" t="s">
        <v>28</v>
      </c>
      <c r="G6" s="23">
        <v>8477643.7000000011</v>
      </c>
      <c r="H6" s="23">
        <v>2531567.830000001</v>
      </c>
      <c r="J6" s="16" t="s">
        <v>669</v>
      </c>
      <c r="K6" s="23">
        <v>16007787.890000001</v>
      </c>
      <c r="L6" s="23">
        <v>4796641.7600000016</v>
      </c>
    </row>
    <row r="7" spans="1:12" x14ac:dyDescent="0.25">
      <c r="A7" s="16" t="s">
        <v>31</v>
      </c>
      <c r="B7" s="23">
        <v>1253665.9699999997</v>
      </c>
      <c r="C7" s="5">
        <v>696</v>
      </c>
      <c r="D7" s="23">
        <v>4131554.8299999996</v>
      </c>
      <c r="F7" s="16" t="s">
        <v>669</v>
      </c>
      <c r="G7" s="23">
        <v>16007787.890000001</v>
      </c>
      <c r="H7" s="23">
        <v>4796641.7600000016</v>
      </c>
    </row>
    <row r="8" spans="1:12" x14ac:dyDescent="0.25">
      <c r="A8" s="16" t="s">
        <v>669</v>
      </c>
      <c r="B8" s="23">
        <v>4796641.7599999988</v>
      </c>
      <c r="C8" s="5">
        <v>2747</v>
      </c>
      <c r="D8" s="23">
        <v>16007787.889999999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Raw Data</vt:lpstr>
      <vt:lpstr>Analysis</vt:lpstr>
      <vt:lpstr>Dashboard</vt:lpstr>
      <vt:lpstr>PivotTables</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naomi mohlala</cp:lastModifiedBy>
  <cp:revision>1</cp:revision>
  <dcterms:created xsi:type="dcterms:W3CDTF">2026-08-25T13:37:02Z</dcterms:created>
  <dcterms:modified xsi:type="dcterms:W3CDTF">2026-08-26T10:16:06Z</dcterms:modified>
  <dc:language>en-US</dc:language>
</cp:coreProperties>
</file>