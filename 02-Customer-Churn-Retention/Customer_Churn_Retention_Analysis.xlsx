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naomi\Downloads\Naomi_Excel_Data_Analysis_Portfolio\Naomi_Mohlala_Excel_Data_Analysis_Portfolio_Rebuilt\"/>
    </mc:Choice>
  </mc:AlternateContent>
  <xr:revisionPtr revIDLastSave="0" documentId="13_ncr:1_{055B20BA-D117-4052-87B8-BB1FA6230C0D}" xr6:coauthVersionLast="47" xr6:coauthVersionMax="47" xr10:uidLastSave="{00000000-0000-0000-0000-000000000000}"/>
  <bookViews>
    <workbookView xWindow="-120" yWindow="-120" windowWidth="20730" windowHeight="11160" activeTab="3" xr2:uid="{00000000-000D-0000-FFFF-FFFF00000000}"/>
  </bookViews>
  <sheets>
    <sheet name="Customer Data" sheetId="1" r:id="rId1"/>
    <sheet name="Analysis" sheetId="2" r:id="rId2"/>
    <sheet name="Dashboard" sheetId="3" r:id="rId3"/>
    <sheet name="Pivot Tables" sheetId="6" r:id="rId4"/>
  </sheets>
  <definedNames>
    <definedName name="_xlnm._FilterDatabase" localSheetId="0" hidden="1">'Customer Data'!$A$1:$K$801</definedName>
    <definedName name="_xlnm.Print_Area" localSheetId="2">Dashboard!$A$1:$L$38</definedName>
    <definedName name="Slicer_Contract_Type">#N/A</definedName>
    <definedName name="Slicer_Plan">#N/A</definedName>
    <definedName name="Slicer_Satisfaction_Score">#N/A</definedName>
  </definedNames>
  <calcPr calcId="191029" iterateDelta="1E-4"/>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9" i="2" l="1"/>
  <c r="D29" i="2" s="1"/>
  <c r="B29" i="2"/>
  <c r="C28" i="2"/>
  <c r="D28" i="2" s="1"/>
  <c r="B28" i="2"/>
  <c r="C27" i="2"/>
  <c r="D27" i="2" s="1"/>
  <c r="B27" i="2"/>
  <c r="C26" i="2"/>
  <c r="D26" i="2" s="1"/>
  <c r="B26" i="2"/>
  <c r="D25" i="2"/>
  <c r="C25" i="2"/>
  <c r="B25" i="2"/>
  <c r="C20" i="2"/>
  <c r="D20" i="2" s="1"/>
  <c r="B20" i="2"/>
  <c r="C19" i="2"/>
  <c r="D19" i="2" s="1"/>
  <c r="B19" i="2"/>
  <c r="C18" i="2"/>
  <c r="D18" i="2" s="1"/>
  <c r="B18" i="2"/>
  <c r="D12" i="2"/>
  <c r="C12" i="2"/>
  <c r="B12" i="2"/>
  <c r="C11" i="2"/>
  <c r="D11" i="2" s="1"/>
  <c r="B11" i="2"/>
  <c r="G5" i="2"/>
  <c r="H4" i="3" s="1"/>
  <c r="C5" i="2"/>
  <c r="E5" i="2" s="1"/>
  <c r="F4" i="3" s="1"/>
  <c r="A5" i="2"/>
  <c r="B4" i="3" s="1"/>
  <c r="K801" i="1"/>
  <c r="K800" i="1"/>
  <c r="K799" i="1"/>
  <c r="K798" i="1"/>
  <c r="K797" i="1"/>
  <c r="K796" i="1"/>
  <c r="K795" i="1"/>
  <c r="K794" i="1"/>
  <c r="K793" i="1"/>
  <c r="K792" i="1"/>
  <c r="K791" i="1"/>
  <c r="K790" i="1"/>
  <c r="K789" i="1"/>
  <c r="K788" i="1"/>
  <c r="K787" i="1"/>
  <c r="K786" i="1"/>
  <c r="K785" i="1"/>
  <c r="K784" i="1"/>
  <c r="K783" i="1"/>
  <c r="K782" i="1"/>
  <c r="K781" i="1"/>
  <c r="K780" i="1"/>
  <c r="K779" i="1"/>
  <c r="K778" i="1"/>
  <c r="K777" i="1"/>
  <c r="K776" i="1"/>
  <c r="K775" i="1"/>
  <c r="K774" i="1"/>
  <c r="K773" i="1"/>
  <c r="K772" i="1"/>
  <c r="K771" i="1"/>
  <c r="K770" i="1"/>
  <c r="K769" i="1"/>
  <c r="K768" i="1"/>
  <c r="K767" i="1"/>
  <c r="K766" i="1"/>
  <c r="K765" i="1"/>
  <c r="K764" i="1"/>
  <c r="K763" i="1"/>
  <c r="K762" i="1"/>
  <c r="K761" i="1"/>
  <c r="K760" i="1"/>
  <c r="K759" i="1"/>
  <c r="K758" i="1"/>
  <c r="K757" i="1"/>
  <c r="K756" i="1"/>
  <c r="K755" i="1"/>
  <c r="K754" i="1"/>
  <c r="K753" i="1"/>
  <c r="K752" i="1"/>
  <c r="K751" i="1"/>
  <c r="K750" i="1"/>
  <c r="K749" i="1"/>
  <c r="K748" i="1"/>
  <c r="K747" i="1"/>
  <c r="K746" i="1"/>
  <c r="K745" i="1"/>
  <c r="K744" i="1"/>
  <c r="K743" i="1"/>
  <c r="K742" i="1"/>
  <c r="K741" i="1"/>
  <c r="K740" i="1"/>
  <c r="K739" i="1"/>
  <c r="K738" i="1"/>
  <c r="K737" i="1"/>
  <c r="K736" i="1"/>
  <c r="K735" i="1"/>
  <c r="K734" i="1"/>
  <c r="K733" i="1"/>
  <c r="K732" i="1"/>
  <c r="K731" i="1"/>
  <c r="K730" i="1"/>
  <c r="K729" i="1"/>
  <c r="K728" i="1"/>
  <c r="K727" i="1"/>
  <c r="K726" i="1"/>
  <c r="K725" i="1"/>
  <c r="K724" i="1"/>
  <c r="K723" i="1"/>
  <c r="K722" i="1"/>
  <c r="K721" i="1"/>
  <c r="K720" i="1"/>
  <c r="K719" i="1"/>
  <c r="K718" i="1"/>
  <c r="K717" i="1"/>
  <c r="K716" i="1"/>
  <c r="K715" i="1"/>
  <c r="K714" i="1"/>
  <c r="K713" i="1"/>
  <c r="K712" i="1"/>
  <c r="K711" i="1"/>
  <c r="K710" i="1"/>
  <c r="K709" i="1"/>
  <c r="K708" i="1"/>
  <c r="K707" i="1"/>
  <c r="K706" i="1"/>
  <c r="K705" i="1"/>
  <c r="K704" i="1"/>
  <c r="K703" i="1"/>
  <c r="K702" i="1"/>
  <c r="K701" i="1"/>
  <c r="K700" i="1"/>
  <c r="K699" i="1"/>
  <c r="K698" i="1"/>
  <c r="K697" i="1"/>
  <c r="K696" i="1"/>
  <c r="K695" i="1"/>
  <c r="K694" i="1"/>
  <c r="K693" i="1"/>
  <c r="K692" i="1"/>
  <c r="K691" i="1"/>
  <c r="K690" i="1"/>
  <c r="K689" i="1"/>
  <c r="K688" i="1"/>
  <c r="K687" i="1"/>
  <c r="K686" i="1"/>
  <c r="K685" i="1"/>
  <c r="K684" i="1"/>
  <c r="K683" i="1"/>
  <c r="K682" i="1"/>
  <c r="K681" i="1"/>
  <c r="K680" i="1"/>
  <c r="K679" i="1"/>
  <c r="K678" i="1"/>
  <c r="K677" i="1"/>
  <c r="K676" i="1"/>
  <c r="K675" i="1"/>
  <c r="K674" i="1"/>
  <c r="K673" i="1"/>
  <c r="K672" i="1"/>
  <c r="K671" i="1"/>
  <c r="K670" i="1"/>
  <c r="K669" i="1"/>
  <c r="K668" i="1"/>
  <c r="K667" i="1"/>
  <c r="K666" i="1"/>
  <c r="K665" i="1"/>
  <c r="K664" i="1"/>
  <c r="K663" i="1"/>
  <c r="K662" i="1"/>
  <c r="K661" i="1"/>
  <c r="K660" i="1"/>
  <c r="K659" i="1"/>
  <c r="K658" i="1"/>
  <c r="K657" i="1"/>
  <c r="K656" i="1"/>
  <c r="K655" i="1"/>
  <c r="K654" i="1"/>
  <c r="K653" i="1"/>
  <c r="K652" i="1"/>
  <c r="K651" i="1"/>
  <c r="K650" i="1"/>
  <c r="K649" i="1"/>
  <c r="K648" i="1"/>
  <c r="K647" i="1"/>
  <c r="K646" i="1"/>
  <c r="K645" i="1"/>
  <c r="K644" i="1"/>
  <c r="K643" i="1"/>
  <c r="K642" i="1"/>
  <c r="K641" i="1"/>
  <c r="K640" i="1"/>
  <c r="K639" i="1"/>
  <c r="K638" i="1"/>
  <c r="K637" i="1"/>
  <c r="K636" i="1"/>
  <c r="K635" i="1"/>
  <c r="K634" i="1"/>
  <c r="K633" i="1"/>
  <c r="K632" i="1"/>
  <c r="K631" i="1"/>
  <c r="K630" i="1"/>
  <c r="K629" i="1"/>
  <c r="K628" i="1"/>
  <c r="K627" i="1"/>
  <c r="K626" i="1"/>
  <c r="K625" i="1"/>
  <c r="K624" i="1"/>
  <c r="K623" i="1"/>
  <c r="K622" i="1"/>
  <c r="K621" i="1"/>
  <c r="K620" i="1"/>
  <c r="K619" i="1"/>
  <c r="K618" i="1"/>
  <c r="K617" i="1"/>
  <c r="K616" i="1"/>
  <c r="K615" i="1"/>
  <c r="K614" i="1"/>
  <c r="K613" i="1"/>
  <c r="K612" i="1"/>
  <c r="K611" i="1"/>
  <c r="K610" i="1"/>
  <c r="K609" i="1"/>
  <c r="K608" i="1"/>
  <c r="K607" i="1"/>
  <c r="K606" i="1"/>
  <c r="K605" i="1"/>
  <c r="K604" i="1"/>
  <c r="K603" i="1"/>
  <c r="K602" i="1"/>
  <c r="K601" i="1"/>
  <c r="K600" i="1"/>
  <c r="K599" i="1"/>
  <c r="K598" i="1"/>
  <c r="K597" i="1"/>
  <c r="K596" i="1"/>
  <c r="K595" i="1"/>
  <c r="K594" i="1"/>
  <c r="K593" i="1"/>
  <c r="K592" i="1"/>
  <c r="K591" i="1"/>
  <c r="K590" i="1"/>
  <c r="K589" i="1"/>
  <c r="K588" i="1"/>
  <c r="K587" i="1"/>
  <c r="K586" i="1"/>
  <c r="K585" i="1"/>
  <c r="K584" i="1"/>
  <c r="K583" i="1"/>
  <c r="K582" i="1"/>
  <c r="K581" i="1"/>
  <c r="K580" i="1"/>
  <c r="K579" i="1"/>
  <c r="K578" i="1"/>
  <c r="K577" i="1"/>
  <c r="K576" i="1"/>
  <c r="K575" i="1"/>
  <c r="K574" i="1"/>
  <c r="K573" i="1"/>
  <c r="K572" i="1"/>
  <c r="K571" i="1"/>
  <c r="K570" i="1"/>
  <c r="K569" i="1"/>
  <c r="K568" i="1"/>
  <c r="K567" i="1"/>
  <c r="K566" i="1"/>
  <c r="K565" i="1"/>
  <c r="K564" i="1"/>
  <c r="K563" i="1"/>
  <c r="K562" i="1"/>
  <c r="K561" i="1"/>
  <c r="K560" i="1"/>
  <c r="K559" i="1"/>
  <c r="K558" i="1"/>
  <c r="K557" i="1"/>
  <c r="K556" i="1"/>
  <c r="K555" i="1"/>
  <c r="K554" i="1"/>
  <c r="K553" i="1"/>
  <c r="K552" i="1"/>
  <c r="K551" i="1"/>
  <c r="K550" i="1"/>
  <c r="K549" i="1"/>
  <c r="K548" i="1"/>
  <c r="K547" i="1"/>
  <c r="K546" i="1"/>
  <c r="K545" i="1"/>
  <c r="K544" i="1"/>
  <c r="K543" i="1"/>
  <c r="K542" i="1"/>
  <c r="K541" i="1"/>
  <c r="K540" i="1"/>
  <c r="K539" i="1"/>
  <c r="K538" i="1"/>
  <c r="K537" i="1"/>
  <c r="K536" i="1"/>
  <c r="K535" i="1"/>
  <c r="K534" i="1"/>
  <c r="K533" i="1"/>
  <c r="K532" i="1"/>
  <c r="K531" i="1"/>
  <c r="K530" i="1"/>
  <c r="K529" i="1"/>
  <c r="K528" i="1"/>
  <c r="K527" i="1"/>
  <c r="K526" i="1"/>
  <c r="K525" i="1"/>
  <c r="K524" i="1"/>
  <c r="K523" i="1"/>
  <c r="K522" i="1"/>
  <c r="K521" i="1"/>
  <c r="K520" i="1"/>
  <c r="K519" i="1"/>
  <c r="K518" i="1"/>
  <c r="K517" i="1"/>
  <c r="K516" i="1"/>
  <c r="K515" i="1"/>
  <c r="K514" i="1"/>
  <c r="K513" i="1"/>
  <c r="K512" i="1"/>
  <c r="K511" i="1"/>
  <c r="K510" i="1"/>
  <c r="K509" i="1"/>
  <c r="K508" i="1"/>
  <c r="K507" i="1"/>
  <c r="K506" i="1"/>
  <c r="K505" i="1"/>
  <c r="K504" i="1"/>
  <c r="K503" i="1"/>
  <c r="K502" i="1"/>
  <c r="K501" i="1"/>
  <c r="K500" i="1"/>
  <c r="K499" i="1"/>
  <c r="K498" i="1"/>
  <c r="K497" i="1"/>
  <c r="K496" i="1"/>
  <c r="K495" i="1"/>
  <c r="K494" i="1"/>
  <c r="K493" i="1"/>
  <c r="K492" i="1"/>
  <c r="K491" i="1"/>
  <c r="K490" i="1"/>
  <c r="K489" i="1"/>
  <c r="K488" i="1"/>
  <c r="K487" i="1"/>
  <c r="K486" i="1"/>
  <c r="K485" i="1"/>
  <c r="K484" i="1"/>
  <c r="K483" i="1"/>
  <c r="K482" i="1"/>
  <c r="K481" i="1"/>
  <c r="K480" i="1"/>
  <c r="K479" i="1"/>
  <c r="K478" i="1"/>
  <c r="K477" i="1"/>
  <c r="K476" i="1"/>
  <c r="K475" i="1"/>
  <c r="K474" i="1"/>
  <c r="K473" i="1"/>
  <c r="K472" i="1"/>
  <c r="K471" i="1"/>
  <c r="K470" i="1"/>
  <c r="K469" i="1"/>
  <c r="K468" i="1"/>
  <c r="K467" i="1"/>
  <c r="K466" i="1"/>
  <c r="K465" i="1"/>
  <c r="K464" i="1"/>
  <c r="K463" i="1"/>
  <c r="K462" i="1"/>
  <c r="K461" i="1"/>
  <c r="K460" i="1"/>
  <c r="K459" i="1"/>
  <c r="K458" i="1"/>
  <c r="K457" i="1"/>
  <c r="K456" i="1"/>
  <c r="K455" i="1"/>
  <c r="K454" i="1"/>
  <c r="K453" i="1"/>
  <c r="K452" i="1"/>
  <c r="K451" i="1"/>
  <c r="K450" i="1"/>
  <c r="K449" i="1"/>
  <c r="K448" i="1"/>
  <c r="K447" i="1"/>
  <c r="K446" i="1"/>
  <c r="K445" i="1"/>
  <c r="K444" i="1"/>
  <c r="K443" i="1"/>
  <c r="K442" i="1"/>
  <c r="K441" i="1"/>
  <c r="K440" i="1"/>
  <c r="K439" i="1"/>
  <c r="K438" i="1"/>
  <c r="K437" i="1"/>
  <c r="K436" i="1"/>
  <c r="K435" i="1"/>
  <c r="K434" i="1"/>
  <c r="K433" i="1"/>
  <c r="K432" i="1"/>
  <c r="K431" i="1"/>
  <c r="K430" i="1"/>
  <c r="K429" i="1"/>
  <c r="K428" i="1"/>
  <c r="K427" i="1"/>
  <c r="K426" i="1"/>
  <c r="K425" i="1"/>
  <c r="K424" i="1"/>
  <c r="K423" i="1"/>
  <c r="K422" i="1"/>
  <c r="K421" i="1"/>
  <c r="K420" i="1"/>
  <c r="K419" i="1"/>
  <c r="K418" i="1"/>
  <c r="K417" i="1"/>
  <c r="K416" i="1"/>
  <c r="K415" i="1"/>
  <c r="K414" i="1"/>
  <c r="K413" i="1"/>
  <c r="K412" i="1"/>
  <c r="K411" i="1"/>
  <c r="K410" i="1"/>
  <c r="K409" i="1"/>
  <c r="K408" i="1"/>
  <c r="K407" i="1"/>
  <c r="K406" i="1"/>
  <c r="K405" i="1"/>
  <c r="K404" i="1"/>
  <c r="K403" i="1"/>
  <c r="K402" i="1"/>
  <c r="K401" i="1"/>
  <c r="K400" i="1"/>
  <c r="K399" i="1"/>
  <c r="K398" i="1"/>
  <c r="K397" i="1"/>
  <c r="K396" i="1"/>
  <c r="K395" i="1"/>
  <c r="K394" i="1"/>
  <c r="K393" i="1"/>
  <c r="K392" i="1"/>
  <c r="K391" i="1"/>
  <c r="K390" i="1"/>
  <c r="K389" i="1"/>
  <c r="K388" i="1"/>
  <c r="K387" i="1"/>
  <c r="K386" i="1"/>
  <c r="K385" i="1"/>
  <c r="K384" i="1"/>
  <c r="K383" i="1"/>
  <c r="K382" i="1"/>
  <c r="K381" i="1"/>
  <c r="K380" i="1"/>
  <c r="K379" i="1"/>
  <c r="K378" i="1"/>
  <c r="K377" i="1"/>
  <c r="K376" i="1"/>
  <c r="K375" i="1"/>
  <c r="K374" i="1"/>
  <c r="K373" i="1"/>
  <c r="K372" i="1"/>
  <c r="K371" i="1"/>
  <c r="K370" i="1"/>
  <c r="K369" i="1"/>
  <c r="K368" i="1"/>
  <c r="K367" i="1"/>
  <c r="K366" i="1"/>
  <c r="K365" i="1"/>
  <c r="K364" i="1"/>
  <c r="K363" i="1"/>
  <c r="K362" i="1"/>
  <c r="K361" i="1"/>
  <c r="K360" i="1"/>
  <c r="K359" i="1"/>
  <c r="K358" i="1"/>
  <c r="K357" i="1"/>
  <c r="K356" i="1"/>
  <c r="K355" i="1"/>
  <c r="K354" i="1"/>
  <c r="K353" i="1"/>
  <c r="K352" i="1"/>
  <c r="K351" i="1"/>
  <c r="K350" i="1"/>
  <c r="K349" i="1"/>
  <c r="K348" i="1"/>
  <c r="K347" i="1"/>
  <c r="K346" i="1"/>
  <c r="K345" i="1"/>
  <c r="K344" i="1"/>
  <c r="K343" i="1"/>
  <c r="K342" i="1"/>
  <c r="K341" i="1"/>
  <c r="K340" i="1"/>
  <c r="K339" i="1"/>
  <c r="K338" i="1"/>
  <c r="K337" i="1"/>
  <c r="K336" i="1"/>
  <c r="K335" i="1"/>
  <c r="K334" i="1"/>
  <c r="K333" i="1"/>
  <c r="K332" i="1"/>
  <c r="K331" i="1"/>
  <c r="K330" i="1"/>
  <c r="K329" i="1"/>
  <c r="K328" i="1"/>
  <c r="K327" i="1"/>
  <c r="K326" i="1"/>
  <c r="K325" i="1"/>
  <c r="K324" i="1"/>
  <c r="K323" i="1"/>
  <c r="K322" i="1"/>
  <c r="K321" i="1"/>
  <c r="K320" i="1"/>
  <c r="K319" i="1"/>
  <c r="K318" i="1"/>
  <c r="K317" i="1"/>
  <c r="K316" i="1"/>
  <c r="K315" i="1"/>
  <c r="K314" i="1"/>
  <c r="K313" i="1"/>
  <c r="K312" i="1"/>
  <c r="K311" i="1"/>
  <c r="K310" i="1"/>
  <c r="K309" i="1"/>
  <c r="K308" i="1"/>
  <c r="K307" i="1"/>
  <c r="K306" i="1"/>
  <c r="K305" i="1"/>
  <c r="K304" i="1"/>
  <c r="K303" i="1"/>
  <c r="K302" i="1"/>
  <c r="K301" i="1"/>
  <c r="K300" i="1"/>
  <c r="K299" i="1"/>
  <c r="K298" i="1"/>
  <c r="K297" i="1"/>
  <c r="K296" i="1"/>
  <c r="K295" i="1"/>
  <c r="K294" i="1"/>
  <c r="K293" i="1"/>
  <c r="K292" i="1"/>
  <c r="K291" i="1"/>
  <c r="K290" i="1"/>
  <c r="K289" i="1"/>
  <c r="K288" i="1"/>
  <c r="K287" i="1"/>
  <c r="K286" i="1"/>
  <c r="K285" i="1"/>
  <c r="K284" i="1"/>
  <c r="K283" i="1"/>
  <c r="K282" i="1"/>
  <c r="K281" i="1"/>
  <c r="K280" i="1"/>
  <c r="K279" i="1"/>
  <c r="K278" i="1"/>
  <c r="K277" i="1"/>
  <c r="K276" i="1"/>
  <c r="K275" i="1"/>
  <c r="K274" i="1"/>
  <c r="K273" i="1"/>
  <c r="K272" i="1"/>
  <c r="K271" i="1"/>
  <c r="K270" i="1"/>
  <c r="K269" i="1"/>
  <c r="K268" i="1"/>
  <c r="K267" i="1"/>
  <c r="K266" i="1"/>
  <c r="K265" i="1"/>
  <c r="K264" i="1"/>
  <c r="K263" i="1"/>
  <c r="K262" i="1"/>
  <c r="K261" i="1"/>
  <c r="K260" i="1"/>
  <c r="K259" i="1"/>
  <c r="K258" i="1"/>
  <c r="K257" i="1"/>
  <c r="K256" i="1"/>
  <c r="K255" i="1"/>
  <c r="K254" i="1"/>
  <c r="K253" i="1"/>
  <c r="K252" i="1"/>
  <c r="K251" i="1"/>
  <c r="K250" i="1"/>
  <c r="K249" i="1"/>
  <c r="K248" i="1"/>
  <c r="K247" i="1"/>
  <c r="K246" i="1"/>
  <c r="K245" i="1"/>
  <c r="K244" i="1"/>
  <c r="K243" i="1"/>
  <c r="K242" i="1"/>
  <c r="K241" i="1"/>
  <c r="K240" i="1"/>
  <c r="K239" i="1"/>
  <c r="K238" i="1"/>
  <c r="K237" i="1"/>
  <c r="K236" i="1"/>
  <c r="K235" i="1"/>
  <c r="K234" i="1"/>
  <c r="K233" i="1"/>
  <c r="K232" i="1"/>
  <c r="K231" i="1"/>
  <c r="K230" i="1"/>
  <c r="K229" i="1"/>
  <c r="K228" i="1"/>
  <c r="K227" i="1"/>
  <c r="K226" i="1"/>
  <c r="K225" i="1"/>
  <c r="K224" i="1"/>
  <c r="K223" i="1"/>
  <c r="K222" i="1"/>
  <c r="K221" i="1"/>
  <c r="K220" i="1"/>
  <c r="K219" i="1"/>
  <c r="K218" i="1"/>
  <c r="K217" i="1"/>
  <c r="K216" i="1"/>
  <c r="K215" i="1"/>
  <c r="K214" i="1"/>
  <c r="K213" i="1"/>
  <c r="K212" i="1"/>
  <c r="K211" i="1"/>
  <c r="K210" i="1"/>
  <c r="K209" i="1"/>
  <c r="K208" i="1"/>
  <c r="K207" i="1"/>
  <c r="K206" i="1"/>
  <c r="K205" i="1"/>
  <c r="K204" i="1"/>
  <c r="K203" i="1"/>
  <c r="K202" i="1"/>
  <c r="K201" i="1"/>
  <c r="K200" i="1"/>
  <c r="K199" i="1"/>
  <c r="K198" i="1"/>
  <c r="K197" i="1"/>
  <c r="K196" i="1"/>
  <c r="K195" i="1"/>
  <c r="K194" i="1"/>
  <c r="K193" i="1"/>
  <c r="K192" i="1"/>
  <c r="K191" i="1"/>
  <c r="K190" i="1"/>
  <c r="K189" i="1"/>
  <c r="K188" i="1"/>
  <c r="K187" i="1"/>
  <c r="K186" i="1"/>
  <c r="K185" i="1"/>
  <c r="K184" i="1"/>
  <c r="K183" i="1"/>
  <c r="K182" i="1"/>
  <c r="K181" i="1"/>
  <c r="K180" i="1"/>
  <c r="K179" i="1"/>
  <c r="K178" i="1"/>
  <c r="K177" i="1"/>
  <c r="K176" i="1"/>
  <c r="K175" i="1"/>
  <c r="K174" i="1"/>
  <c r="K173" i="1"/>
  <c r="K172" i="1"/>
  <c r="K171" i="1"/>
  <c r="K170" i="1"/>
  <c r="K169" i="1"/>
  <c r="K168" i="1"/>
  <c r="K167" i="1"/>
  <c r="K166" i="1"/>
  <c r="K165" i="1"/>
  <c r="K164" i="1"/>
  <c r="K163" i="1"/>
  <c r="K162" i="1"/>
  <c r="K161" i="1"/>
  <c r="K160" i="1"/>
  <c r="K159" i="1"/>
  <c r="K158" i="1"/>
  <c r="K157" i="1"/>
  <c r="K156" i="1"/>
  <c r="K155" i="1"/>
  <c r="K154" i="1"/>
  <c r="K153" i="1"/>
  <c r="K152" i="1"/>
  <c r="K151" i="1"/>
  <c r="K150" i="1"/>
  <c r="K149" i="1"/>
  <c r="K148" i="1"/>
  <c r="K147" i="1"/>
  <c r="K146" i="1"/>
  <c r="K145" i="1"/>
  <c r="K144" i="1"/>
  <c r="K143" i="1"/>
  <c r="K142" i="1"/>
  <c r="K141" i="1"/>
  <c r="K140" i="1"/>
  <c r="K139" i="1"/>
  <c r="K138" i="1"/>
  <c r="K137" i="1"/>
  <c r="K136" i="1"/>
  <c r="K135" i="1"/>
  <c r="K134" i="1"/>
  <c r="K133" i="1"/>
  <c r="K132" i="1"/>
  <c r="K131" i="1"/>
  <c r="K130" i="1"/>
  <c r="K129" i="1"/>
  <c r="K128" i="1"/>
  <c r="K127" i="1"/>
  <c r="K126" i="1"/>
  <c r="K125" i="1"/>
  <c r="K124" i="1"/>
  <c r="K123" i="1"/>
  <c r="K122" i="1"/>
  <c r="K121" i="1"/>
  <c r="K120" i="1"/>
  <c r="K119" i="1"/>
  <c r="K118" i="1"/>
  <c r="K117" i="1"/>
  <c r="K116" i="1"/>
  <c r="K115" i="1"/>
  <c r="K114" i="1"/>
  <c r="K113" i="1"/>
  <c r="K112" i="1"/>
  <c r="K111" i="1"/>
  <c r="K110" i="1"/>
  <c r="K109" i="1"/>
  <c r="K108" i="1"/>
  <c r="K107" i="1"/>
  <c r="K106" i="1"/>
  <c r="K105" i="1"/>
  <c r="K104" i="1"/>
  <c r="K103" i="1"/>
  <c r="K102" i="1"/>
  <c r="K101" i="1"/>
  <c r="K100" i="1"/>
  <c r="K99" i="1"/>
  <c r="K98" i="1"/>
  <c r="K97" i="1"/>
  <c r="K96" i="1"/>
  <c r="K95" i="1"/>
  <c r="K94" i="1"/>
  <c r="K93" i="1"/>
  <c r="K92" i="1"/>
  <c r="K91" i="1"/>
  <c r="K90" i="1"/>
  <c r="K89" i="1"/>
  <c r="K88" i="1"/>
  <c r="K87" i="1"/>
  <c r="K86" i="1"/>
  <c r="K85" i="1"/>
  <c r="K84" i="1"/>
  <c r="K83" i="1"/>
  <c r="K82" i="1"/>
  <c r="K81" i="1"/>
  <c r="K80" i="1"/>
  <c r="K79" i="1"/>
  <c r="K78" i="1"/>
  <c r="K77" i="1"/>
  <c r="K76" i="1"/>
  <c r="K75" i="1"/>
  <c r="K74" i="1"/>
  <c r="K73" i="1"/>
  <c r="K72" i="1"/>
  <c r="K71" i="1"/>
  <c r="K70" i="1"/>
  <c r="K69" i="1"/>
  <c r="K68" i="1"/>
  <c r="K67" i="1"/>
  <c r="K66" i="1"/>
  <c r="K65" i="1"/>
  <c r="K64" i="1"/>
  <c r="K63" i="1"/>
  <c r="K62" i="1"/>
  <c r="K61" i="1"/>
  <c r="K60" i="1"/>
  <c r="K59" i="1"/>
  <c r="K58" i="1"/>
  <c r="K57" i="1"/>
  <c r="K56" i="1"/>
  <c r="K55" i="1"/>
  <c r="K54" i="1"/>
  <c r="K53" i="1"/>
  <c r="K52" i="1"/>
  <c r="K51" i="1"/>
  <c r="K50" i="1"/>
  <c r="K49" i="1"/>
  <c r="K48" i="1"/>
  <c r="K47" i="1"/>
  <c r="K46" i="1"/>
  <c r="K45" i="1"/>
  <c r="K44" i="1"/>
  <c r="K43" i="1"/>
  <c r="K42" i="1"/>
  <c r="K41" i="1"/>
  <c r="K40" i="1"/>
  <c r="K39" i="1"/>
  <c r="K38" i="1"/>
  <c r="K37" i="1"/>
  <c r="K36" i="1"/>
  <c r="K35" i="1"/>
  <c r="K34" i="1"/>
  <c r="K33" i="1"/>
  <c r="K32" i="1"/>
  <c r="K31" i="1"/>
  <c r="K30" i="1"/>
  <c r="K29" i="1"/>
  <c r="K28" i="1"/>
  <c r="K27" i="1"/>
  <c r="K26" i="1"/>
  <c r="K25" i="1"/>
  <c r="K24" i="1"/>
  <c r="K23" i="1"/>
  <c r="K22" i="1"/>
  <c r="K21" i="1"/>
  <c r="K20" i="1"/>
  <c r="K19" i="1"/>
  <c r="K18" i="1"/>
  <c r="K17" i="1"/>
  <c r="K16" i="1"/>
  <c r="K15" i="1"/>
  <c r="K14" i="1"/>
  <c r="K13" i="1"/>
  <c r="K12" i="1"/>
  <c r="K11" i="1"/>
  <c r="K10" i="1"/>
  <c r="K9" i="1"/>
  <c r="K8" i="1"/>
  <c r="K7" i="1"/>
  <c r="K6" i="1"/>
  <c r="K5" i="1"/>
  <c r="K4" i="1"/>
  <c r="K3" i="1"/>
  <c r="K2" i="1"/>
  <c r="D4" i="3" l="1"/>
</calcChain>
</file>

<file path=xl/sharedStrings.xml><?xml version="1.0" encoding="utf-8"?>
<sst xmlns="http://schemas.openxmlformats.org/spreadsheetml/2006/main" count="3267" uniqueCount="841">
  <si>
    <t>Customer ID</t>
  </si>
  <si>
    <t>Age</t>
  </si>
  <si>
    <t>Tenure Months</t>
  </si>
  <si>
    <t>Plan</t>
  </si>
  <si>
    <t>Monthly Spend</t>
  </si>
  <si>
    <t>Support Tickets</t>
  </si>
  <si>
    <t>Login Frequency</t>
  </si>
  <si>
    <t>Satisfaction Score</t>
  </si>
  <si>
    <t>Contract Type</t>
  </si>
  <si>
    <t>Churned</t>
  </si>
  <si>
    <t>Churn Risk Band</t>
  </si>
  <si>
    <t>CUST0001</t>
  </si>
  <si>
    <t>Basic</t>
  </si>
  <si>
    <t>Annual</t>
  </si>
  <si>
    <t>No</t>
  </si>
  <si>
    <t>CUST0002</t>
  </si>
  <si>
    <t>Standard</t>
  </si>
  <si>
    <t>Monthly</t>
  </si>
  <si>
    <t>CUST0003</t>
  </si>
  <si>
    <t>CUST0004</t>
  </si>
  <si>
    <t>CUST0005</t>
  </si>
  <si>
    <t>CUST0006</t>
  </si>
  <si>
    <t>Yes</t>
  </si>
  <si>
    <t>CUST0007</t>
  </si>
  <si>
    <t>CUST0008</t>
  </si>
  <si>
    <t>CUST0009</t>
  </si>
  <si>
    <t>Premium</t>
  </si>
  <si>
    <t>CUST0010</t>
  </si>
  <si>
    <t>CUST0011</t>
  </si>
  <si>
    <t>CUST0012</t>
  </si>
  <si>
    <t>CUST0013</t>
  </si>
  <si>
    <t>CUST0014</t>
  </si>
  <si>
    <t>CUST0015</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</si>
  <si>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</si>
  <si>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</si>
  <si>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</si>
  <si>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</si>
  <si>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</si>
  <si>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</si>
  <si>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</si>
  <si>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</si>
  <si>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</si>
  <si>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</si>
  <si>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</si>
  <si>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</si>
  <si>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</si>
  <si>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</si>
  <si>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</si>
  <si>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</si>
  <si>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</si>
  <si>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</si>
  <si>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</si>
  <si>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</si>
  <si>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</si>
  <si>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</si>
  <si>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</si>
  <si>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</si>
  <si>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</si>
  <si>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</si>
  <si>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</si>
  <si>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</si>
  <si>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</si>
  <si>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</si>
  <si>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</si>
  <si>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</si>
  <si>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</si>
  <si>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</si>
  <si>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</si>
  <si>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</si>
  <si>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</si>
  <si>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</si>
  <si>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</si>
  <si>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</si>
  <si>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</si>
  <si>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</si>
  <si>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</si>
  <si>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</si>
  <si>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</si>
  <si>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</si>
  <si>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</si>
  <si>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</si>
  <si>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</si>
  <si>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</si>
  <si>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</si>
  <si>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</si>
  <si>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</si>
  <si>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</si>
  <si>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</si>
  <si>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</si>
  <si>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</si>
  <si>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</si>
  <si>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</si>
  <si>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</si>
  <si>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</si>
  <si>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</si>
  <si>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</si>
  <si>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</si>
  <si>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</si>
  <si>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</si>
  <si>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</si>
  <si>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</si>
  <si>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</si>
  <si>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</si>
  <si>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</si>
  <si>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</si>
  <si>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</si>
  <si>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</si>
  <si>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</si>
  <si>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</si>
  <si>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</si>
  <si>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</si>
  <si>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</si>
  <si>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</si>
  <si>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</si>
  <si>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</si>
  <si>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</si>
  <si>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</si>
  <si>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</si>
  <si>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</si>
  <si>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</si>
  <si>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</si>
  <si>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</si>
  <si>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</si>
  <si>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</si>
  <si>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</si>
  <si>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</si>
  <si>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</si>
  <si>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</si>
  <si>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</si>
  <si>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</si>
  <si>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</si>
  <si>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</si>
  <si>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</si>
  <si>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</si>
  <si>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</si>
  <si>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</si>
  <si>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</si>
  <si>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</si>
  <si>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</si>
  <si>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</si>
  <si>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</si>
  <si>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</si>
  <si>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</si>
  <si>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</si>
  <si>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</si>
  <si>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</si>
  <si>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</si>
  <si>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</si>
  <si>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</si>
  <si>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</si>
  <si>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</si>
  <si>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</si>
  <si>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</si>
  <si>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</si>
  <si>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</si>
  <si>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</si>
  <si>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</si>
  <si>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</si>
  <si>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</si>
  <si>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</si>
  <si>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</si>
  <si>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</si>
  <si>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</si>
  <si>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</si>
  <si>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</si>
  <si>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</si>
  <si>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</si>
  <si>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</si>
  <si>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</si>
  <si>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</si>
  <si>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</si>
  <si>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</si>
  <si>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</si>
  <si>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</si>
  <si>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</si>
  <si>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</si>
  <si>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</si>
  <si>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</si>
  <si>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</si>
  <si>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</si>
  <si>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</si>
  <si>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</si>
  <si>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</si>
  <si>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</si>
  <si>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</si>
  <si>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</si>
  <si>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</si>
  <si>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</si>
  <si>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</si>
  <si>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</si>
  <si>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</si>
  <si>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</si>
  <si>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</si>
  <si>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</si>
  <si>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</si>
  <si>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</si>
  <si>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</si>
  <si>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</si>
  <si>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</si>
  <si>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</si>
  <si>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</si>
  <si>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</si>
  <si>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</si>
  <si>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</si>
  <si>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</si>
  <si>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</si>
  <si>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</si>
  <si>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</si>
  <si>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</si>
  <si>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</si>
  <si>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</si>
  <si>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</si>
  <si>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</si>
  <si>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</si>
  <si>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</si>
  <si>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</si>
  <si>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</si>
  <si>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</si>
  <si>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</si>
  <si>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</si>
  <si>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</si>
  <si>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</si>
  <si>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</si>
  <si>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</si>
  <si>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</si>
  <si>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</si>
  <si>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</si>
  <si>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</si>
  <si>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</si>
  <si>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</si>
  <si>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</si>
  <si>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</si>
  <si>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</si>
  <si>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</si>
  <si>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</si>
  <si>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</si>
  <si>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</si>
  <si>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</si>
  <si>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</si>
  <si>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</si>
  <si>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</si>
  <si>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</si>
  <si>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</si>
  <si>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</si>
  <si>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</si>
  <si>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</si>
  <si>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</si>
  <si>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</si>
  <si>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</si>
  <si>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</si>
  <si>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</si>
  <si>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</si>
  <si>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</si>
  <si>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</si>
  <si>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</si>
  <si>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</si>
  <si>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</si>
  <si>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</si>
  <si>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</si>
  <si>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</si>
  <si>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</si>
  <si>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</si>
  <si>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</si>
  <si>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</si>
  <si>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</si>
  <si>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</si>
  <si>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</si>
  <si>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</si>
  <si>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</si>
  <si>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</si>
  <si>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</si>
  <si>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</si>
  <si>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</si>
  <si>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</si>
  <si>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</si>
  <si>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</si>
  <si>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</si>
  <si>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</si>
  <si>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</si>
  <si>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</si>
  <si>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</si>
  <si>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</si>
  <si>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</si>
  <si>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</si>
  <si>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</si>
  <si>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</si>
  <si>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</si>
  <si>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</si>
  <si>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</si>
  <si>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</si>
  <si>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</si>
  <si>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</si>
  <si>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</si>
  <si>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</si>
  <si>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</si>
  <si>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</si>
  <si>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</si>
  <si>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</si>
  <si>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</si>
  <si>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</si>
  <si>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</si>
  <si>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</si>
  <si>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</si>
  <si>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</si>
  <si>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</si>
  <si>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</si>
  <si>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</si>
  <si>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</si>
  <si>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</si>
  <si>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</si>
  <si>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</si>
  <si>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</si>
  <si>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</si>
  <si>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</si>
  <si>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</si>
  <si>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</si>
  <si>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</si>
  <si>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</si>
  <si>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</si>
  <si>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</si>
  <si>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</si>
  <si>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</si>
  <si>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</si>
  <si>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</si>
  <si>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</si>
  <si>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</si>
  <si>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</si>
  <si>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</si>
  <si>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</si>
  <si>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</si>
  <si>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</si>
  <si>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</si>
  <si>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</si>
  <si>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</si>
  <si>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</si>
  <si>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</si>
  <si>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</si>
  <si>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</si>
  <si>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</si>
  <si>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</si>
  <si>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</si>
  <si>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</si>
  <si>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</si>
  <si>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</si>
  <si>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</si>
  <si>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</si>
  <si>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</si>
  <si>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</si>
  <si>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</si>
  <si>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</si>
  <si>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</si>
  <si>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</si>
  <si>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</si>
  <si>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</si>
  <si>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</si>
  <si>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</si>
  <si>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</si>
  <si>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</si>
  <si>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</si>
  <si>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</si>
  <si>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</si>
  <si>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</si>
  <si>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</si>
  <si>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</si>
  <si>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</si>
  <si>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</si>
  <si>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</si>
  <si>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</si>
  <si>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</si>
  <si>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</si>
  <si>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</si>
  <si>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</si>
  <si>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</si>
  <si>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</si>
  <si>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</si>
  <si>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</si>
  <si>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</si>
  <si>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</si>
  <si>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</si>
  <si>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</si>
  <si>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</si>
  <si>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</si>
  <si>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</si>
  <si>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</si>
  <si>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</si>
  <si>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</si>
  <si>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</si>
  <si>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</si>
  <si>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</si>
  <si>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</si>
  <si>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</si>
  <si>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</si>
  <si>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</si>
  <si>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</si>
  <si>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</si>
  <si>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</si>
  <si>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</si>
  <si>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</si>
  <si>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</si>
  <si>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</si>
  <si>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</si>
  <si>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</si>
  <si>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</si>
  <si>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</si>
  <si>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</si>
  <si>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</si>
  <si>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</si>
  <si>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</si>
  <si>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</si>
  <si>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</si>
  <si>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</si>
  <si>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</si>
  <si>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</si>
  <si>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</si>
  <si>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</si>
  <si>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</si>
  <si>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</si>
  <si>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</si>
  <si>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</si>
  <si>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</si>
  <si>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</si>
  <si>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</si>
  <si>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</si>
  <si>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</si>
  <si>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</si>
  <si>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</si>
  <si>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</si>
  <si>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</si>
  <si>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</si>
  <si>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</si>
  <si>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</si>
  <si>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</si>
  <si>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</si>
  <si>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</si>
  <si>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</si>
  <si>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</si>
  <si>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</si>
  <si>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</si>
  <si>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</si>
  <si>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</si>
  <si>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</si>
  <si>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</si>
  <si>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</si>
  <si>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</si>
  <si>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</si>
  <si>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</si>
  <si>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</si>
  <si>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</si>
  <si>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</si>
  <si>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</si>
  <si>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</si>
  <si>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</si>
  <si>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</si>
  <si>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</si>
  <si>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</si>
  <si>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</si>
  <si>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</si>
  <si>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</si>
  <si>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</si>
  <si>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</si>
  <si>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</si>
  <si>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</si>
  <si>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</si>
  <si>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</si>
  <si>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</si>
  <si>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</si>
  <si>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</si>
  <si>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</si>
  <si>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</si>
  <si>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</si>
  <si>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</si>
  <si>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</si>
  <si>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</si>
  <si>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</si>
  <si>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</si>
  <si>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</si>
  <si>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</si>
  <si>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</si>
  <si>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</si>
  <si>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</si>
  <si>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</si>
  <si>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</si>
  <si>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</si>
  <si>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</si>
  <si>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</si>
  <si>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</si>
  <si>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</si>
  <si>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</si>
  <si>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</si>
  <si>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</si>
  <si>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</si>
  <si>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</si>
  <si>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</si>
  <si>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</si>
  <si>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</si>
  <si>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</si>
  <si>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</si>
  <si>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</si>
  <si>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</si>
  <si>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</si>
  <si>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</si>
  <si>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</si>
  <si>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</si>
  <si>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</si>
  <si>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</si>
  <si>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</si>
  <si>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</si>
  <si>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</si>
  <si>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</si>
  <si>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</si>
  <si>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</si>
  <si>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</si>
  <si>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</si>
  <si>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</si>
  <si>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</si>
  <si>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</si>
  <si>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</si>
  <si>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</si>
  <si>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</si>
  <si>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</si>
  <si>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</si>
  <si>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</si>
  <si>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</si>
  <si>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</si>
  <si>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</si>
  <si>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</si>
  <si>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</si>
  <si>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</si>
  <si>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</si>
  <si>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</si>
  <si>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</si>
  <si>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</si>
  <si>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</si>
  <si>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</si>
  <si>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</si>
  <si>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</si>
  <si>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</si>
  <si>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</si>
  <si>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</si>
  <si>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</si>
  <si>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</si>
  <si>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</si>
  <si>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</si>
  <si>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</si>
  <si>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</si>
  <si>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</si>
  <si>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</si>
  <si>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</si>
  <si>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</si>
  <si>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</si>
  <si>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</si>
  <si>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</si>
  <si>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</si>
  <si>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</si>
  <si>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</si>
  <si>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</si>
  <si>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</si>
  <si>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</si>
  <si>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</si>
  <si>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</si>
  <si>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</si>
  <si>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</si>
  <si>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</si>
  <si>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</si>
  <si>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</si>
  <si>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</si>
  <si>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</si>
  <si>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</si>
  <si>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</si>
  <si>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</si>
  <si>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</si>
  <si>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</si>
  <si>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</si>
  <si>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</si>
  <si>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</si>
  <si>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</si>
  <si>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</si>
  <si>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</si>
  <si>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</si>
  <si>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</si>
  <si>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</si>
  <si>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</si>
  <si>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</si>
  <si>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</si>
  <si>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</si>
  <si>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</si>
  <si>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</si>
  <si>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</si>
  <si>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</si>
  <si>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</si>
  <si>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</si>
  <si>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</si>
  <si>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</si>
  <si>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</si>
  <si>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</si>
  <si>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</si>
  <si>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</si>
  <si>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</si>
  <si>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</si>
  <si>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</si>
  <si>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</si>
  <si>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</si>
  <si>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</si>
  <si>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</si>
  <si>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</si>
  <si>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</si>
  <si>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</si>
  <si>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</si>
  <si>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</si>
  <si>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</si>
  <si>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</si>
  <si>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</si>
  <si>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</si>
  <si>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</si>
  <si>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</si>
  <si>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</si>
  <si>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</si>
  <si>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</si>
  <si>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CUST0601</t>
  </si>
  <si>
    <t>CUST0602</t>
  </si>
  <si>
    <t>CUST0603</t>
  </si>
  <si>
    <t>CUST0604</t>
  </si>
  <si>
    <t>CUST0605</t>
  </si>
  <si>
    <t>CUST0606</t>
  </si>
  <si>
    <t>CUST0607</t>
  </si>
  <si>
    <t>CUST0608</t>
  </si>
  <si>
    <t>CUST0609</t>
  </si>
  <si>
    <t>CUST0610</t>
  </si>
  <si>
    <t>CUST0611</t>
  </si>
  <si>
    <t>CUST0612</t>
  </si>
  <si>
    <t>CUST0613</t>
  </si>
  <si>
    <t>CUST0614</t>
  </si>
  <si>
    <t>CUST0615</t>
  </si>
  <si>
    <t>CUST0616</t>
  </si>
  <si>
    <t>CUST0617</t>
  </si>
  <si>
    <t>CUST0618</t>
  </si>
  <si>
    <t>CUST0619</t>
  </si>
  <si>
    <t>CUST0620</t>
  </si>
  <si>
    <t>CUST0621</t>
  </si>
  <si>
    <t>CUST0622</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</si>
  <si>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</si>
  <si>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</si>
  <si>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</si>
  <si>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</si>
  <si>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</si>
  <si>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</si>
  <si>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</si>
  <si>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</si>
  <si>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</si>
  <si>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</si>
  <si>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</si>
  <si>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</si>
  <si>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</si>
  <si>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</si>
  <si>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</si>
  <si>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</si>
  <si>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</si>
  <si>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</si>
  <si>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</si>
  <si>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</si>
  <si>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</si>
  <si>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</si>
  <si>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</si>
  <si>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</si>
  <si>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</si>
  <si>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</si>
  <si>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</si>
  <si>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</si>
  <si>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</si>
  <si>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</si>
  <si>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</si>
  <si>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</si>
  <si>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</si>
  <si>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</si>
  <si>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</si>
  <si>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</si>
  <si>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</si>
  <si>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</si>
  <si>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</si>
  <si>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</si>
  <si>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</si>
  <si>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</si>
  <si>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</si>
  <si>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</si>
  <si>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</si>
  <si>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</si>
  <si>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</si>
  <si>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</si>
  <si>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</si>
  <si>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</si>
  <si>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</si>
  <si>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</si>
  <si>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</si>
  <si>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</si>
  <si>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</si>
  <si>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</si>
  <si>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</si>
  <si>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</si>
  <si>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</si>
  <si>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</si>
  <si>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</si>
  <si>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</si>
  <si>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</si>
  <si>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</si>
  <si>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</si>
  <si>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</si>
  <si>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</si>
  <si>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</si>
  <si>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</si>
  <si>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</si>
  <si>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</si>
  <si>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</si>
  <si>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</si>
  <si>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CUST0696</t>
  </si>
  <si>
    <t>CUST0697</t>
  </si>
  <si>
    <t>CUST0698</t>
  </si>
  <si>
    <t>CUST0699</t>
  </si>
  <si>
    <t>CUST0700</t>
  </si>
  <si>
    <t>CUST0701</t>
  </si>
  <si>
    <t>CUST0702</t>
  </si>
  <si>
    <t>CUST0703</t>
  </si>
  <si>
    <t>CUST0704</t>
  </si>
  <si>
    <t>CUST0705</t>
  </si>
  <si>
    <t>CUST0706</t>
  </si>
  <si>
    <t>CUST0707</t>
  </si>
  <si>
    <t>CUST0708</t>
  </si>
  <si>
    <t>CUST0709</t>
  </si>
  <si>
    <t>CUST0710</t>
  </si>
  <si>
    <t>CUST0711</t>
  </si>
  <si>
    <t>CUST0712</t>
  </si>
  <si>
    <t>CUST0713</t>
  </si>
  <si>
    <t>CUST0714</t>
  </si>
  <si>
    <t>CUST0715</t>
  </si>
  <si>
    <t>CUST0716</t>
  </si>
  <si>
    <t>CUST0717</t>
  </si>
  <si>
    <t>CUST0718</t>
  </si>
  <si>
    <t>CUST0719</t>
  </si>
  <si>
    <t>CUST0720</t>
  </si>
  <si>
    <t>CUST0721</t>
  </si>
  <si>
    <t>CUST0722</t>
  </si>
  <si>
    <t>CUST0723</t>
  </si>
  <si>
    <t>CUST0724</t>
  </si>
  <si>
    <t>CUST0725</t>
  </si>
  <si>
    <t>CUST0726</t>
  </si>
  <si>
    <t>CUST0727</t>
  </si>
  <si>
    <t>CUST0728</t>
  </si>
  <si>
    <t>CUST0729</t>
  </si>
  <si>
    <t>CUST0730</t>
  </si>
  <si>
    <t>CUST0731</t>
  </si>
  <si>
    <t>CUST0732</t>
  </si>
  <si>
    <t>CUST0733</t>
  </si>
  <si>
    <t>CUST0734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</si>
  <si>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</si>
  <si>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</si>
  <si>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</si>
  <si>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</si>
  <si>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</si>
  <si>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</si>
  <si>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</si>
  <si>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</si>
  <si>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</si>
  <si>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</si>
  <si>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</si>
  <si>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</si>
  <si>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</si>
  <si>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</si>
  <si>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</si>
  <si>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</si>
  <si>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</si>
  <si>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CUST0752</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</si>
  <si>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</si>
  <si>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</si>
  <si>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</si>
  <si>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</si>
  <si>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</si>
  <si>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</si>
  <si>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</si>
  <si>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</si>
  <si>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</si>
  <si>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</si>
  <si>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</si>
  <si>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</si>
  <si>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</si>
  <si>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</si>
  <si>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</si>
  <si>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</si>
  <si>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</si>
  <si>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</si>
  <si>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</si>
  <si>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</si>
  <si>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</si>
  <si>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</si>
  <si>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</si>
  <si>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</si>
  <si>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</si>
  <si>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</si>
  <si>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</si>
  <si>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</si>
  <si>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</si>
  <si>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</si>
  <si>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</si>
  <si>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</si>
  <si>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</si>
  <si>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</si>
  <si>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</si>
  <si>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</si>
  <si>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</si>
  <si>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</si>
  <si>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</si>
  <si>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</si>
  <si>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</si>
  <si>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</si>
  <si>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</si>
  <si>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</si>
  <si>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</si>
  <si>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</si>
  <si>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</si>
  <si>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</si>
  <si>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Customer Churn &amp; Retention Analysis</t>
  </si>
  <si>
    <t>Formula-driven churn metrics linked directly to Customer Data.</t>
  </si>
  <si>
    <t>Core KPIs</t>
  </si>
  <si>
    <t>Customers</t>
  </si>
  <si>
    <t>Churn Rate</t>
  </si>
  <si>
    <t>Avg Monthly Spend</t>
  </si>
  <si>
    <t>Churn by Contract</t>
  </si>
  <si>
    <t>Contract</t>
  </si>
  <si>
    <t>Churn by Plan</t>
  </si>
  <si>
    <t>Churn by Satisfaction</t>
  </si>
  <si>
    <t>Satisfaction</t>
  </si>
  <si>
    <t>Customer Churn &amp; Retention Dashboard</t>
  </si>
  <si>
    <t>800 synthetic customers | churn drivers | retention decision support</t>
  </si>
  <si>
    <t>KEY BUSINESS INSIGHTS</t>
  </si>
  <si>
    <t>• Contract type is a useful retention segmentation variable; monthly customers should receive proactive retention attention.</t>
  </si>
  <si>
    <t>• Plan-level churn rates identify which commercial tier needs the strongest intervention.</t>
  </si>
  <si>
    <t>• Satisfaction is monitored as a leading indicator of churn risk.</t>
  </si>
  <si>
    <t>• High-risk customers can be prioritised using the formula-driven risk band in the customer data.</t>
  </si>
  <si>
    <t>Row Labels</t>
  </si>
  <si>
    <t>(blank)</t>
  </si>
  <si>
    <t>Grand Total</t>
  </si>
  <si>
    <t>Count of Customer ID</t>
  </si>
  <si>
    <t>Count of Churned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</si>
</sst>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6" formatCode="_-[$R-1C09]* #,##0.00_-;\-[$R-1C09]* #,##0.00_-;_-[$R-1C09]* &quot;-&quot;??_-;_-@_-"/>
  </numFmts>
  <fonts count="13" x14ac:knownFonts="1">
    <font>
      <sz val="11"/>
      <color theme="1"/>
      <name val="Calibri"/>
      <family val="2"/>
      <charset val="1"/>
    </font>
    <font>
      <b/>
      <sz val="11"/>
      <color theme="1"/>
      <name val="Calibri"/>
      <family val="2"/>
      <charset val="1"/>
    </font>
    <font>
      <b/>
      <sz val="11"/>
      <color rgb="FFFFFFFF"/>
      <name val="Cambria"/>
      <charset val="1"/>
    </font>
    <font>
      <b/>
      <sz val="13"/>
      <color rgb="FF1F4E78"/>
      <name val="Cambria"/>
      <charset val="1"/>
    </font>
    <font>
      <b/>
      <sz val="16"/>
      <name val="Cambria"/>
      <charset val="1"/>
    </font>
    <font>
      <b/>
      <sz val="11"/>
      <color rgb="FF666666"/>
      <name val="Cambria"/>
      <charset val="1"/>
    </font>
    <font>
      <sz val="11"/>
      <color theme="1"/>
      <name val="Calibri"/>
      <family val="2"/>
      <charset val="1"/>
    </font>
    <font>
      <b/>
      <sz val="11"/>
      <color theme="8" tint="-0.499984740745262"/>
      <name val="Cambria"/>
      <family val="1"/>
    </font>
    <font>
      <b/>
      <u/>
      <sz val="20"/>
      <color rgb="FF17365D"/>
      <name val="Cambria"/>
      <family val="1"/>
    </font>
    <font>
      <u/>
      <sz val="11"/>
      <color theme="1"/>
      <name val="Calibri"/>
      <family val="2"/>
      <charset val="1"/>
    </font>
    <font>
      <b/>
      <u/>
      <sz val="13"/>
      <color rgb="FF1F4E78"/>
      <name val="Cambria"/>
      <family val="1"/>
    </font>
    <font>
      <i/>
      <sz val="11"/>
      <color theme="1" tint="0.249977111117893"/>
      <name val="Cambria"/>
      <family val="1"/>
    </font>
    <font>
      <sz val="11"/>
      <color theme="1" tint="0.249977111117893"/>
      <name val="Calibri"/>
      <family val="2"/>
      <charset val="1"/>
    </font>
  </fonts>
  <fills count="7">
    <fill>
      <patternFill patternType="none"/>
    </fill>
    <fill>
      <patternFill patternType="gray125"/>
    </fill>
    <fill>
      <patternFill patternType="solid">
        <fgColor rgb="FF1F4E78"/>
        <bgColor rgb="FF17365D"/>
      </patternFill>
    </fill>
    <fill>
      <patternFill patternType="solid">
        <fgColor theme="0" tint="-0.14999847407452621"/>
        <bgColor rgb="FFD9E1F2"/>
      </patternFill>
    </fill>
    <fill>
      <patternFill patternType="solid">
        <fgColor theme="0" tint="-0.14999847407452621"/>
        <bgColor indexed="64"/>
      </patternFill>
    </fill>
    <fill>
      <patternFill patternType="solid">
        <fgColor theme="0" tint="-0.249977111117893"/>
        <bgColor indexed="64"/>
      </patternFill>
    </fill>
    <fill>
      <patternFill patternType="solid">
        <fgColor theme="0" tint="-0.249977111117893"/>
        <bgColor rgb="FF17365D"/>
      </patternFill>
    </fill>
  </fills>
  <borders count="4">
    <border>
      <left/>
      <right/>
      <top/>
      <bottom/>
      <diagonal/>
    </border>
    <border>
      <left/>
      <right/>
      <top/>
      <bottom style="thin">
        <color rgb="FFD9E1F2"/>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7">
    <xf numFmtId="0" fontId="0" fillId="0" borderId="0"/>
    <xf numFmtId="0" fontId="6" fillId="0" borderId="0"/>
    <xf numFmtId="0" fontId="6" fillId="0" borderId="0"/>
    <xf numFmtId="0" fontId="6" fillId="0" borderId="0"/>
    <xf numFmtId="0" fontId="6" fillId="0" borderId="0">
      <alignment horizontal="left"/>
    </xf>
    <xf numFmtId="0" fontId="1" fillId="0" borderId="0">
      <alignment horizontal="left"/>
    </xf>
    <xf numFmtId="0" fontId="1" fillId="0" borderId="0"/>
  </cellStyleXfs>
  <cellXfs count="25">
    <xf numFmtId="0" fontId="0" fillId="0" borderId="0" xfId="0"/>
    <xf numFmtId="0" fontId="2" fillId="2" borderId="1" xfId="0" applyFont="1" applyFill="1" applyBorder="1" applyAlignment="1">
      <alignment horizontal="center"/>
    </xf>
    <xf numFmtId="166" fontId="2" fillId="2" borderId="1" xfId="0" applyNumberFormat="1" applyFont="1" applyFill="1" applyBorder="1" applyAlignment="1">
      <alignment horizontal="center"/>
    </xf>
    <xf numFmtId="166" fontId="0" fillId="0" borderId="0" xfId="0" applyNumberFormat="1"/>
    <xf numFmtId="3" fontId="4" fillId="3" borderId="2" xfId="0" applyNumberFormat="1" applyFont="1" applyFill="1" applyBorder="1" applyAlignment="1">
      <alignment horizontal="center"/>
    </xf>
    <xf numFmtId="0" fontId="5" fillId="4" borderId="3" xfId="0" applyFont="1" applyFill="1" applyBorder="1" applyAlignment="1">
      <alignment horizontal="center"/>
    </xf>
    <xf numFmtId="0" fontId="8" fillId="5" borderId="0" xfId="0" applyFont="1" applyFill="1" applyAlignment="1">
      <alignment horizontal="center"/>
    </xf>
    <xf numFmtId="0" fontId="9" fillId="5" borderId="0" xfId="0" applyFont="1" applyFill="1" applyAlignment="1">
      <alignment horizontal="center"/>
    </xf>
    <xf numFmtId="0" fontId="0" fillId="5" borderId="0" xfId="0" applyFill="1"/>
    <xf numFmtId="0" fontId="3" fillId="5" borderId="0" xfId="0" applyFont="1" applyFill="1"/>
    <xf numFmtId="0" fontId="7" fillId="6" borderId="1" xfId="0" applyFont="1" applyFill="1" applyBorder="1" applyAlignment="1">
      <alignment horizontal="center"/>
    </xf>
    <xf numFmtId="164" fontId="0" fillId="5" borderId="0" xfId="0" applyNumberFormat="1" applyFill="1"/>
    <xf numFmtId="164" fontId="4" fillId="3" borderId="2" xfId="0" applyNumberFormat="1" applyFont="1" applyFill="1" applyBorder="1" applyAlignment="1">
      <alignment horizontal="center"/>
    </xf>
    <xf numFmtId="166" fontId="4" fillId="3" borderId="2" xfId="0" applyNumberFormat="1" applyFont="1" applyFill="1" applyBorder="1" applyAlignment="1">
      <alignment horizontal="center"/>
    </xf>
    <xf numFmtId="0" fontId="11" fillId="5" borderId="0" xfId="0" applyFont="1" applyFill="1" applyAlignment="1">
      <alignment horizontal="center"/>
    </xf>
    <xf numFmtId="0" fontId="12" fillId="5" borderId="0" xfId="0" applyFont="1" applyFill="1" applyAlignment="1">
      <alignment horizontal="center"/>
    </xf>
    <xf numFmtId="0" fontId="10" fillId="5" borderId="0" xfId="0" applyFont="1" applyFill="1"/>
    <xf numFmtId="0" fontId="9" fillId="5" borderId="0" xfId="0" applyFont="1" applyFill="1"/>
    <xf numFmtId="0" fontId="0" fillId="5" borderId="0" xfId="0" applyFill="1" applyAlignment="1">
      <alignment wrapText="1"/>
    </xf>
    <xf numFmtId="0" fontId="0" fillId="5" borderId="0" xfId="0" applyFill="1"/>
    <xf numFmtId="3" fontId="4" fillId="3" borderId="0" xfId="0" applyNumberFormat="1" applyFont="1" applyFill="1" applyAlignment="1">
      <alignment horizontal="center"/>
    </xf>
    <xf numFmtId="0" fontId="5" fillId="4" borderId="0" xfId="0" applyFont="1" applyFill="1" applyAlignment="1">
      <alignment horizontal="center"/>
    </xf>
    <xf numFmtId="164" fontId="4" fillId="3" borderId="0" xfId="0" applyNumberFormat="1" applyFont="1" applyFill="1" applyAlignment="1">
      <alignment horizontal="center"/>
    </xf>
    <xf numFmtId="166" fontId="4" fillId="3" borderId="0" xfId="0" applyNumberFormat="1" applyFont="1" applyFill="1" applyAlignment="1">
      <alignment horizontal="center"/>
    </xf>
    <xf numFmtId="0" fontId="0" fillId="5" borderId="0" xfId="0" applyFill="1" applyAlignment="1">
      <alignment horizontal="left"/>
    </xf>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18">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
      <fill>
        <patternFill patternType="solid">
          <bgColor theme="0" tint="-0.249977111117893"/>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78787"/>
      <rgbColor rgb="FF9999FF"/>
      <rgbColor rgb="FF993366"/>
      <rgbColor rgb="FFF9F9F9"/>
      <rgbColor rgb="FFD9E1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E2F0D9"/>
      <rgbColor rgb="FFFFFF99"/>
      <rgbColor rgb="FF99CCFF"/>
      <rgbColor rgb="FFFF99CC"/>
      <rgbColor rgb="FFCC99FF"/>
      <rgbColor rgb="FFFFCC99"/>
      <rgbColor rgb="FF4F81BD"/>
      <rgbColor rgb="FF33CCCC"/>
      <rgbColor rgb="FF98B855"/>
      <rgbColor rgb="FFFFCC00"/>
      <rgbColor rgb="FFFF9900"/>
      <rgbColor rgb="FFFF6600"/>
      <rgbColor rgb="FF666666"/>
      <rgbColor rgb="FF969696"/>
      <rgbColor rgb="FF17365D"/>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Churn Rate by Contract</a:t>
            </a:r>
          </a:p>
        </c:rich>
      </c:tx>
      <c:overlay val="0"/>
      <c:spPr>
        <a:noFill/>
        <a:ln w="0">
          <a:noFill/>
          <a:prstDash val="solid"/>
        </a:ln>
      </c:spPr>
    </c:title>
    <c:autoTitleDeleted val="0"/>
    <c:plotArea>
      <c:layout/>
      <c:barChart>
        <c:barDir val="col"/>
        <c:grouping val="clustered"/>
        <c:varyColors val="0"/>
        <c:ser>
          <c:idx val="0"/>
          <c:order val="0"/>
          <c:tx>
            <c:strRef>
              <c:f>Analysis!$D$10</c:f>
              <c:strCache>
                <c:ptCount val="1"/>
                <c:pt idx="0">
                  <c:v>Churn Rate</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Analysis!$A$11:$A$12</c:f>
              <c:strCache>
                <c:ptCount val="2"/>
                <c:pt idx="0">
                  <c:v>Monthly</c:v>
                </c:pt>
                <c:pt idx="1">
                  <c:v>Annual</c:v>
                </c:pt>
              </c:strCache>
            </c:strRef>
          </c:cat>
          <c:val>
            <c:numRef>
              <c:f>Analysis!$D$11:$D$12</c:f>
              <c:numCache>
                <c:formatCode>0.0%</c:formatCode>
                <c:ptCount val="2"/>
                <c:pt idx="0">
                  <c:v>0.33639705882352944</c:v>
                </c:pt>
                <c:pt idx="1">
                  <c:v>0.21484375</c:v>
                </c:pt>
              </c:numCache>
            </c:numRef>
          </c:val>
          <c:extLst>
            <c:ext xmlns:c16="http://schemas.microsoft.com/office/drawing/2014/chart" uri="{C3380CC4-5D6E-409C-BE32-E72D297353CC}">
              <c16:uniqueId val="{00000000-5DBF-4E0E-AEC2-A9DF01B6C31C}"/>
            </c:ext>
          </c:extLst>
        </c:ser>
        <c:dLbls>
          <c:showLegendKey val="0"/>
          <c:showVal val="0"/>
          <c:showCatName val="0"/>
          <c:showSerName val="0"/>
          <c:showPercent val="0"/>
          <c:showBubbleSize val="0"/>
        </c:dLbls>
        <c:gapWidth val="150"/>
        <c:axId val="24989916"/>
        <c:axId val="52964535"/>
      </c:barChart>
      <c:catAx>
        <c:axId val="24989916"/>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52964535"/>
        <c:crosses val="autoZero"/>
        <c:auto val="1"/>
        <c:lblAlgn val="ctr"/>
        <c:lblOffset val="100"/>
        <c:noMultiLvlLbl val="0"/>
      </c:catAx>
      <c:valAx>
        <c:axId val="52964535"/>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Churn Rate</a:t>
                </a:r>
              </a:p>
            </c:rich>
          </c:tx>
          <c:overlay val="0"/>
          <c:spPr>
            <a:noFill/>
            <a:ln w="0">
              <a:noFill/>
              <a:prstDash val="solid"/>
            </a:ln>
          </c:spPr>
        </c:title>
        <c:numFmt formatCode="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2498991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Churn Rate by Plan</a:t>
            </a:r>
          </a:p>
        </c:rich>
      </c:tx>
      <c:overlay val="0"/>
      <c:spPr>
        <a:noFill/>
        <a:ln w="0">
          <a:noFill/>
          <a:prstDash val="solid"/>
        </a:ln>
      </c:spPr>
    </c:title>
    <c:autoTitleDeleted val="0"/>
    <c:plotArea>
      <c:layout/>
      <c:barChart>
        <c:barDir val="col"/>
        <c:grouping val="clustered"/>
        <c:varyColors val="0"/>
        <c:ser>
          <c:idx val="0"/>
          <c:order val="0"/>
          <c:tx>
            <c:strRef>
              <c:f>Analysis!$D$17</c:f>
              <c:strCache>
                <c:ptCount val="1"/>
                <c:pt idx="0">
                  <c:v>Churn Rate</c:v>
                </c:pt>
              </c:strCache>
            </c:strRef>
          </c:tx>
          <c:spPr>
            <a:solidFill>
              <a:srgbClr val="4F81BD"/>
            </a:solidFill>
            <a:ln w="9360">
              <a:solidFill>
                <a:srgbClr val="F9F9F9"/>
              </a:solidFill>
              <a:prstDash val="solid"/>
              <a:round/>
            </a:ln>
          </c:spPr>
          <c:invertIfNegative val="0"/>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Analysis!$A$18:$A$20</c:f>
              <c:strCache>
                <c:ptCount val="3"/>
                <c:pt idx="0">
                  <c:v>Basic</c:v>
                </c:pt>
                <c:pt idx="1">
                  <c:v>Standard</c:v>
                </c:pt>
                <c:pt idx="2">
                  <c:v>Premium</c:v>
                </c:pt>
              </c:strCache>
            </c:strRef>
          </c:cat>
          <c:val>
            <c:numRef>
              <c:f>Analysis!$D$18:$D$20</c:f>
              <c:numCache>
                <c:formatCode>0.0%</c:formatCode>
                <c:ptCount val="3"/>
                <c:pt idx="0">
                  <c:v>0.30985915492957744</c:v>
                </c:pt>
                <c:pt idx="1">
                  <c:v>0.28530259365994237</c:v>
                </c:pt>
                <c:pt idx="2">
                  <c:v>0.30177514792899407</c:v>
                </c:pt>
              </c:numCache>
            </c:numRef>
          </c:val>
          <c:extLst>
            <c:ext xmlns:c16="http://schemas.microsoft.com/office/drawing/2014/chart" uri="{C3380CC4-5D6E-409C-BE32-E72D297353CC}">
              <c16:uniqueId val="{00000000-2401-42CF-987A-514DB03F6623}"/>
            </c:ext>
          </c:extLst>
        </c:ser>
        <c:dLbls>
          <c:showLegendKey val="0"/>
          <c:showVal val="0"/>
          <c:showCatName val="0"/>
          <c:showSerName val="0"/>
          <c:showPercent val="0"/>
          <c:showBubbleSize val="0"/>
        </c:dLbls>
        <c:gapWidth val="150"/>
        <c:axId val="70028666"/>
        <c:axId val="9060571"/>
      </c:barChart>
      <c:catAx>
        <c:axId val="70028666"/>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9060571"/>
        <c:crosses val="autoZero"/>
        <c:auto val="1"/>
        <c:lblAlgn val="ctr"/>
        <c:lblOffset val="100"/>
        <c:noMultiLvlLbl val="0"/>
      </c:catAx>
      <c:valAx>
        <c:axId val="9060571"/>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Churn Rate</a:t>
                </a:r>
              </a:p>
            </c:rich>
          </c:tx>
          <c:overlay val="0"/>
          <c:spPr>
            <a:noFill/>
            <a:ln w="0">
              <a:noFill/>
              <a:prstDash val="solid"/>
            </a:ln>
          </c:spPr>
        </c:title>
        <c:numFmt formatCode="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7002866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300" b="0" strike="noStrike">
                <a:uFillTx/>
                <a:latin typeface="Arial"/>
              </a:defRPr>
            </a:pPr>
            <a:r>
              <a:rPr lang="en-ZA" sz="1800" b="1" strike="noStrike">
                <a:solidFill>
                  <a:srgbClr val="000000"/>
                </a:solidFill>
                <a:uFillTx/>
                <a:latin typeface="Calibri"/>
              </a:rPr>
              <a:t>Churn Rate by Satisfaction</a:t>
            </a:r>
          </a:p>
        </c:rich>
      </c:tx>
      <c:overlay val="0"/>
      <c:spPr>
        <a:noFill/>
        <a:ln w="0">
          <a:noFill/>
          <a:prstDash val="solid"/>
        </a:ln>
      </c:spPr>
    </c:title>
    <c:autoTitleDeleted val="0"/>
    <c:plotArea>
      <c:layout/>
      <c:lineChart>
        <c:grouping val="standard"/>
        <c:varyColors val="0"/>
        <c:ser>
          <c:idx val="0"/>
          <c:order val="0"/>
          <c:tx>
            <c:strRef>
              <c:f>Analysis!$D$24</c:f>
              <c:strCache>
                <c:ptCount val="1"/>
                <c:pt idx="0">
                  <c:v>Churn Rate</c:v>
                </c:pt>
              </c:strCache>
            </c:strRef>
          </c:tx>
          <c:spPr>
            <a:ln w="47520">
              <a:solidFill>
                <a:srgbClr val="98B855"/>
              </a:solidFill>
              <a:prstDash val="solid"/>
              <a:round/>
            </a:ln>
          </c:spPr>
          <c:marker>
            <c:symbol val="none"/>
          </c:marker>
          <c:dLbls>
            <c:spPr>
              <a:noFill/>
              <a:ln>
                <a:noFill/>
              </a:ln>
              <a:effectLst/>
            </c:spPr>
            <c:txPr>
              <a:bodyPr/>
              <a:lstStyle/>
              <a:p>
                <a:pPr>
                  <a:defRPr sz="1000" b="0" strike="noStrike">
                    <a:uFillTx/>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Analysis!$A$25:$A$29</c:f>
              <c:numCache>
                <c:formatCode>General</c:formatCode>
                <c:ptCount val="5"/>
                <c:pt idx="0">
                  <c:v>1</c:v>
                </c:pt>
                <c:pt idx="1">
                  <c:v>2</c:v>
                </c:pt>
                <c:pt idx="2">
                  <c:v>3</c:v>
                </c:pt>
                <c:pt idx="3">
                  <c:v>4</c:v>
                </c:pt>
                <c:pt idx="4">
                  <c:v>5</c:v>
                </c:pt>
              </c:numCache>
            </c:numRef>
          </c:cat>
          <c:val>
            <c:numRef>
              <c:f>Analysis!$D$25:$D$29</c:f>
              <c:numCache>
                <c:formatCode>0.0%</c:formatCode>
                <c:ptCount val="5"/>
                <c:pt idx="0">
                  <c:v>0.5</c:v>
                </c:pt>
                <c:pt idx="1">
                  <c:v>0.66666666666666663</c:v>
                </c:pt>
                <c:pt idx="2">
                  <c:v>0.14634146341463414</c:v>
                </c:pt>
                <c:pt idx="3">
                  <c:v>0.10344827586206896</c:v>
                </c:pt>
                <c:pt idx="4">
                  <c:v>0.32432432432432434</c:v>
                </c:pt>
              </c:numCache>
            </c:numRef>
          </c:val>
          <c:smooth val="1"/>
          <c:extLst>
            <c:ext xmlns:c16="http://schemas.microsoft.com/office/drawing/2014/chart" uri="{C3380CC4-5D6E-409C-BE32-E72D297353CC}">
              <c16:uniqueId val="{00000000-81A8-4085-BF98-3896B74AC5DC}"/>
            </c:ext>
          </c:extLst>
        </c:ser>
        <c:dLbls>
          <c:showLegendKey val="0"/>
          <c:showVal val="0"/>
          <c:showCatName val="0"/>
          <c:showSerName val="0"/>
          <c:showPercent val="0"/>
          <c:showBubbleSize val="0"/>
        </c:dLbls>
        <c:hiLowLines>
          <c:spPr>
            <a:ln w="0">
              <a:noFill/>
              <a:prstDash val="solid"/>
            </a:ln>
          </c:spPr>
        </c:hiLowLines>
        <c:smooth val="0"/>
        <c:axId val="24501006"/>
        <c:axId val="15678569"/>
      </c:lineChart>
      <c:catAx>
        <c:axId val="24501006"/>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15678569"/>
        <c:crosses val="autoZero"/>
        <c:auto val="1"/>
        <c:lblAlgn val="ctr"/>
        <c:lblOffset val="100"/>
        <c:noMultiLvlLbl val="0"/>
      </c:catAx>
      <c:valAx>
        <c:axId val="15678569"/>
        <c:scaling>
          <c:orientation val="minMax"/>
        </c:scaling>
        <c:delete val="0"/>
        <c:axPos val="l"/>
        <c:majorGridlines>
          <c:spPr>
            <a:ln w="9360">
              <a:solidFill>
                <a:srgbClr val="878787"/>
              </a:solidFill>
              <a:prstDash val="solid"/>
              <a:round/>
            </a:ln>
          </c:spPr>
        </c:majorGridlines>
        <c:title>
          <c:tx>
            <c:rich>
              <a:bodyPr rot="-5400000"/>
              <a:lstStyle/>
              <a:p>
                <a:pPr>
                  <a:defRPr sz="1300" b="0" strike="noStrike">
                    <a:uFillTx/>
                    <a:latin typeface="Arial"/>
                  </a:defRPr>
                </a:pPr>
                <a:r>
                  <a:rPr lang="en-ZA" sz="1000" b="1" strike="noStrike">
                    <a:solidFill>
                      <a:srgbClr val="000000"/>
                    </a:solidFill>
                    <a:uFillTx/>
                    <a:latin typeface="Calibri"/>
                  </a:rPr>
                  <a:t>Churn Rate</a:t>
                </a:r>
              </a:p>
            </c:rich>
          </c:tx>
          <c:overlay val="0"/>
          <c:spPr>
            <a:noFill/>
            <a:ln w="0">
              <a:noFill/>
              <a:prstDash val="solid"/>
            </a:ln>
          </c:spPr>
        </c:title>
        <c:numFmt formatCode="0.0%" sourceLinked="0"/>
        <c:majorTickMark val="none"/>
        <c:minorTickMark val="none"/>
        <c:tickLblPos val="nextTo"/>
        <c:spPr>
          <a:ln w="9360">
            <a:solidFill>
              <a:srgbClr val="878787"/>
            </a:solidFill>
            <a:prstDash val="solid"/>
            <a:round/>
          </a:ln>
        </c:spPr>
        <c:txPr>
          <a:bodyPr/>
          <a:lstStyle/>
          <a:p>
            <a:pPr>
              <a:defRPr sz="1000" b="0" strike="noStrike">
                <a:solidFill>
                  <a:srgbClr val="000000"/>
                </a:solidFill>
                <a:uFillTx/>
                <a:latin typeface="Calibri"/>
              </a:defRPr>
            </a:pPr>
            <a:endParaRPr lang="en-US"/>
          </a:p>
        </c:txPr>
        <c:crossAx val="24501006"/>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6</xdr:row>
      <xdr:rowOff>10800</xdr:rowOff>
    </xdr:from>
    <xdr:to>
      <xdr:col>4</xdr:col>
      <xdr:colOff>465840</xdr:colOff>
      <xdr:row>19</xdr:row>
      <xdr:rowOff>54000</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0</xdr:colOff>
      <xdr:row>6</xdr:row>
      <xdr:rowOff>10800</xdr:rowOff>
    </xdr:from>
    <xdr:to>
      <xdr:col>10</xdr:col>
      <xdr:colOff>559080</xdr:colOff>
      <xdr:row>19</xdr:row>
      <xdr:rowOff>54000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21</xdr:row>
      <xdr:rowOff>10800</xdr:rowOff>
    </xdr:from>
    <xdr:to>
      <xdr:col>4</xdr:col>
      <xdr:colOff>465840</xdr:colOff>
      <xdr:row>31</xdr:row>
      <xdr:rowOff>102240</xdr:rowOff>
    </xdr:to>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361950</xdr:colOff>
      <xdr:row>6</xdr:row>
      <xdr:rowOff>95250</xdr:rowOff>
    </xdr:from>
    <xdr:to>
      <xdr:col>5</xdr:col>
      <xdr:colOff>704850</xdr:colOff>
      <xdr:row>19</xdr:row>
      <xdr:rowOff>142875</xdr:rowOff>
    </xdr:to>
    <mc:AlternateContent xmlns:mc="http://schemas.openxmlformats.org/markup-compatibility/2006" xmlns:a14="http://schemas.microsoft.com/office/drawing/2010/main">
      <mc:Choice Requires="a14">
        <xdr:graphicFrame macro="">
          <xdr:nvGraphicFramePr>
            <xdr:cNvPr id="2" name="Contract Type">
              <a:extLst>
                <a:ext uri="{FF2B5EF4-FFF2-40B4-BE49-F238E27FC236}">
                  <a16:creationId xmlns:a16="http://schemas.microsoft.com/office/drawing/2014/main" id="{950FA51C-BDDF-C578-D7A4-121585948537}"/>
                </a:ext>
              </a:extLst>
            </xdr:cNvPr>
            <xdr:cNvGraphicFramePr/>
          </xdr:nvGraphicFramePr>
          <xdr:xfrm>
            <a:off x="0" y="0"/>
            <a:ext cx="0" cy="0"/>
          </xdr:xfrm>
          <a:graphic>
            <a:graphicData uri="http://schemas.microsoft.com/office/drawing/2010/slicer">
              <sle:slicer xmlns:sle="http://schemas.microsoft.com/office/drawing/2010/slicer" name="Contract Type"/>
            </a:graphicData>
          </a:graphic>
        </xdr:graphicFrame>
      </mc:Choice>
      <mc:Fallback xmlns="">
        <xdr:sp macro="" textlink="">
          <xdr:nvSpPr>
            <xdr:cNvPr id="0" name=""/>
            <xdr:cNvSpPr>
              <a:spLocks noTextEdit="1"/>
            </xdr:cNvSpPr>
          </xdr:nvSpPr>
          <xdr:spPr>
            <a:xfrm>
              <a:off x="3695700" y="12382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57150</xdr:colOff>
      <xdr:row>7</xdr:row>
      <xdr:rowOff>114300</xdr:rowOff>
    </xdr:from>
    <xdr:to>
      <xdr:col>2</xdr:col>
      <xdr:colOff>542925</xdr:colOff>
      <xdr:row>20</xdr:row>
      <xdr:rowOff>161925</xdr:rowOff>
    </xdr:to>
    <mc:AlternateContent xmlns:mc="http://schemas.openxmlformats.org/markup-compatibility/2006" xmlns:a14="http://schemas.microsoft.com/office/drawing/2010/main">
      <mc:Choice Requires="a14">
        <xdr:graphicFrame macro="">
          <xdr:nvGraphicFramePr>
            <xdr:cNvPr id="3" name="Plan">
              <a:extLst>
                <a:ext uri="{FF2B5EF4-FFF2-40B4-BE49-F238E27FC236}">
                  <a16:creationId xmlns:a16="http://schemas.microsoft.com/office/drawing/2014/main" id="{C725D69A-6A24-228C-23EE-6A89122FD9BC}"/>
                </a:ext>
              </a:extLst>
            </xdr:cNvPr>
            <xdr:cNvGraphicFramePr/>
          </xdr:nvGraphicFramePr>
          <xdr:xfrm>
            <a:off x="0" y="0"/>
            <a:ext cx="0" cy="0"/>
          </xdr:xfrm>
          <a:graphic>
            <a:graphicData uri="http://schemas.microsoft.com/office/drawing/2010/slicer">
              <sle:slicer xmlns:sle="http://schemas.microsoft.com/office/drawing/2010/slicer" name="Plan"/>
            </a:graphicData>
          </a:graphic>
        </xdr:graphicFrame>
      </mc:Choice>
      <mc:Fallback xmlns="">
        <xdr:sp macro="" textlink="">
          <xdr:nvSpPr>
            <xdr:cNvPr id="0" name=""/>
            <xdr:cNvSpPr>
              <a:spLocks noTextEdit="1"/>
            </xdr:cNvSpPr>
          </xdr:nvSpPr>
          <xdr:spPr>
            <a:xfrm>
              <a:off x="933450" y="144780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942975</xdr:colOff>
      <xdr:row>7</xdr:row>
      <xdr:rowOff>104775</xdr:rowOff>
    </xdr:from>
    <xdr:to>
      <xdr:col>7</xdr:col>
      <xdr:colOff>314325</xdr:colOff>
      <xdr:row>20</xdr:row>
      <xdr:rowOff>152400</xdr:rowOff>
    </xdr:to>
    <mc:AlternateContent xmlns:mc="http://schemas.openxmlformats.org/markup-compatibility/2006" xmlns:a14="http://schemas.microsoft.com/office/drawing/2010/main">
      <mc:Choice Requires="a14">
        <xdr:graphicFrame macro="">
          <xdr:nvGraphicFramePr>
            <xdr:cNvPr id="4" name="Satisfaction Score">
              <a:extLst>
                <a:ext uri="{FF2B5EF4-FFF2-40B4-BE49-F238E27FC236}">
                  <a16:creationId xmlns:a16="http://schemas.microsoft.com/office/drawing/2014/main" id="{64778CB0-82BD-2AE3-0EE2-90156C1E59B6}"/>
                </a:ext>
              </a:extLst>
            </xdr:cNvPr>
            <xdr:cNvGraphicFramePr/>
          </xdr:nvGraphicFramePr>
          <xdr:xfrm>
            <a:off x="0" y="0"/>
            <a:ext cx="0" cy="0"/>
          </xdr:xfrm>
          <a:graphic>
            <a:graphicData uri="http://schemas.microsoft.com/office/drawing/2010/slicer">
              <sle:slicer xmlns:sle="http://schemas.microsoft.com/office/drawing/2010/slicer" name="Satisfaction Score"/>
            </a:graphicData>
          </a:graphic>
        </xdr:graphicFrame>
      </mc:Choice>
      <mc:Fallback xmlns="">
        <xdr:sp macro="" textlink="">
          <xdr:nvSpPr>
            <xdr:cNvPr id="0" name=""/>
            <xdr:cNvSpPr>
              <a:spLocks noTextEdit="1"/>
            </xdr:cNvSpPr>
          </xdr:nvSpPr>
          <xdr:spPr>
            <a:xfrm>
              <a:off x="5762625" y="143827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mohlala" refreshedDate="46259.797154861109" createdVersion="8" refreshedVersion="8" minRefreshableVersion="3" recordCount="801" xr:uid="{62110623-27C3-416E-9F2B-125EC702339C}">
  <cacheSource type="worksheet">
    <worksheetSource ref="A1:K1048576" sheet="Customer Data"/>
  </cacheSource>
  <cacheFields count="11">
    <cacheField name="Customer ID" numFmtId="0">
      <sharedItems containsBlank="1"/>
    </cacheField>
    <cacheField name="Age" numFmtId="0">
      <sharedItems containsString="0" containsBlank="1" containsNumber="1" containsInteger="1" minValue="20" maxValue="65"/>
    </cacheField>
    <cacheField name="Tenure Months" numFmtId="0">
      <sharedItems containsString="0" containsBlank="1" containsNumber="1" containsInteger="1" minValue="1" maxValue="60"/>
    </cacheField>
    <cacheField name="Plan" numFmtId="0">
      <sharedItems containsBlank="1" count="4">
        <s v="Basic"/>
        <s v="Standard"/>
        <s v="Premium"/>
        <m/>
      </sharedItems>
    </cacheField>
    <cacheField name="Monthly Spend" numFmtId="0">
      <sharedItems containsString="0" containsBlank="1" containsNumber="1" containsInteger="1" minValue="252" maxValue="1200"/>
    </cacheField>
    <cacheField name="Support Tickets" numFmtId="0">
      <sharedItems containsString="0" containsBlank="1" containsNumber="1" containsInteger="1" minValue="0" maxValue="8"/>
    </cacheField>
    <cacheField name="Login Frequency" numFmtId="0">
      <sharedItems containsString="0" containsBlank="1" containsNumber="1" containsInteger="1" minValue="2" maxValue="30"/>
    </cacheField>
    <cacheField name="Satisfaction Score" numFmtId="0">
      <sharedItems containsString="0" containsBlank="1" containsNumber="1" minValue="1" maxValue="5" count="41">
        <n v="3"/>
        <n v="4.8"/>
        <n v="2.9"/>
        <n v="3.8"/>
        <n v="2.7"/>
        <n v="2.4"/>
        <n v="2.8"/>
        <n v="4.2"/>
        <n v="4.5"/>
        <n v="5"/>
        <n v="3.7"/>
        <n v="1.1000000000000001"/>
        <n v="4.7"/>
        <n v="3.5"/>
        <n v="4"/>
        <n v="3.3"/>
        <n v="2.2999999999999998"/>
        <n v="3.6"/>
        <n v="3.4"/>
        <n v="2.5"/>
        <n v="1.8"/>
        <n v="2.1"/>
        <n v="1.7"/>
        <n v="3.9"/>
        <n v="4.4000000000000004"/>
        <n v="3.1"/>
        <n v="4.0999999999999996"/>
        <n v="4.3"/>
        <n v="2.6"/>
        <n v="4.9000000000000004"/>
        <n v="4.5999999999999996"/>
        <n v="1.5"/>
        <n v="3.2"/>
        <n v="2"/>
        <n v="2.2000000000000002"/>
        <n v="1.3"/>
        <n v="1"/>
        <n v="1.9"/>
        <n v="1.6"/>
        <n v="1.4"/>
        <m/>
      </sharedItems>
    </cacheField>
    <cacheField name="Contract Type" numFmtId="0">
      <sharedItems containsBlank="1" count="3">
        <s v="Annual"/>
        <s v="Monthly"/>
        <m/>
      </sharedItems>
    </cacheField>
    <cacheField name="Churned" numFmtId="0">
      <sharedItems containsBlank="1"/>
    </cacheField>
    <cacheField name="Churn Risk Band" numFmtId="0">
      <sharedItems containsBlank="1"/>
    </cacheField>
  </cacheFields>
  <extLst>
    <ext xmlns:x14="http://schemas.microsoft.com/office/spreadsheetml/2009/9/main" uri="{725AE2AE-9491-48be-B2B4-4EB974FC3084}">
      <x14:pivotCacheDefinition pivotCacheId="19808151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01">
  <r>
    <s v="CUST0001"/>
    <n v="28"/>
    <n v="23"/>
    <x v="0"/>
    <n v="415"/>
    <n v="7"/>
    <n v="23"/>
    <x v="0"/>
    <x v="0"/>
    <s v="No"/>
    <s v="Medium"/>
  </r>
  <r>
    <s v="CUST0002"/>
    <n v="21"/>
    <n v="30"/>
    <x v="1"/>
    <n v="657"/>
    <n v="5"/>
    <n v="22"/>
    <x v="1"/>
    <x v="1"/>
    <s v="No"/>
    <s v="Medium"/>
  </r>
  <r>
    <s v="CUST0003"/>
    <n v="60"/>
    <n v="5"/>
    <x v="1"/>
    <n v="620"/>
    <n v="0"/>
    <n v="11"/>
    <x v="2"/>
    <x v="0"/>
    <s v="No"/>
    <s v="Medium"/>
  </r>
  <r>
    <s v="CUST0004"/>
    <n v="33"/>
    <n v="51"/>
    <x v="1"/>
    <n v="621"/>
    <n v="0"/>
    <n v="18"/>
    <x v="3"/>
    <x v="0"/>
    <s v="No"/>
    <s v="Low"/>
  </r>
  <r>
    <s v="CUST0005"/>
    <n v="23"/>
    <n v="8"/>
    <x v="1"/>
    <n v="470"/>
    <n v="5"/>
    <n v="7"/>
    <x v="4"/>
    <x v="1"/>
    <s v="No"/>
    <s v="Medium"/>
  </r>
  <r>
    <s v="CUST0006"/>
    <n v="28"/>
    <n v="22"/>
    <x v="0"/>
    <n v="279"/>
    <n v="3"/>
    <n v="26"/>
    <x v="5"/>
    <x v="0"/>
    <s v="Yes"/>
    <s v="High"/>
  </r>
  <r>
    <s v="CUST0007"/>
    <n v="42"/>
    <n v="58"/>
    <x v="0"/>
    <n v="424"/>
    <n v="0"/>
    <n v="4"/>
    <x v="6"/>
    <x v="1"/>
    <s v="No"/>
    <s v="Medium"/>
  </r>
  <r>
    <s v="CUST0008"/>
    <n v="50"/>
    <n v="46"/>
    <x v="1"/>
    <n v="599"/>
    <n v="5"/>
    <n v="27"/>
    <x v="7"/>
    <x v="0"/>
    <s v="No"/>
    <s v="Medium"/>
  </r>
  <r>
    <s v="CUST0009"/>
    <n v="24"/>
    <n v="13"/>
    <x v="2"/>
    <n v="791"/>
    <n v="6"/>
    <n v="30"/>
    <x v="8"/>
    <x v="1"/>
    <s v="Yes"/>
    <s v="High"/>
  </r>
  <r>
    <s v="CUST0010"/>
    <n v="27"/>
    <n v="45"/>
    <x v="0"/>
    <n v="288"/>
    <n v="0"/>
    <n v="11"/>
    <x v="9"/>
    <x v="1"/>
    <s v="No"/>
    <s v="Low"/>
  </r>
  <r>
    <s v="CUST0011"/>
    <n v="28"/>
    <n v="31"/>
    <x v="0"/>
    <n v="363"/>
    <n v="3"/>
    <n v="4"/>
    <x v="9"/>
    <x v="0"/>
    <s v="No"/>
    <s v="Low"/>
  </r>
  <r>
    <s v="CUST0012"/>
    <n v="41"/>
    <n v="27"/>
    <x v="1"/>
    <n v="617"/>
    <n v="8"/>
    <n v="28"/>
    <x v="10"/>
    <x v="1"/>
    <s v="No"/>
    <s v="Medium"/>
  </r>
  <r>
    <s v="CUST0013"/>
    <n v="56"/>
    <n v="9"/>
    <x v="2"/>
    <n v="1154"/>
    <n v="4"/>
    <n v="9"/>
    <x v="11"/>
    <x v="0"/>
    <s v="Yes"/>
    <s v="High"/>
  </r>
  <r>
    <s v="CUST0014"/>
    <n v="42"/>
    <n v="19"/>
    <x v="1"/>
    <n v="532"/>
    <n v="8"/>
    <n v="11"/>
    <x v="10"/>
    <x v="1"/>
    <s v="Yes"/>
    <s v="High"/>
  </r>
  <r>
    <s v="CUST0015"/>
    <n v="65"/>
    <n v="45"/>
    <x v="2"/>
    <n v="871"/>
    <n v="1"/>
    <n v="3"/>
    <x v="12"/>
    <x v="1"/>
    <s v="No"/>
    <s v="Low"/>
  </r>
  <r>
    <s v="CUST0016"/>
    <n v="33"/>
    <n v="36"/>
    <x v="1"/>
    <n v="612"/>
    <n v="2"/>
    <n v="13"/>
    <x v="13"/>
    <x v="1"/>
    <s v="No"/>
    <s v="Low"/>
  </r>
  <r>
    <s v="CUST0017"/>
    <n v="54"/>
    <n v="20"/>
    <x v="0"/>
    <n v="256"/>
    <n v="2"/>
    <n v="16"/>
    <x v="14"/>
    <x v="0"/>
    <s v="No"/>
    <s v="Low"/>
  </r>
  <r>
    <s v="CUST0018"/>
    <n v="52"/>
    <n v="22"/>
    <x v="1"/>
    <n v="692"/>
    <n v="2"/>
    <n v="27"/>
    <x v="15"/>
    <x v="1"/>
    <s v="No"/>
    <s v="Low"/>
  </r>
  <r>
    <s v="CUST0019"/>
    <n v="48"/>
    <n v="22"/>
    <x v="1"/>
    <n v="695"/>
    <n v="2"/>
    <n v="23"/>
    <x v="6"/>
    <x v="1"/>
    <s v="No"/>
    <s v="Medium"/>
  </r>
  <r>
    <s v="CUST0020"/>
    <n v="48"/>
    <n v="23"/>
    <x v="0"/>
    <n v="264"/>
    <n v="8"/>
    <n v="9"/>
    <x v="15"/>
    <x v="0"/>
    <s v="No"/>
    <s v="Medium"/>
  </r>
  <r>
    <s v="CUST0021"/>
    <n v="32"/>
    <n v="2"/>
    <x v="0"/>
    <n v="364"/>
    <n v="6"/>
    <n v="8"/>
    <x v="16"/>
    <x v="1"/>
    <s v="Yes"/>
    <s v="High"/>
  </r>
  <r>
    <s v="CUST0022"/>
    <n v="62"/>
    <n v="24"/>
    <x v="1"/>
    <n v="668"/>
    <n v="6"/>
    <n v="13"/>
    <x v="17"/>
    <x v="1"/>
    <s v="No"/>
    <s v="Medium"/>
  </r>
  <r>
    <s v="CUST0023"/>
    <n v="39"/>
    <n v="29"/>
    <x v="2"/>
    <n v="1122"/>
    <n v="7"/>
    <n v="25"/>
    <x v="9"/>
    <x v="1"/>
    <s v="No"/>
    <s v="Medium"/>
  </r>
  <r>
    <s v="CUST0024"/>
    <n v="47"/>
    <n v="47"/>
    <x v="2"/>
    <n v="1056"/>
    <n v="1"/>
    <n v="6"/>
    <x v="18"/>
    <x v="1"/>
    <s v="No"/>
    <s v="Low"/>
  </r>
  <r>
    <s v="CUST0025"/>
    <n v="53"/>
    <n v="22"/>
    <x v="0"/>
    <n v="401"/>
    <n v="0"/>
    <n v="15"/>
    <x v="0"/>
    <x v="1"/>
    <s v="No"/>
    <s v="Low"/>
  </r>
  <r>
    <s v="CUST0026"/>
    <n v="56"/>
    <n v="49"/>
    <x v="2"/>
    <n v="1176"/>
    <n v="6"/>
    <n v="11"/>
    <x v="2"/>
    <x v="1"/>
    <s v="Yes"/>
    <s v="High"/>
  </r>
  <r>
    <s v="CUST0027"/>
    <n v="39"/>
    <n v="54"/>
    <x v="1"/>
    <n v="736"/>
    <n v="7"/>
    <n v="9"/>
    <x v="17"/>
    <x v="1"/>
    <s v="No"/>
    <s v="Medium"/>
  </r>
  <r>
    <s v="CUST0028"/>
    <n v="60"/>
    <n v="31"/>
    <x v="0"/>
    <n v="420"/>
    <n v="2"/>
    <n v="17"/>
    <x v="13"/>
    <x v="0"/>
    <s v="No"/>
    <s v="Low"/>
  </r>
  <r>
    <s v="CUST0029"/>
    <n v="21"/>
    <n v="8"/>
    <x v="1"/>
    <n v="484"/>
    <n v="5"/>
    <n v="20"/>
    <x v="19"/>
    <x v="1"/>
    <s v="No"/>
    <s v="Medium"/>
  </r>
  <r>
    <s v="CUST0030"/>
    <n v="64"/>
    <n v="53"/>
    <x v="0"/>
    <n v="381"/>
    <n v="4"/>
    <n v="7"/>
    <x v="17"/>
    <x v="1"/>
    <s v="Yes"/>
    <s v="High"/>
  </r>
  <r>
    <s v="CUST0031"/>
    <n v="49"/>
    <n v="57"/>
    <x v="1"/>
    <n v="533"/>
    <n v="4"/>
    <n v="13"/>
    <x v="20"/>
    <x v="1"/>
    <s v="Yes"/>
    <s v="High"/>
  </r>
  <r>
    <s v="CUST0032"/>
    <n v="53"/>
    <n v="41"/>
    <x v="2"/>
    <n v="1142"/>
    <n v="2"/>
    <n v="26"/>
    <x v="8"/>
    <x v="1"/>
    <s v="No"/>
    <s v="Low"/>
  </r>
  <r>
    <s v="CUST0033"/>
    <n v="54"/>
    <n v="21"/>
    <x v="2"/>
    <n v="888"/>
    <n v="5"/>
    <n v="5"/>
    <x v="4"/>
    <x v="1"/>
    <s v="Yes"/>
    <s v="High"/>
  </r>
  <r>
    <s v="CUST0034"/>
    <n v="38"/>
    <n v="24"/>
    <x v="1"/>
    <n v="624"/>
    <n v="1"/>
    <n v="8"/>
    <x v="15"/>
    <x v="1"/>
    <s v="No"/>
    <s v="Low"/>
  </r>
  <r>
    <s v="CUST0035"/>
    <n v="32"/>
    <n v="51"/>
    <x v="2"/>
    <n v="1183"/>
    <n v="8"/>
    <n v="24"/>
    <x v="21"/>
    <x v="1"/>
    <s v="No"/>
    <s v="Medium"/>
  </r>
  <r>
    <s v="CUST0036"/>
    <n v="24"/>
    <n v="8"/>
    <x v="2"/>
    <n v="928"/>
    <n v="4"/>
    <n v="24"/>
    <x v="0"/>
    <x v="1"/>
    <s v="No"/>
    <s v="Medium"/>
  </r>
  <r>
    <s v="CUST0037"/>
    <n v="58"/>
    <n v="34"/>
    <x v="1"/>
    <n v="538"/>
    <n v="4"/>
    <n v="2"/>
    <x v="13"/>
    <x v="1"/>
    <s v="No"/>
    <s v="Low"/>
  </r>
  <r>
    <s v="CUST0038"/>
    <n v="64"/>
    <n v="15"/>
    <x v="0"/>
    <n v="303"/>
    <n v="6"/>
    <n v="24"/>
    <x v="0"/>
    <x v="0"/>
    <s v="Yes"/>
    <s v="High"/>
  </r>
  <r>
    <s v="CUST0039"/>
    <n v="21"/>
    <n v="50"/>
    <x v="1"/>
    <n v="471"/>
    <n v="1"/>
    <n v="3"/>
    <x v="3"/>
    <x v="1"/>
    <s v="Yes"/>
    <s v="High"/>
  </r>
  <r>
    <s v="CUST0040"/>
    <n v="36"/>
    <n v="3"/>
    <x v="0"/>
    <n v="420"/>
    <n v="1"/>
    <n v="27"/>
    <x v="19"/>
    <x v="1"/>
    <s v="No"/>
    <s v="Medium"/>
  </r>
  <r>
    <s v="CUST0041"/>
    <n v="57"/>
    <n v="58"/>
    <x v="0"/>
    <n v="421"/>
    <n v="1"/>
    <n v="6"/>
    <x v="12"/>
    <x v="0"/>
    <s v="No"/>
    <s v="Low"/>
  </r>
  <r>
    <s v="CUST0042"/>
    <n v="30"/>
    <n v="55"/>
    <x v="1"/>
    <n v="573"/>
    <n v="1"/>
    <n v="5"/>
    <x v="22"/>
    <x v="0"/>
    <s v="No"/>
    <s v="Medium"/>
  </r>
  <r>
    <s v="CUST0043"/>
    <n v="53"/>
    <n v="14"/>
    <x v="1"/>
    <n v="537"/>
    <n v="8"/>
    <n v="2"/>
    <x v="23"/>
    <x v="1"/>
    <s v="No"/>
    <s v="Medium"/>
  </r>
  <r>
    <s v="CUST0044"/>
    <n v="65"/>
    <n v="31"/>
    <x v="1"/>
    <n v="544"/>
    <n v="1"/>
    <n v="7"/>
    <x v="18"/>
    <x v="0"/>
    <s v="No"/>
    <s v="Low"/>
  </r>
  <r>
    <s v="CUST0045"/>
    <n v="47"/>
    <n v="14"/>
    <x v="1"/>
    <n v="507"/>
    <n v="5"/>
    <n v="5"/>
    <x v="5"/>
    <x v="1"/>
    <s v="Yes"/>
    <s v="High"/>
  </r>
  <r>
    <s v="CUST0046"/>
    <n v="38"/>
    <n v="36"/>
    <x v="1"/>
    <n v="617"/>
    <n v="1"/>
    <n v="14"/>
    <x v="10"/>
    <x v="1"/>
    <s v="No"/>
    <s v="Low"/>
  </r>
  <r>
    <s v="CUST0047"/>
    <n v="39"/>
    <n v="44"/>
    <x v="2"/>
    <n v="1033"/>
    <n v="6"/>
    <n v="11"/>
    <x v="24"/>
    <x v="0"/>
    <s v="No"/>
    <s v="Medium"/>
  </r>
  <r>
    <s v="CUST0048"/>
    <n v="50"/>
    <n v="44"/>
    <x v="1"/>
    <n v="701"/>
    <n v="1"/>
    <n v="14"/>
    <x v="18"/>
    <x v="1"/>
    <s v="No"/>
    <s v="Low"/>
  </r>
  <r>
    <s v="CUST0049"/>
    <n v="25"/>
    <n v="8"/>
    <x v="0"/>
    <n v="352"/>
    <n v="2"/>
    <n v="4"/>
    <x v="25"/>
    <x v="1"/>
    <s v="No"/>
    <s v="Medium"/>
  </r>
  <r>
    <s v="CUST0050"/>
    <n v="45"/>
    <n v="8"/>
    <x v="0"/>
    <n v="358"/>
    <n v="4"/>
    <n v="26"/>
    <x v="14"/>
    <x v="0"/>
    <s v="No"/>
    <s v="Medium"/>
  </r>
  <r>
    <s v="CUST0051"/>
    <n v="45"/>
    <n v="23"/>
    <x v="1"/>
    <n v="657"/>
    <n v="8"/>
    <n v="10"/>
    <x v="26"/>
    <x v="1"/>
    <s v="No"/>
    <s v="Medium"/>
  </r>
  <r>
    <s v="CUST0052"/>
    <n v="34"/>
    <n v="41"/>
    <x v="2"/>
    <n v="1127"/>
    <n v="0"/>
    <n v="28"/>
    <x v="27"/>
    <x v="1"/>
    <s v="No"/>
    <s v="Low"/>
  </r>
  <r>
    <s v="CUST0053"/>
    <n v="31"/>
    <n v="25"/>
    <x v="1"/>
    <n v="528"/>
    <n v="1"/>
    <n v="26"/>
    <x v="1"/>
    <x v="0"/>
    <s v="No"/>
    <s v="Low"/>
  </r>
  <r>
    <s v="CUST0054"/>
    <n v="32"/>
    <n v="19"/>
    <x v="1"/>
    <n v="708"/>
    <n v="8"/>
    <n v="12"/>
    <x v="7"/>
    <x v="0"/>
    <s v="No"/>
    <s v="Medium"/>
  </r>
  <r>
    <s v="CUST0055"/>
    <n v="21"/>
    <n v="49"/>
    <x v="0"/>
    <n v="360"/>
    <n v="7"/>
    <n v="12"/>
    <x v="26"/>
    <x v="1"/>
    <s v="Yes"/>
    <s v="High"/>
  </r>
  <r>
    <s v="CUST0056"/>
    <n v="62"/>
    <n v="56"/>
    <x v="1"/>
    <n v="534"/>
    <n v="6"/>
    <n v="6"/>
    <x v="4"/>
    <x v="1"/>
    <s v="Yes"/>
    <s v="High"/>
  </r>
  <r>
    <s v="CUST0057"/>
    <n v="27"/>
    <n v="37"/>
    <x v="1"/>
    <n v="733"/>
    <n v="8"/>
    <n v="20"/>
    <x v="5"/>
    <x v="1"/>
    <s v="Yes"/>
    <s v="High"/>
  </r>
  <r>
    <s v="CUST0058"/>
    <n v="36"/>
    <n v="32"/>
    <x v="1"/>
    <n v="630"/>
    <n v="4"/>
    <n v="12"/>
    <x v="10"/>
    <x v="1"/>
    <s v="No"/>
    <s v="Low"/>
  </r>
  <r>
    <s v="CUST0059"/>
    <n v="28"/>
    <n v="54"/>
    <x v="1"/>
    <n v="748"/>
    <n v="5"/>
    <n v="14"/>
    <x v="7"/>
    <x v="1"/>
    <s v="No"/>
    <s v="Medium"/>
  </r>
  <r>
    <s v="CUST0060"/>
    <n v="62"/>
    <n v="16"/>
    <x v="0"/>
    <n v="415"/>
    <n v="1"/>
    <n v="24"/>
    <x v="14"/>
    <x v="1"/>
    <s v="No"/>
    <s v="Low"/>
  </r>
  <r>
    <s v="CUST0061"/>
    <n v="41"/>
    <n v="11"/>
    <x v="0"/>
    <n v="333"/>
    <n v="6"/>
    <n v="20"/>
    <x v="28"/>
    <x v="1"/>
    <s v="Yes"/>
    <s v="High"/>
  </r>
  <r>
    <s v="CUST0062"/>
    <n v="21"/>
    <n v="21"/>
    <x v="1"/>
    <n v="615"/>
    <n v="1"/>
    <n v="27"/>
    <x v="18"/>
    <x v="1"/>
    <s v="No"/>
    <s v="Low"/>
  </r>
  <r>
    <s v="CUST0063"/>
    <n v="33"/>
    <n v="22"/>
    <x v="1"/>
    <n v="623"/>
    <n v="4"/>
    <n v="13"/>
    <x v="26"/>
    <x v="1"/>
    <s v="No"/>
    <s v="Low"/>
  </r>
  <r>
    <s v="CUST0064"/>
    <n v="24"/>
    <n v="54"/>
    <x v="2"/>
    <n v="885"/>
    <n v="0"/>
    <n v="11"/>
    <x v="18"/>
    <x v="0"/>
    <s v="No"/>
    <s v="Low"/>
  </r>
  <r>
    <s v="CUST0065"/>
    <n v="34"/>
    <n v="40"/>
    <x v="1"/>
    <n v="746"/>
    <n v="5"/>
    <n v="10"/>
    <x v="9"/>
    <x v="1"/>
    <s v="Yes"/>
    <s v="High"/>
  </r>
  <r>
    <s v="CUST0066"/>
    <n v="24"/>
    <n v="42"/>
    <x v="2"/>
    <n v="971"/>
    <n v="8"/>
    <n v="12"/>
    <x v="7"/>
    <x v="1"/>
    <s v="No"/>
    <s v="Medium"/>
  </r>
  <r>
    <s v="CUST0067"/>
    <n v="59"/>
    <n v="33"/>
    <x v="1"/>
    <n v="730"/>
    <n v="0"/>
    <n v="22"/>
    <x v="0"/>
    <x v="1"/>
    <s v="No"/>
    <s v="Low"/>
  </r>
  <r>
    <s v="CUST0068"/>
    <n v="49"/>
    <n v="18"/>
    <x v="2"/>
    <n v="1039"/>
    <n v="0"/>
    <n v="18"/>
    <x v="20"/>
    <x v="1"/>
    <s v="No"/>
    <s v="Medium"/>
  </r>
  <r>
    <s v="CUST0069"/>
    <n v="35"/>
    <n v="10"/>
    <x v="1"/>
    <n v="603"/>
    <n v="6"/>
    <n v="15"/>
    <x v="6"/>
    <x v="1"/>
    <s v="Yes"/>
    <s v="High"/>
  </r>
  <r>
    <s v="CUST0070"/>
    <n v="46"/>
    <n v="18"/>
    <x v="2"/>
    <n v="881"/>
    <n v="3"/>
    <n v="14"/>
    <x v="9"/>
    <x v="1"/>
    <s v="Yes"/>
    <s v="High"/>
  </r>
  <r>
    <s v="CUST0071"/>
    <n v="21"/>
    <n v="16"/>
    <x v="1"/>
    <n v="687"/>
    <n v="8"/>
    <n v="15"/>
    <x v="20"/>
    <x v="1"/>
    <s v="Yes"/>
    <s v="High"/>
  </r>
  <r>
    <s v="CUST0072"/>
    <n v="21"/>
    <n v="17"/>
    <x v="1"/>
    <n v="731"/>
    <n v="0"/>
    <n v="25"/>
    <x v="24"/>
    <x v="1"/>
    <s v="Yes"/>
    <s v="High"/>
  </r>
  <r>
    <s v="CUST0073"/>
    <n v="25"/>
    <n v="21"/>
    <x v="1"/>
    <n v="658"/>
    <n v="1"/>
    <n v="14"/>
    <x v="29"/>
    <x v="1"/>
    <s v="Yes"/>
    <s v="High"/>
  </r>
  <r>
    <s v="CUST0074"/>
    <n v="52"/>
    <n v="60"/>
    <x v="0"/>
    <n v="420"/>
    <n v="8"/>
    <n v="10"/>
    <x v="0"/>
    <x v="1"/>
    <s v="Yes"/>
    <s v="High"/>
  </r>
  <r>
    <s v="CUST0075"/>
    <n v="58"/>
    <n v="8"/>
    <x v="1"/>
    <n v="618"/>
    <n v="6"/>
    <n v="27"/>
    <x v="13"/>
    <x v="1"/>
    <s v="Yes"/>
    <s v="High"/>
  </r>
  <r>
    <s v="CUST0076"/>
    <n v="31"/>
    <n v="14"/>
    <x v="2"/>
    <n v="880"/>
    <n v="0"/>
    <n v="17"/>
    <x v="6"/>
    <x v="1"/>
    <s v="No"/>
    <s v="Medium"/>
  </r>
  <r>
    <s v="CUST0077"/>
    <n v="27"/>
    <n v="21"/>
    <x v="1"/>
    <n v="576"/>
    <n v="2"/>
    <n v="13"/>
    <x v="28"/>
    <x v="1"/>
    <s v="No"/>
    <s v="Medium"/>
  </r>
  <r>
    <s v="CUST0078"/>
    <n v="58"/>
    <n v="3"/>
    <x v="2"/>
    <n v="1103"/>
    <n v="3"/>
    <n v="10"/>
    <x v="17"/>
    <x v="1"/>
    <s v="No"/>
    <s v="Medium"/>
  </r>
  <r>
    <s v="CUST0079"/>
    <n v="64"/>
    <n v="24"/>
    <x v="2"/>
    <n v="1023"/>
    <n v="3"/>
    <n v="29"/>
    <x v="18"/>
    <x v="0"/>
    <s v="No"/>
    <s v="Low"/>
  </r>
  <r>
    <s v="CUST0080"/>
    <n v="36"/>
    <n v="20"/>
    <x v="0"/>
    <n v="443"/>
    <n v="3"/>
    <n v="29"/>
    <x v="13"/>
    <x v="0"/>
    <s v="No"/>
    <s v="Low"/>
  </r>
  <r>
    <s v="CUST0081"/>
    <n v="60"/>
    <n v="21"/>
    <x v="2"/>
    <n v="1154"/>
    <n v="0"/>
    <n v="10"/>
    <x v="30"/>
    <x v="0"/>
    <s v="No"/>
    <s v="Low"/>
  </r>
  <r>
    <s v="CUST0082"/>
    <n v="46"/>
    <n v="60"/>
    <x v="2"/>
    <n v="1198"/>
    <n v="1"/>
    <n v="28"/>
    <x v="16"/>
    <x v="1"/>
    <s v="Yes"/>
    <s v="High"/>
  </r>
  <r>
    <s v="CUST0083"/>
    <n v="24"/>
    <n v="23"/>
    <x v="1"/>
    <n v="730"/>
    <n v="5"/>
    <n v="16"/>
    <x v="0"/>
    <x v="1"/>
    <s v="Yes"/>
    <s v="High"/>
  </r>
  <r>
    <s v="CUST0084"/>
    <n v="48"/>
    <n v="51"/>
    <x v="1"/>
    <n v="655"/>
    <n v="4"/>
    <n v="12"/>
    <x v="21"/>
    <x v="1"/>
    <s v="Yes"/>
    <s v="High"/>
  </r>
  <r>
    <s v="CUST0085"/>
    <n v="35"/>
    <n v="34"/>
    <x v="1"/>
    <n v="516"/>
    <n v="6"/>
    <n v="27"/>
    <x v="24"/>
    <x v="0"/>
    <s v="Yes"/>
    <s v="High"/>
  </r>
  <r>
    <s v="CUST0086"/>
    <n v="31"/>
    <n v="44"/>
    <x v="1"/>
    <n v="594"/>
    <n v="1"/>
    <n v="15"/>
    <x v="25"/>
    <x v="1"/>
    <s v="No"/>
    <s v="Low"/>
  </r>
  <r>
    <s v="CUST0087"/>
    <n v="44"/>
    <n v="54"/>
    <x v="2"/>
    <n v="761"/>
    <n v="8"/>
    <n v="22"/>
    <x v="0"/>
    <x v="1"/>
    <s v="No"/>
    <s v="Medium"/>
  </r>
  <r>
    <s v="CUST0088"/>
    <n v="36"/>
    <n v="45"/>
    <x v="2"/>
    <n v="1066"/>
    <n v="6"/>
    <n v="21"/>
    <x v="25"/>
    <x v="1"/>
    <s v="Yes"/>
    <s v="High"/>
  </r>
  <r>
    <s v="CUST0089"/>
    <n v="43"/>
    <n v="11"/>
    <x v="2"/>
    <n v="1117"/>
    <n v="8"/>
    <n v="15"/>
    <x v="3"/>
    <x v="0"/>
    <s v="No"/>
    <s v="Medium"/>
  </r>
  <r>
    <s v="CUST0090"/>
    <n v="34"/>
    <n v="46"/>
    <x v="0"/>
    <n v="450"/>
    <n v="7"/>
    <n v="14"/>
    <x v="31"/>
    <x v="1"/>
    <s v="No"/>
    <s v="Medium"/>
  </r>
  <r>
    <s v="CUST0091"/>
    <n v="58"/>
    <n v="14"/>
    <x v="2"/>
    <n v="964"/>
    <n v="2"/>
    <n v="15"/>
    <x v="17"/>
    <x v="0"/>
    <s v="No"/>
    <s v="Low"/>
  </r>
  <r>
    <s v="CUST0092"/>
    <n v="48"/>
    <n v="59"/>
    <x v="0"/>
    <n v="399"/>
    <n v="0"/>
    <n v="17"/>
    <x v="15"/>
    <x v="1"/>
    <s v="No"/>
    <s v="Low"/>
  </r>
  <r>
    <s v="CUST0093"/>
    <n v="64"/>
    <n v="26"/>
    <x v="1"/>
    <n v="646"/>
    <n v="6"/>
    <n v="25"/>
    <x v="32"/>
    <x v="1"/>
    <s v="Yes"/>
    <s v="High"/>
  </r>
  <r>
    <s v="CUST0094"/>
    <n v="35"/>
    <n v="31"/>
    <x v="2"/>
    <n v="752"/>
    <n v="4"/>
    <n v="18"/>
    <x v="15"/>
    <x v="1"/>
    <s v="No"/>
    <s v="Low"/>
  </r>
  <r>
    <s v="CUST0095"/>
    <n v="45"/>
    <n v="43"/>
    <x v="1"/>
    <n v="471"/>
    <n v="2"/>
    <n v="10"/>
    <x v="14"/>
    <x v="1"/>
    <s v="No"/>
    <s v="Low"/>
  </r>
  <r>
    <s v="CUST0096"/>
    <n v="25"/>
    <n v="21"/>
    <x v="1"/>
    <n v="522"/>
    <n v="1"/>
    <n v="12"/>
    <x v="24"/>
    <x v="1"/>
    <s v="Yes"/>
    <s v="High"/>
  </r>
  <r>
    <s v="CUST0097"/>
    <n v="37"/>
    <n v="48"/>
    <x v="1"/>
    <n v="594"/>
    <n v="4"/>
    <n v="21"/>
    <x v="8"/>
    <x v="1"/>
    <s v="No"/>
    <s v="Low"/>
  </r>
  <r>
    <s v="CUST0098"/>
    <n v="30"/>
    <n v="21"/>
    <x v="1"/>
    <n v="527"/>
    <n v="7"/>
    <n v="3"/>
    <x v="22"/>
    <x v="1"/>
    <s v="Yes"/>
    <s v="High"/>
  </r>
  <r>
    <s v="CUST0099"/>
    <n v="31"/>
    <n v="3"/>
    <x v="1"/>
    <n v="689"/>
    <n v="1"/>
    <n v="30"/>
    <x v="10"/>
    <x v="1"/>
    <s v="No"/>
    <s v="Medium"/>
  </r>
  <r>
    <s v="CUST0100"/>
    <n v="51"/>
    <n v="30"/>
    <x v="1"/>
    <n v="525"/>
    <n v="5"/>
    <n v="4"/>
    <x v="18"/>
    <x v="1"/>
    <s v="Yes"/>
    <s v="High"/>
  </r>
  <r>
    <s v="CUST0101"/>
    <n v="30"/>
    <n v="48"/>
    <x v="1"/>
    <n v="738"/>
    <n v="3"/>
    <n v="20"/>
    <x v="17"/>
    <x v="0"/>
    <s v="No"/>
    <s v="Low"/>
  </r>
  <r>
    <s v="CUST0102"/>
    <n v="24"/>
    <n v="16"/>
    <x v="1"/>
    <n v="498"/>
    <n v="0"/>
    <n v="11"/>
    <x v="13"/>
    <x v="0"/>
    <s v="No"/>
    <s v="Low"/>
  </r>
  <r>
    <s v="CUST0103"/>
    <n v="45"/>
    <n v="24"/>
    <x v="1"/>
    <n v="615"/>
    <n v="0"/>
    <n v="4"/>
    <x v="21"/>
    <x v="1"/>
    <s v="No"/>
    <s v="Medium"/>
  </r>
  <r>
    <s v="CUST0104"/>
    <n v="37"/>
    <n v="39"/>
    <x v="1"/>
    <n v="472"/>
    <n v="7"/>
    <n v="12"/>
    <x v="3"/>
    <x v="0"/>
    <s v="No"/>
    <s v="Medium"/>
  </r>
  <r>
    <s v="CUST0105"/>
    <n v="56"/>
    <n v="9"/>
    <x v="0"/>
    <n v="262"/>
    <n v="0"/>
    <n v="25"/>
    <x v="9"/>
    <x v="1"/>
    <s v="No"/>
    <s v="Medium"/>
  </r>
  <r>
    <s v="CUST0106"/>
    <n v="31"/>
    <n v="16"/>
    <x v="2"/>
    <n v="760"/>
    <n v="3"/>
    <n v="7"/>
    <x v="8"/>
    <x v="1"/>
    <s v="No"/>
    <s v="Low"/>
  </r>
  <r>
    <s v="CUST0107"/>
    <n v="61"/>
    <n v="49"/>
    <x v="2"/>
    <n v="902"/>
    <n v="7"/>
    <n v="27"/>
    <x v="33"/>
    <x v="1"/>
    <s v="No"/>
    <s v="Medium"/>
  </r>
  <r>
    <s v="CUST0108"/>
    <n v="28"/>
    <n v="23"/>
    <x v="1"/>
    <n v="712"/>
    <n v="7"/>
    <n v="16"/>
    <x v="7"/>
    <x v="0"/>
    <s v="No"/>
    <s v="Medium"/>
  </r>
  <r>
    <s v="CUST0109"/>
    <n v="56"/>
    <n v="39"/>
    <x v="1"/>
    <n v="666"/>
    <n v="5"/>
    <n v="21"/>
    <x v="14"/>
    <x v="1"/>
    <s v="No"/>
    <s v="Medium"/>
  </r>
  <r>
    <s v="CUST0110"/>
    <n v="49"/>
    <n v="44"/>
    <x v="0"/>
    <n v="425"/>
    <n v="8"/>
    <n v="22"/>
    <x v="12"/>
    <x v="1"/>
    <s v="Yes"/>
    <s v="High"/>
  </r>
  <r>
    <s v="CUST0111"/>
    <n v="49"/>
    <n v="28"/>
    <x v="0"/>
    <n v="372"/>
    <n v="2"/>
    <n v="23"/>
    <x v="29"/>
    <x v="1"/>
    <s v="No"/>
    <s v="Low"/>
  </r>
  <r>
    <s v="CUST0112"/>
    <n v="23"/>
    <n v="36"/>
    <x v="0"/>
    <n v="261"/>
    <n v="8"/>
    <n v="15"/>
    <x v="19"/>
    <x v="1"/>
    <s v="Yes"/>
    <s v="High"/>
  </r>
  <r>
    <s v="CUST0113"/>
    <n v="56"/>
    <n v="53"/>
    <x v="0"/>
    <n v="315"/>
    <n v="8"/>
    <n v="2"/>
    <x v="8"/>
    <x v="1"/>
    <s v="Yes"/>
    <s v="High"/>
  </r>
  <r>
    <s v="CUST0114"/>
    <n v="45"/>
    <n v="3"/>
    <x v="0"/>
    <n v="430"/>
    <n v="7"/>
    <n v="26"/>
    <x v="24"/>
    <x v="0"/>
    <s v="No"/>
    <s v="Medium"/>
  </r>
  <r>
    <s v="CUST0115"/>
    <n v="36"/>
    <n v="22"/>
    <x v="2"/>
    <n v="844"/>
    <n v="1"/>
    <n v="25"/>
    <x v="7"/>
    <x v="0"/>
    <s v="No"/>
    <s v="Low"/>
  </r>
  <r>
    <s v="CUST0116"/>
    <n v="21"/>
    <n v="1"/>
    <x v="1"/>
    <n v="537"/>
    <n v="7"/>
    <n v="16"/>
    <x v="18"/>
    <x v="0"/>
    <s v="No"/>
    <s v="Medium"/>
  </r>
  <r>
    <s v="CUST0117"/>
    <n v="58"/>
    <n v="47"/>
    <x v="1"/>
    <n v="634"/>
    <n v="6"/>
    <n v="27"/>
    <x v="15"/>
    <x v="1"/>
    <s v="Yes"/>
    <s v="High"/>
  </r>
  <r>
    <s v="CUST0118"/>
    <n v="21"/>
    <n v="45"/>
    <x v="2"/>
    <n v="996"/>
    <n v="2"/>
    <n v="22"/>
    <x v="23"/>
    <x v="1"/>
    <s v="No"/>
    <s v="Low"/>
  </r>
  <r>
    <s v="CUST0119"/>
    <n v="54"/>
    <n v="13"/>
    <x v="0"/>
    <n v="447"/>
    <n v="7"/>
    <n v="15"/>
    <x v="14"/>
    <x v="1"/>
    <s v="No"/>
    <s v="Medium"/>
  </r>
  <r>
    <s v="CUST0120"/>
    <n v="51"/>
    <n v="31"/>
    <x v="0"/>
    <n v="365"/>
    <n v="3"/>
    <n v="11"/>
    <x v="17"/>
    <x v="1"/>
    <s v="No"/>
    <s v="Low"/>
  </r>
  <r>
    <s v="CUST0121"/>
    <n v="23"/>
    <n v="22"/>
    <x v="0"/>
    <n v="411"/>
    <n v="7"/>
    <n v="25"/>
    <x v="34"/>
    <x v="0"/>
    <s v="Yes"/>
    <s v="High"/>
  </r>
  <r>
    <s v="CUST0122"/>
    <n v="45"/>
    <n v="32"/>
    <x v="1"/>
    <n v="699"/>
    <n v="0"/>
    <n v="18"/>
    <x v="6"/>
    <x v="1"/>
    <s v="No"/>
    <s v="Medium"/>
  </r>
  <r>
    <s v="CUST0123"/>
    <n v="55"/>
    <n v="5"/>
    <x v="0"/>
    <n v="415"/>
    <n v="1"/>
    <n v="17"/>
    <x v="28"/>
    <x v="1"/>
    <s v="Yes"/>
    <s v="High"/>
  </r>
  <r>
    <s v="CUST0124"/>
    <n v="30"/>
    <n v="19"/>
    <x v="1"/>
    <n v="626"/>
    <n v="3"/>
    <n v="18"/>
    <x v="28"/>
    <x v="1"/>
    <s v="No"/>
    <s v="Medium"/>
  </r>
  <r>
    <s v="CUST0125"/>
    <n v="41"/>
    <n v="59"/>
    <x v="1"/>
    <n v="689"/>
    <n v="4"/>
    <n v="25"/>
    <x v="0"/>
    <x v="0"/>
    <s v="No"/>
    <s v="Low"/>
  </r>
  <r>
    <s v="CUST0126"/>
    <n v="43"/>
    <n v="51"/>
    <x v="1"/>
    <n v="556"/>
    <n v="1"/>
    <n v="23"/>
    <x v="35"/>
    <x v="1"/>
    <s v="Yes"/>
    <s v="High"/>
  </r>
  <r>
    <s v="CUST0127"/>
    <n v="30"/>
    <n v="39"/>
    <x v="1"/>
    <n v="702"/>
    <n v="3"/>
    <n v="8"/>
    <x v="36"/>
    <x v="1"/>
    <s v="Yes"/>
    <s v="High"/>
  </r>
  <r>
    <s v="CUST0128"/>
    <n v="63"/>
    <n v="11"/>
    <x v="0"/>
    <n v="378"/>
    <n v="1"/>
    <n v="12"/>
    <x v="16"/>
    <x v="1"/>
    <s v="No"/>
    <s v="Medium"/>
  </r>
  <r>
    <s v="CUST0129"/>
    <n v="27"/>
    <n v="36"/>
    <x v="0"/>
    <n v="316"/>
    <n v="5"/>
    <n v="26"/>
    <x v="9"/>
    <x v="1"/>
    <s v="Yes"/>
    <s v="High"/>
  </r>
  <r>
    <s v="CUST0130"/>
    <n v="64"/>
    <n v="56"/>
    <x v="1"/>
    <n v="503"/>
    <n v="0"/>
    <n v="16"/>
    <x v="14"/>
    <x v="0"/>
    <s v="No"/>
    <s v="Low"/>
  </r>
  <r>
    <s v="CUST0131"/>
    <n v="27"/>
    <n v="7"/>
    <x v="1"/>
    <n v="502"/>
    <n v="8"/>
    <n v="3"/>
    <x v="0"/>
    <x v="1"/>
    <s v="Yes"/>
    <s v="High"/>
  </r>
  <r>
    <s v="CUST0132"/>
    <n v="43"/>
    <n v="11"/>
    <x v="1"/>
    <n v="676"/>
    <n v="8"/>
    <n v="17"/>
    <x v="13"/>
    <x v="0"/>
    <s v="Yes"/>
    <s v="High"/>
  </r>
  <r>
    <s v="CUST0133"/>
    <n v="61"/>
    <n v="24"/>
    <x v="0"/>
    <n v="285"/>
    <n v="3"/>
    <n v="16"/>
    <x v="9"/>
    <x v="1"/>
    <s v="No"/>
    <s v="Low"/>
  </r>
  <r>
    <s v="CUST0134"/>
    <n v="50"/>
    <n v="22"/>
    <x v="0"/>
    <n v="293"/>
    <n v="5"/>
    <n v="24"/>
    <x v="32"/>
    <x v="0"/>
    <s v="No"/>
    <s v="Medium"/>
  </r>
  <r>
    <s v="CUST0135"/>
    <n v="62"/>
    <n v="16"/>
    <x v="0"/>
    <n v="442"/>
    <n v="3"/>
    <n v="6"/>
    <x v="3"/>
    <x v="1"/>
    <s v="No"/>
    <s v="Low"/>
  </r>
  <r>
    <s v="CUST0136"/>
    <n v="53"/>
    <n v="51"/>
    <x v="1"/>
    <n v="676"/>
    <n v="0"/>
    <n v="24"/>
    <x v="28"/>
    <x v="0"/>
    <s v="No"/>
    <s v="Medium"/>
  </r>
  <r>
    <s v="CUST0137"/>
    <n v="25"/>
    <n v="22"/>
    <x v="0"/>
    <n v="447"/>
    <n v="0"/>
    <n v="14"/>
    <x v="17"/>
    <x v="1"/>
    <s v="No"/>
    <s v="Low"/>
  </r>
  <r>
    <s v="CUST0138"/>
    <n v="23"/>
    <n v="41"/>
    <x v="2"/>
    <n v="901"/>
    <n v="6"/>
    <n v="14"/>
    <x v="34"/>
    <x v="0"/>
    <s v="No"/>
    <s v="Medium"/>
  </r>
  <r>
    <s v="CUST0139"/>
    <n v="39"/>
    <n v="47"/>
    <x v="1"/>
    <n v="454"/>
    <n v="4"/>
    <n v="30"/>
    <x v="31"/>
    <x v="0"/>
    <s v="No"/>
    <s v="Medium"/>
  </r>
  <r>
    <s v="CUST0140"/>
    <n v="33"/>
    <n v="57"/>
    <x v="1"/>
    <n v="676"/>
    <n v="5"/>
    <n v="30"/>
    <x v="25"/>
    <x v="0"/>
    <s v="No"/>
    <s v="Medium"/>
  </r>
  <r>
    <s v="CUST0141"/>
    <n v="32"/>
    <n v="57"/>
    <x v="0"/>
    <n v="259"/>
    <n v="6"/>
    <n v="25"/>
    <x v="25"/>
    <x v="1"/>
    <s v="No"/>
    <s v="Medium"/>
  </r>
  <r>
    <s v="CUST0142"/>
    <n v="33"/>
    <n v="6"/>
    <x v="1"/>
    <n v="716"/>
    <n v="2"/>
    <n v="2"/>
    <x v="22"/>
    <x v="1"/>
    <s v="No"/>
    <s v="Medium"/>
  </r>
  <r>
    <s v="CUST0143"/>
    <n v="57"/>
    <n v="17"/>
    <x v="0"/>
    <n v="448"/>
    <n v="6"/>
    <n v="18"/>
    <x v="10"/>
    <x v="1"/>
    <s v="No"/>
    <s v="Medium"/>
  </r>
  <r>
    <s v="CUST0144"/>
    <n v="42"/>
    <n v="8"/>
    <x v="0"/>
    <n v="416"/>
    <n v="4"/>
    <n v="20"/>
    <x v="10"/>
    <x v="0"/>
    <s v="No"/>
    <s v="Medium"/>
  </r>
  <r>
    <s v="CUST0145"/>
    <n v="35"/>
    <n v="52"/>
    <x v="1"/>
    <n v="739"/>
    <n v="8"/>
    <n v="29"/>
    <x v="6"/>
    <x v="1"/>
    <s v="No"/>
    <s v="Medium"/>
  </r>
  <r>
    <s v="CUST0146"/>
    <n v="65"/>
    <n v="37"/>
    <x v="1"/>
    <n v="643"/>
    <n v="3"/>
    <n v="5"/>
    <x v="0"/>
    <x v="1"/>
    <s v="No"/>
    <s v="Low"/>
  </r>
  <r>
    <s v="CUST0147"/>
    <n v="43"/>
    <n v="30"/>
    <x v="0"/>
    <n v="432"/>
    <n v="6"/>
    <n v="4"/>
    <x v="27"/>
    <x v="1"/>
    <s v="Yes"/>
    <s v="High"/>
  </r>
  <r>
    <s v="CUST0148"/>
    <n v="24"/>
    <n v="24"/>
    <x v="1"/>
    <n v="736"/>
    <n v="6"/>
    <n v="29"/>
    <x v="14"/>
    <x v="1"/>
    <s v="No"/>
    <s v="Medium"/>
  </r>
  <r>
    <s v="CUST0149"/>
    <n v="47"/>
    <n v="29"/>
    <x v="1"/>
    <n v="663"/>
    <n v="2"/>
    <n v="6"/>
    <x v="19"/>
    <x v="1"/>
    <s v="No"/>
    <s v="Medium"/>
  </r>
  <r>
    <s v="CUST0150"/>
    <n v="52"/>
    <n v="56"/>
    <x v="1"/>
    <n v="558"/>
    <n v="7"/>
    <n v="3"/>
    <x v="13"/>
    <x v="0"/>
    <s v="No"/>
    <s v="Medium"/>
  </r>
  <r>
    <s v="CUST0151"/>
    <n v="43"/>
    <n v="59"/>
    <x v="2"/>
    <n v="806"/>
    <n v="1"/>
    <n v="13"/>
    <x v="15"/>
    <x v="1"/>
    <s v="No"/>
    <s v="Low"/>
  </r>
  <r>
    <s v="CUST0152"/>
    <n v="43"/>
    <n v="20"/>
    <x v="0"/>
    <n v="257"/>
    <n v="6"/>
    <n v="3"/>
    <x v="18"/>
    <x v="0"/>
    <s v="Yes"/>
    <s v="High"/>
  </r>
  <r>
    <s v="CUST0153"/>
    <n v="38"/>
    <n v="14"/>
    <x v="0"/>
    <n v="439"/>
    <n v="1"/>
    <n v="19"/>
    <x v="5"/>
    <x v="1"/>
    <s v="No"/>
    <s v="Medium"/>
  </r>
  <r>
    <s v="CUST0154"/>
    <n v="56"/>
    <n v="29"/>
    <x v="2"/>
    <n v="993"/>
    <n v="2"/>
    <n v="26"/>
    <x v="9"/>
    <x v="1"/>
    <s v="No"/>
    <s v="Low"/>
  </r>
  <r>
    <s v="CUST0155"/>
    <n v="48"/>
    <n v="43"/>
    <x v="1"/>
    <n v="616"/>
    <n v="6"/>
    <n v="14"/>
    <x v="17"/>
    <x v="1"/>
    <s v="No"/>
    <s v="Medium"/>
  </r>
  <r>
    <s v="CUST0156"/>
    <n v="48"/>
    <n v="48"/>
    <x v="0"/>
    <n v="272"/>
    <n v="0"/>
    <n v="20"/>
    <x v="24"/>
    <x v="1"/>
    <s v="No"/>
    <s v="Low"/>
  </r>
  <r>
    <s v="CUST0157"/>
    <n v="39"/>
    <n v="36"/>
    <x v="1"/>
    <n v="736"/>
    <n v="3"/>
    <n v="21"/>
    <x v="33"/>
    <x v="0"/>
    <s v="No"/>
    <s v="Medium"/>
  </r>
  <r>
    <s v="CUST0158"/>
    <n v="50"/>
    <n v="33"/>
    <x v="2"/>
    <n v="842"/>
    <n v="0"/>
    <n v="10"/>
    <x v="25"/>
    <x v="0"/>
    <s v="No"/>
    <s v="Low"/>
  </r>
  <r>
    <s v="CUST0159"/>
    <n v="65"/>
    <n v="54"/>
    <x v="2"/>
    <n v="1163"/>
    <n v="8"/>
    <n v="21"/>
    <x v="0"/>
    <x v="1"/>
    <s v="No"/>
    <s v="Medium"/>
  </r>
  <r>
    <s v="CUST0160"/>
    <n v="41"/>
    <n v="28"/>
    <x v="0"/>
    <n v="256"/>
    <n v="6"/>
    <n v="10"/>
    <x v="30"/>
    <x v="1"/>
    <s v="No"/>
    <s v="Medium"/>
  </r>
  <r>
    <s v="CUST0161"/>
    <n v="54"/>
    <n v="11"/>
    <x v="0"/>
    <n v="296"/>
    <n v="1"/>
    <n v="6"/>
    <x v="32"/>
    <x v="1"/>
    <s v="No"/>
    <s v="Medium"/>
  </r>
  <r>
    <s v="CUST0162"/>
    <n v="40"/>
    <n v="12"/>
    <x v="0"/>
    <n v="264"/>
    <n v="1"/>
    <n v="12"/>
    <x v="24"/>
    <x v="1"/>
    <s v="No"/>
    <s v="Low"/>
  </r>
  <r>
    <s v="CUST0163"/>
    <n v="36"/>
    <n v="25"/>
    <x v="2"/>
    <n v="853"/>
    <n v="3"/>
    <n v="26"/>
    <x v="0"/>
    <x v="1"/>
    <s v="No"/>
    <s v="Low"/>
  </r>
  <r>
    <s v="CUST0164"/>
    <n v="27"/>
    <n v="18"/>
    <x v="0"/>
    <n v="368"/>
    <n v="1"/>
    <n v="17"/>
    <x v="25"/>
    <x v="1"/>
    <s v="No"/>
    <s v="Low"/>
  </r>
  <r>
    <s v="CUST0165"/>
    <n v="21"/>
    <n v="18"/>
    <x v="1"/>
    <n v="501"/>
    <n v="8"/>
    <n v="22"/>
    <x v="10"/>
    <x v="1"/>
    <s v="Yes"/>
    <s v="High"/>
  </r>
  <r>
    <s v="CUST0166"/>
    <n v="60"/>
    <n v="33"/>
    <x v="0"/>
    <n v="286"/>
    <n v="2"/>
    <n v="27"/>
    <x v="6"/>
    <x v="1"/>
    <s v="No"/>
    <s v="Medium"/>
  </r>
  <r>
    <s v="CUST0167"/>
    <n v="55"/>
    <n v="29"/>
    <x v="0"/>
    <n v="368"/>
    <n v="2"/>
    <n v="2"/>
    <x v="9"/>
    <x v="1"/>
    <s v="Yes"/>
    <s v="High"/>
  </r>
  <r>
    <s v="CUST0168"/>
    <n v="63"/>
    <n v="25"/>
    <x v="2"/>
    <n v="1049"/>
    <n v="8"/>
    <n v="11"/>
    <x v="27"/>
    <x v="1"/>
    <s v="No"/>
    <s v="Medium"/>
  </r>
  <r>
    <s v="CUST0169"/>
    <n v="56"/>
    <n v="5"/>
    <x v="0"/>
    <n v="351"/>
    <n v="2"/>
    <n v="25"/>
    <x v="6"/>
    <x v="1"/>
    <s v="No"/>
    <s v="Medium"/>
  </r>
  <r>
    <s v="CUST0170"/>
    <n v="40"/>
    <n v="57"/>
    <x v="1"/>
    <n v="583"/>
    <n v="7"/>
    <n v="10"/>
    <x v="32"/>
    <x v="1"/>
    <s v="No"/>
    <s v="Medium"/>
  </r>
  <r>
    <s v="CUST0171"/>
    <n v="41"/>
    <n v="14"/>
    <x v="1"/>
    <n v="618"/>
    <n v="2"/>
    <n v="22"/>
    <x v="30"/>
    <x v="1"/>
    <s v="Yes"/>
    <s v="High"/>
  </r>
  <r>
    <s v="CUST0172"/>
    <n v="31"/>
    <n v="27"/>
    <x v="1"/>
    <n v="700"/>
    <n v="6"/>
    <n v="19"/>
    <x v="2"/>
    <x v="1"/>
    <s v="No"/>
    <s v="Medium"/>
  </r>
  <r>
    <s v="CUST0173"/>
    <n v="61"/>
    <n v="5"/>
    <x v="1"/>
    <n v="677"/>
    <n v="1"/>
    <n v="13"/>
    <x v="24"/>
    <x v="1"/>
    <s v="No"/>
    <s v="Medium"/>
  </r>
  <r>
    <s v="CUST0174"/>
    <n v="64"/>
    <n v="1"/>
    <x v="0"/>
    <n v="344"/>
    <n v="0"/>
    <n v="9"/>
    <x v="15"/>
    <x v="0"/>
    <s v="No"/>
    <s v="Medium"/>
  </r>
  <r>
    <s v="CUST0175"/>
    <n v="63"/>
    <n v="59"/>
    <x v="1"/>
    <n v="496"/>
    <n v="4"/>
    <n v="27"/>
    <x v="18"/>
    <x v="1"/>
    <s v="No"/>
    <s v="Low"/>
  </r>
  <r>
    <s v="CUST0176"/>
    <n v="37"/>
    <n v="32"/>
    <x v="2"/>
    <n v="753"/>
    <n v="3"/>
    <n v="28"/>
    <x v="2"/>
    <x v="1"/>
    <s v="Yes"/>
    <s v="High"/>
  </r>
  <r>
    <s v="CUST0177"/>
    <n v="37"/>
    <n v="37"/>
    <x v="1"/>
    <n v="732"/>
    <n v="2"/>
    <n v="4"/>
    <x v="34"/>
    <x v="1"/>
    <s v="No"/>
    <s v="Medium"/>
  </r>
  <r>
    <s v="CUST0178"/>
    <n v="34"/>
    <n v="57"/>
    <x v="1"/>
    <n v="590"/>
    <n v="0"/>
    <n v="24"/>
    <x v="4"/>
    <x v="0"/>
    <s v="No"/>
    <s v="Medium"/>
  </r>
  <r>
    <s v="CUST0179"/>
    <n v="63"/>
    <n v="36"/>
    <x v="2"/>
    <n v="1078"/>
    <n v="0"/>
    <n v="29"/>
    <x v="24"/>
    <x v="0"/>
    <s v="No"/>
    <s v="Low"/>
  </r>
  <r>
    <s v="CUST0180"/>
    <n v="63"/>
    <n v="34"/>
    <x v="1"/>
    <n v="714"/>
    <n v="0"/>
    <n v="30"/>
    <x v="25"/>
    <x v="0"/>
    <s v="Yes"/>
    <s v="High"/>
  </r>
  <r>
    <s v="CUST0181"/>
    <n v="46"/>
    <n v="35"/>
    <x v="1"/>
    <n v="650"/>
    <n v="5"/>
    <n v="4"/>
    <x v="12"/>
    <x v="0"/>
    <s v="Yes"/>
    <s v="High"/>
  </r>
  <r>
    <s v="CUST0182"/>
    <n v="64"/>
    <n v="28"/>
    <x v="2"/>
    <n v="834"/>
    <n v="5"/>
    <n v="11"/>
    <x v="5"/>
    <x v="1"/>
    <s v="No"/>
    <s v="Medium"/>
  </r>
  <r>
    <s v="CUST0183"/>
    <n v="21"/>
    <n v="31"/>
    <x v="1"/>
    <n v="621"/>
    <n v="4"/>
    <n v="9"/>
    <x v="14"/>
    <x v="1"/>
    <s v="Yes"/>
    <s v="High"/>
  </r>
  <r>
    <s v="CUST0184"/>
    <n v="41"/>
    <n v="34"/>
    <x v="1"/>
    <n v="674"/>
    <n v="1"/>
    <n v="22"/>
    <x v="23"/>
    <x v="1"/>
    <s v="Yes"/>
    <s v="High"/>
  </r>
  <r>
    <s v="CUST0185"/>
    <n v="23"/>
    <n v="59"/>
    <x v="0"/>
    <n v="330"/>
    <n v="2"/>
    <n v="3"/>
    <x v="27"/>
    <x v="1"/>
    <s v="No"/>
    <s v="Low"/>
  </r>
  <r>
    <s v="CUST0186"/>
    <n v="24"/>
    <n v="7"/>
    <x v="1"/>
    <n v="476"/>
    <n v="6"/>
    <n v="14"/>
    <x v="0"/>
    <x v="1"/>
    <s v="No"/>
    <s v="Medium"/>
  </r>
  <r>
    <s v="CUST0187"/>
    <n v="34"/>
    <n v="56"/>
    <x v="1"/>
    <n v="455"/>
    <n v="6"/>
    <n v="16"/>
    <x v="14"/>
    <x v="1"/>
    <s v="No"/>
    <s v="Medium"/>
  </r>
  <r>
    <s v="CUST0188"/>
    <n v="63"/>
    <n v="51"/>
    <x v="0"/>
    <n v="382"/>
    <n v="3"/>
    <n v="5"/>
    <x v="22"/>
    <x v="1"/>
    <s v="No"/>
    <s v="Medium"/>
  </r>
  <r>
    <s v="CUST0189"/>
    <n v="24"/>
    <n v="38"/>
    <x v="1"/>
    <n v="743"/>
    <n v="8"/>
    <n v="10"/>
    <x v="2"/>
    <x v="1"/>
    <s v="Yes"/>
    <s v="High"/>
  </r>
  <r>
    <s v="CUST0190"/>
    <n v="28"/>
    <n v="52"/>
    <x v="0"/>
    <n v="282"/>
    <n v="6"/>
    <n v="18"/>
    <x v="27"/>
    <x v="0"/>
    <s v="No"/>
    <s v="Medium"/>
  </r>
  <r>
    <s v="CUST0191"/>
    <n v="39"/>
    <n v="38"/>
    <x v="2"/>
    <n v="825"/>
    <n v="7"/>
    <n v="11"/>
    <x v="2"/>
    <x v="0"/>
    <s v="No"/>
    <s v="Medium"/>
  </r>
  <r>
    <s v="CUST0192"/>
    <n v="62"/>
    <n v="44"/>
    <x v="0"/>
    <n v="310"/>
    <n v="8"/>
    <n v="29"/>
    <x v="0"/>
    <x v="1"/>
    <s v="No"/>
    <s v="Medium"/>
  </r>
  <r>
    <s v="CUST0193"/>
    <n v="32"/>
    <n v="41"/>
    <x v="2"/>
    <n v="846"/>
    <n v="7"/>
    <n v="24"/>
    <x v="25"/>
    <x v="0"/>
    <s v="No"/>
    <s v="Medium"/>
  </r>
  <r>
    <s v="CUST0194"/>
    <n v="56"/>
    <n v="22"/>
    <x v="1"/>
    <n v="618"/>
    <n v="1"/>
    <n v="16"/>
    <x v="28"/>
    <x v="0"/>
    <s v="No"/>
    <s v="Medium"/>
  </r>
  <r>
    <s v="CUST0195"/>
    <n v="51"/>
    <n v="15"/>
    <x v="2"/>
    <n v="1104"/>
    <n v="3"/>
    <n v="16"/>
    <x v="0"/>
    <x v="0"/>
    <s v="No"/>
    <s v="Low"/>
  </r>
  <r>
    <s v="CUST0196"/>
    <n v="41"/>
    <n v="52"/>
    <x v="1"/>
    <n v="654"/>
    <n v="0"/>
    <n v="13"/>
    <x v="0"/>
    <x v="1"/>
    <s v="No"/>
    <s v="Low"/>
  </r>
  <r>
    <s v="CUST0197"/>
    <n v="55"/>
    <n v="8"/>
    <x v="0"/>
    <n v="362"/>
    <n v="5"/>
    <n v="3"/>
    <x v="26"/>
    <x v="1"/>
    <s v="Yes"/>
    <s v="High"/>
  </r>
  <r>
    <s v="CUST0198"/>
    <n v="36"/>
    <n v="47"/>
    <x v="0"/>
    <n v="391"/>
    <n v="3"/>
    <n v="2"/>
    <x v="18"/>
    <x v="1"/>
    <s v="Yes"/>
    <s v="High"/>
  </r>
  <r>
    <s v="CUST0199"/>
    <n v="26"/>
    <n v="2"/>
    <x v="2"/>
    <n v="1085"/>
    <n v="1"/>
    <n v="12"/>
    <x v="7"/>
    <x v="1"/>
    <s v="No"/>
    <s v="Medium"/>
  </r>
  <r>
    <s v="CUST0200"/>
    <n v="62"/>
    <n v="11"/>
    <x v="2"/>
    <n v="1199"/>
    <n v="1"/>
    <n v="5"/>
    <x v="32"/>
    <x v="1"/>
    <s v="No"/>
    <s v="Medium"/>
  </r>
  <r>
    <s v="CUST0201"/>
    <n v="32"/>
    <n v="13"/>
    <x v="1"/>
    <n v="641"/>
    <n v="6"/>
    <n v="22"/>
    <x v="13"/>
    <x v="1"/>
    <s v="Yes"/>
    <s v="High"/>
  </r>
  <r>
    <s v="CUST0202"/>
    <n v="54"/>
    <n v="19"/>
    <x v="1"/>
    <n v="576"/>
    <n v="4"/>
    <n v="29"/>
    <x v="3"/>
    <x v="1"/>
    <s v="No"/>
    <s v="Low"/>
  </r>
  <r>
    <s v="CUST0203"/>
    <n v="57"/>
    <n v="57"/>
    <x v="1"/>
    <n v="491"/>
    <n v="7"/>
    <n v="27"/>
    <x v="15"/>
    <x v="1"/>
    <s v="No"/>
    <s v="Medium"/>
  </r>
  <r>
    <s v="CUST0204"/>
    <n v="61"/>
    <n v="49"/>
    <x v="1"/>
    <n v="715"/>
    <n v="2"/>
    <n v="12"/>
    <x v="32"/>
    <x v="0"/>
    <s v="No"/>
    <s v="Low"/>
  </r>
  <r>
    <s v="CUST0205"/>
    <n v="50"/>
    <n v="46"/>
    <x v="2"/>
    <n v="1047"/>
    <n v="6"/>
    <n v="22"/>
    <x v="8"/>
    <x v="1"/>
    <s v="Yes"/>
    <s v="High"/>
  </r>
  <r>
    <s v="CUST0206"/>
    <n v="32"/>
    <n v="29"/>
    <x v="2"/>
    <n v="906"/>
    <n v="6"/>
    <n v="30"/>
    <x v="2"/>
    <x v="1"/>
    <s v="Yes"/>
    <s v="High"/>
  </r>
  <r>
    <s v="CUST0207"/>
    <n v="43"/>
    <n v="17"/>
    <x v="1"/>
    <n v="493"/>
    <n v="7"/>
    <n v="18"/>
    <x v="6"/>
    <x v="1"/>
    <s v="No"/>
    <s v="Medium"/>
  </r>
  <r>
    <s v="CUST0208"/>
    <n v="47"/>
    <n v="29"/>
    <x v="1"/>
    <n v="638"/>
    <n v="7"/>
    <n v="12"/>
    <x v="8"/>
    <x v="1"/>
    <s v="Yes"/>
    <s v="High"/>
  </r>
  <r>
    <s v="CUST0209"/>
    <n v="48"/>
    <n v="15"/>
    <x v="0"/>
    <n v="269"/>
    <n v="4"/>
    <n v="28"/>
    <x v="5"/>
    <x v="1"/>
    <s v="Yes"/>
    <s v="High"/>
  </r>
  <r>
    <s v="CUST0210"/>
    <n v="34"/>
    <n v="7"/>
    <x v="0"/>
    <n v="342"/>
    <n v="3"/>
    <n v="12"/>
    <x v="13"/>
    <x v="1"/>
    <s v="No"/>
    <s v="Medium"/>
  </r>
  <r>
    <s v="CUST0211"/>
    <n v="39"/>
    <n v="48"/>
    <x v="2"/>
    <n v="847"/>
    <n v="2"/>
    <n v="29"/>
    <x v="13"/>
    <x v="0"/>
    <s v="Yes"/>
    <s v="High"/>
  </r>
  <r>
    <s v="CUST0212"/>
    <n v="39"/>
    <n v="19"/>
    <x v="2"/>
    <n v="957"/>
    <n v="0"/>
    <n v="17"/>
    <x v="33"/>
    <x v="0"/>
    <s v="No"/>
    <s v="Medium"/>
  </r>
  <r>
    <s v="CUST0213"/>
    <n v="29"/>
    <n v="56"/>
    <x v="1"/>
    <n v="557"/>
    <n v="3"/>
    <n v="18"/>
    <x v="19"/>
    <x v="1"/>
    <s v="No"/>
    <s v="Medium"/>
  </r>
  <r>
    <s v="CUST0214"/>
    <n v="41"/>
    <n v="51"/>
    <x v="0"/>
    <n v="298"/>
    <n v="6"/>
    <n v="8"/>
    <x v="2"/>
    <x v="1"/>
    <s v="No"/>
    <s v="Medium"/>
  </r>
  <r>
    <s v="CUST0215"/>
    <n v="21"/>
    <n v="24"/>
    <x v="0"/>
    <n v="282"/>
    <n v="0"/>
    <n v="17"/>
    <x v="26"/>
    <x v="1"/>
    <s v="No"/>
    <s v="Low"/>
  </r>
  <r>
    <s v="CUST0216"/>
    <n v="63"/>
    <n v="49"/>
    <x v="1"/>
    <n v="725"/>
    <n v="5"/>
    <n v="20"/>
    <x v="37"/>
    <x v="1"/>
    <s v="No"/>
    <s v="Medium"/>
  </r>
  <r>
    <s v="CUST0217"/>
    <n v="28"/>
    <n v="10"/>
    <x v="2"/>
    <n v="1072"/>
    <n v="6"/>
    <n v="14"/>
    <x v="3"/>
    <x v="1"/>
    <s v="Yes"/>
    <s v="High"/>
  </r>
  <r>
    <s v="CUST0218"/>
    <n v="26"/>
    <n v="22"/>
    <x v="1"/>
    <n v="605"/>
    <n v="2"/>
    <n v="5"/>
    <x v="24"/>
    <x v="0"/>
    <s v="No"/>
    <s v="Low"/>
  </r>
  <r>
    <s v="CUST0219"/>
    <n v="64"/>
    <n v="39"/>
    <x v="1"/>
    <n v="551"/>
    <n v="6"/>
    <n v="11"/>
    <x v="10"/>
    <x v="1"/>
    <s v="No"/>
    <s v="Medium"/>
  </r>
  <r>
    <s v="CUST0220"/>
    <n v="43"/>
    <n v="34"/>
    <x v="0"/>
    <n v="333"/>
    <n v="2"/>
    <n v="5"/>
    <x v="7"/>
    <x v="1"/>
    <s v="No"/>
    <s v="Low"/>
  </r>
  <r>
    <s v="CUST0221"/>
    <n v="24"/>
    <n v="25"/>
    <x v="2"/>
    <n v="1195"/>
    <n v="3"/>
    <n v="11"/>
    <x v="34"/>
    <x v="1"/>
    <s v="No"/>
    <s v="Medium"/>
  </r>
  <r>
    <s v="CUST0222"/>
    <n v="39"/>
    <n v="38"/>
    <x v="0"/>
    <n v="433"/>
    <n v="3"/>
    <n v="2"/>
    <x v="26"/>
    <x v="0"/>
    <s v="No"/>
    <s v="Low"/>
  </r>
  <r>
    <s v="CUST0223"/>
    <n v="45"/>
    <n v="39"/>
    <x v="2"/>
    <n v="1041"/>
    <n v="7"/>
    <n v="16"/>
    <x v="15"/>
    <x v="1"/>
    <s v="No"/>
    <s v="Medium"/>
  </r>
  <r>
    <s v="CUST0224"/>
    <n v="49"/>
    <n v="23"/>
    <x v="1"/>
    <n v="602"/>
    <n v="2"/>
    <n v="15"/>
    <x v="17"/>
    <x v="1"/>
    <s v="No"/>
    <s v="Low"/>
  </r>
  <r>
    <s v="CUST0225"/>
    <n v="47"/>
    <n v="30"/>
    <x v="1"/>
    <n v="543"/>
    <n v="1"/>
    <n v="14"/>
    <x v="18"/>
    <x v="0"/>
    <s v="No"/>
    <s v="Low"/>
  </r>
  <r>
    <s v="CUST0226"/>
    <n v="60"/>
    <n v="35"/>
    <x v="0"/>
    <n v="267"/>
    <n v="6"/>
    <n v="26"/>
    <x v="32"/>
    <x v="1"/>
    <s v="No"/>
    <s v="Medium"/>
  </r>
  <r>
    <s v="CUST0227"/>
    <n v="24"/>
    <n v="49"/>
    <x v="0"/>
    <n v="446"/>
    <n v="7"/>
    <n v="7"/>
    <x v="13"/>
    <x v="1"/>
    <s v="Yes"/>
    <s v="High"/>
  </r>
  <r>
    <s v="CUST0228"/>
    <n v="64"/>
    <n v="44"/>
    <x v="1"/>
    <n v="625"/>
    <n v="6"/>
    <n v="29"/>
    <x v="30"/>
    <x v="1"/>
    <s v="Yes"/>
    <s v="High"/>
  </r>
  <r>
    <s v="CUST0229"/>
    <n v="36"/>
    <n v="8"/>
    <x v="1"/>
    <n v="617"/>
    <n v="7"/>
    <n v="17"/>
    <x v="25"/>
    <x v="0"/>
    <s v="No"/>
    <s v="Medium"/>
  </r>
  <r>
    <s v="CUST0230"/>
    <n v="48"/>
    <n v="9"/>
    <x v="1"/>
    <n v="532"/>
    <n v="0"/>
    <n v="21"/>
    <x v="17"/>
    <x v="1"/>
    <s v="No"/>
    <s v="Medium"/>
  </r>
  <r>
    <s v="CUST0231"/>
    <n v="54"/>
    <n v="48"/>
    <x v="1"/>
    <n v="455"/>
    <n v="4"/>
    <n v="6"/>
    <x v="0"/>
    <x v="0"/>
    <s v="No"/>
    <s v="Low"/>
  </r>
  <r>
    <s v="CUST0232"/>
    <n v="54"/>
    <n v="14"/>
    <x v="1"/>
    <n v="717"/>
    <n v="1"/>
    <n v="14"/>
    <x v="10"/>
    <x v="0"/>
    <s v="No"/>
    <s v="Low"/>
  </r>
  <r>
    <s v="CUST0233"/>
    <n v="58"/>
    <n v="1"/>
    <x v="0"/>
    <n v="346"/>
    <n v="5"/>
    <n v="9"/>
    <x v="17"/>
    <x v="1"/>
    <s v="Yes"/>
    <s v="High"/>
  </r>
  <r>
    <s v="CUST0234"/>
    <n v="32"/>
    <n v="44"/>
    <x v="1"/>
    <n v="499"/>
    <n v="2"/>
    <n v="25"/>
    <x v="10"/>
    <x v="1"/>
    <s v="No"/>
    <s v="Low"/>
  </r>
  <r>
    <s v="CUST0235"/>
    <n v="26"/>
    <n v="53"/>
    <x v="0"/>
    <n v="393"/>
    <n v="3"/>
    <n v="19"/>
    <x v="4"/>
    <x v="1"/>
    <s v="Yes"/>
    <s v="High"/>
  </r>
  <r>
    <s v="CUST0236"/>
    <n v="40"/>
    <n v="12"/>
    <x v="0"/>
    <n v="417"/>
    <n v="6"/>
    <n v="8"/>
    <x v="26"/>
    <x v="1"/>
    <s v="Yes"/>
    <s v="High"/>
  </r>
  <r>
    <s v="CUST0237"/>
    <n v="37"/>
    <n v="42"/>
    <x v="1"/>
    <n v="484"/>
    <n v="6"/>
    <n v="11"/>
    <x v="17"/>
    <x v="0"/>
    <s v="No"/>
    <s v="Medium"/>
  </r>
  <r>
    <s v="CUST0238"/>
    <n v="56"/>
    <n v="11"/>
    <x v="0"/>
    <n v="274"/>
    <n v="6"/>
    <n v="23"/>
    <x v="5"/>
    <x v="0"/>
    <s v="No"/>
    <s v="Medium"/>
  </r>
  <r>
    <s v="CUST0239"/>
    <n v="28"/>
    <n v="22"/>
    <x v="0"/>
    <n v="444"/>
    <n v="7"/>
    <n v="4"/>
    <x v="2"/>
    <x v="1"/>
    <s v="Yes"/>
    <s v="High"/>
  </r>
  <r>
    <s v="CUST0240"/>
    <n v="60"/>
    <n v="48"/>
    <x v="0"/>
    <n v="400"/>
    <n v="0"/>
    <n v="21"/>
    <x v="30"/>
    <x v="0"/>
    <s v="No"/>
    <s v="Low"/>
  </r>
  <r>
    <s v="CUST0241"/>
    <n v="35"/>
    <n v="48"/>
    <x v="1"/>
    <n v="490"/>
    <n v="2"/>
    <n v="13"/>
    <x v="2"/>
    <x v="1"/>
    <s v="No"/>
    <s v="Medium"/>
  </r>
  <r>
    <s v="CUST0242"/>
    <n v="35"/>
    <n v="60"/>
    <x v="1"/>
    <n v="618"/>
    <n v="4"/>
    <n v="12"/>
    <x v="13"/>
    <x v="1"/>
    <s v="No"/>
    <s v="Low"/>
  </r>
  <r>
    <s v="CUST0243"/>
    <n v="53"/>
    <n v="51"/>
    <x v="2"/>
    <n v="1134"/>
    <n v="0"/>
    <n v="9"/>
    <x v="14"/>
    <x v="1"/>
    <s v="No"/>
    <s v="Low"/>
  </r>
  <r>
    <s v="CUST0244"/>
    <n v="62"/>
    <n v="16"/>
    <x v="2"/>
    <n v="1061"/>
    <n v="6"/>
    <n v="18"/>
    <x v="6"/>
    <x v="1"/>
    <s v="Yes"/>
    <s v="High"/>
  </r>
  <r>
    <s v="CUST0245"/>
    <n v="20"/>
    <n v="5"/>
    <x v="2"/>
    <n v="776"/>
    <n v="2"/>
    <n v="8"/>
    <x v="23"/>
    <x v="1"/>
    <s v="No"/>
    <s v="Medium"/>
  </r>
  <r>
    <s v="CUST0246"/>
    <n v="33"/>
    <n v="16"/>
    <x v="1"/>
    <n v="689"/>
    <n v="2"/>
    <n v="25"/>
    <x v="23"/>
    <x v="1"/>
    <s v="No"/>
    <s v="Low"/>
  </r>
  <r>
    <s v="CUST0247"/>
    <n v="58"/>
    <n v="16"/>
    <x v="0"/>
    <n v="397"/>
    <n v="3"/>
    <n v="10"/>
    <x v="7"/>
    <x v="0"/>
    <s v="No"/>
    <s v="Low"/>
  </r>
  <r>
    <s v="CUST0248"/>
    <n v="44"/>
    <n v="11"/>
    <x v="1"/>
    <n v="708"/>
    <n v="6"/>
    <n v="26"/>
    <x v="4"/>
    <x v="1"/>
    <s v="No"/>
    <s v="Medium"/>
  </r>
  <r>
    <s v="CUST0249"/>
    <n v="50"/>
    <n v="2"/>
    <x v="1"/>
    <n v="492"/>
    <n v="4"/>
    <n v="21"/>
    <x v="5"/>
    <x v="1"/>
    <s v="Yes"/>
    <s v="High"/>
  </r>
  <r>
    <s v="CUST0250"/>
    <n v="39"/>
    <n v="30"/>
    <x v="0"/>
    <n v="393"/>
    <n v="5"/>
    <n v="6"/>
    <x v="32"/>
    <x v="0"/>
    <s v="Yes"/>
    <s v="High"/>
  </r>
  <r>
    <s v="CUST0251"/>
    <n v="32"/>
    <n v="1"/>
    <x v="0"/>
    <n v="378"/>
    <n v="6"/>
    <n v="15"/>
    <x v="9"/>
    <x v="1"/>
    <s v="No"/>
    <s v="Medium"/>
  </r>
  <r>
    <s v="CUST0252"/>
    <n v="61"/>
    <n v="38"/>
    <x v="0"/>
    <n v="259"/>
    <n v="2"/>
    <n v="8"/>
    <x v="28"/>
    <x v="0"/>
    <s v="No"/>
    <s v="Medium"/>
  </r>
  <r>
    <s v="CUST0253"/>
    <n v="42"/>
    <n v="33"/>
    <x v="1"/>
    <n v="638"/>
    <n v="0"/>
    <n v="22"/>
    <x v="6"/>
    <x v="1"/>
    <s v="No"/>
    <s v="Medium"/>
  </r>
  <r>
    <s v="CUST0254"/>
    <n v="43"/>
    <n v="41"/>
    <x v="1"/>
    <n v="525"/>
    <n v="7"/>
    <n v="23"/>
    <x v="26"/>
    <x v="1"/>
    <s v="Yes"/>
    <s v="High"/>
  </r>
  <r>
    <s v="CUST0255"/>
    <n v="57"/>
    <n v="43"/>
    <x v="2"/>
    <n v="1144"/>
    <n v="1"/>
    <n v="22"/>
    <x v="15"/>
    <x v="0"/>
    <s v="No"/>
    <s v="Low"/>
  </r>
  <r>
    <s v="CUST0256"/>
    <n v="25"/>
    <n v="34"/>
    <x v="2"/>
    <n v="1174"/>
    <n v="6"/>
    <n v="10"/>
    <x v="28"/>
    <x v="0"/>
    <s v="No"/>
    <s v="Medium"/>
  </r>
  <r>
    <s v="CUST0257"/>
    <n v="54"/>
    <n v="43"/>
    <x v="2"/>
    <n v="1125"/>
    <n v="6"/>
    <n v="26"/>
    <x v="8"/>
    <x v="1"/>
    <s v="No"/>
    <s v="Medium"/>
  </r>
  <r>
    <s v="CUST0258"/>
    <n v="42"/>
    <n v="53"/>
    <x v="0"/>
    <n v="441"/>
    <n v="6"/>
    <n v="24"/>
    <x v="19"/>
    <x v="1"/>
    <s v="No"/>
    <s v="Medium"/>
  </r>
  <r>
    <s v="CUST0259"/>
    <n v="51"/>
    <n v="1"/>
    <x v="0"/>
    <n v="448"/>
    <n v="6"/>
    <n v="22"/>
    <x v="15"/>
    <x v="1"/>
    <s v="Yes"/>
    <s v="High"/>
  </r>
  <r>
    <s v="CUST0260"/>
    <n v="28"/>
    <n v="13"/>
    <x v="1"/>
    <n v="506"/>
    <n v="3"/>
    <n v="7"/>
    <x v="24"/>
    <x v="1"/>
    <s v="No"/>
    <s v="Low"/>
  </r>
  <r>
    <s v="CUST0261"/>
    <n v="32"/>
    <n v="17"/>
    <x v="2"/>
    <n v="1070"/>
    <n v="1"/>
    <n v="29"/>
    <x v="15"/>
    <x v="1"/>
    <s v="Yes"/>
    <s v="High"/>
  </r>
  <r>
    <s v="CUST0262"/>
    <n v="24"/>
    <n v="22"/>
    <x v="0"/>
    <n v="310"/>
    <n v="1"/>
    <n v="2"/>
    <x v="32"/>
    <x v="1"/>
    <s v="No"/>
    <s v="Low"/>
  </r>
  <r>
    <s v="CUST0263"/>
    <n v="20"/>
    <n v="43"/>
    <x v="1"/>
    <n v="499"/>
    <n v="8"/>
    <n v="27"/>
    <x v="12"/>
    <x v="0"/>
    <s v="No"/>
    <s v="Medium"/>
  </r>
  <r>
    <s v="CUST0264"/>
    <n v="51"/>
    <n v="31"/>
    <x v="1"/>
    <n v="669"/>
    <n v="5"/>
    <n v="23"/>
    <x v="17"/>
    <x v="0"/>
    <s v="No"/>
    <s v="Medium"/>
  </r>
  <r>
    <s v="CUST0265"/>
    <n v="35"/>
    <n v="24"/>
    <x v="1"/>
    <n v="479"/>
    <n v="5"/>
    <n v="27"/>
    <x v="27"/>
    <x v="0"/>
    <s v="No"/>
    <s v="Medium"/>
  </r>
  <r>
    <s v="CUST0266"/>
    <n v="28"/>
    <n v="2"/>
    <x v="1"/>
    <n v="593"/>
    <n v="3"/>
    <n v="13"/>
    <x v="26"/>
    <x v="1"/>
    <s v="No"/>
    <s v="Medium"/>
  </r>
  <r>
    <s v="CUST0267"/>
    <n v="50"/>
    <n v="33"/>
    <x v="1"/>
    <n v="451"/>
    <n v="5"/>
    <n v="2"/>
    <x v="16"/>
    <x v="0"/>
    <s v="No"/>
    <s v="Medium"/>
  </r>
  <r>
    <s v="CUST0268"/>
    <n v="63"/>
    <n v="29"/>
    <x v="0"/>
    <n v="374"/>
    <n v="1"/>
    <n v="13"/>
    <x v="21"/>
    <x v="1"/>
    <s v="No"/>
    <s v="Medium"/>
  </r>
  <r>
    <s v="CUST0269"/>
    <n v="50"/>
    <n v="43"/>
    <x v="2"/>
    <n v="900"/>
    <n v="3"/>
    <n v="24"/>
    <x v="7"/>
    <x v="1"/>
    <s v="No"/>
    <s v="Low"/>
  </r>
  <r>
    <s v="CUST0270"/>
    <n v="52"/>
    <n v="3"/>
    <x v="0"/>
    <n v="272"/>
    <n v="8"/>
    <n v="29"/>
    <x v="24"/>
    <x v="1"/>
    <s v="No"/>
    <s v="Medium"/>
  </r>
  <r>
    <s v="CUST0271"/>
    <n v="27"/>
    <n v="31"/>
    <x v="1"/>
    <n v="574"/>
    <n v="2"/>
    <n v="26"/>
    <x v="1"/>
    <x v="1"/>
    <s v="No"/>
    <s v="Low"/>
  </r>
  <r>
    <s v="CUST0272"/>
    <n v="21"/>
    <n v="11"/>
    <x v="2"/>
    <n v="1142"/>
    <n v="4"/>
    <n v="9"/>
    <x v="0"/>
    <x v="0"/>
    <s v="No"/>
    <s v="Medium"/>
  </r>
  <r>
    <s v="CUST0273"/>
    <n v="62"/>
    <n v="8"/>
    <x v="1"/>
    <n v="701"/>
    <n v="5"/>
    <n v="29"/>
    <x v="10"/>
    <x v="0"/>
    <s v="Yes"/>
    <s v="High"/>
  </r>
  <r>
    <s v="CUST0274"/>
    <n v="41"/>
    <n v="25"/>
    <x v="2"/>
    <n v="1084"/>
    <n v="8"/>
    <n v="29"/>
    <x v="12"/>
    <x v="1"/>
    <s v="Yes"/>
    <s v="High"/>
  </r>
  <r>
    <s v="CUST0275"/>
    <n v="36"/>
    <n v="8"/>
    <x v="0"/>
    <n v="278"/>
    <n v="3"/>
    <n v="25"/>
    <x v="30"/>
    <x v="1"/>
    <s v="Yes"/>
    <s v="High"/>
  </r>
  <r>
    <s v="CUST0276"/>
    <n v="44"/>
    <n v="37"/>
    <x v="1"/>
    <n v="481"/>
    <n v="8"/>
    <n v="8"/>
    <x v="25"/>
    <x v="0"/>
    <s v="No"/>
    <s v="Medium"/>
  </r>
  <r>
    <s v="CUST0277"/>
    <n v="40"/>
    <n v="50"/>
    <x v="1"/>
    <n v="514"/>
    <n v="3"/>
    <n v="5"/>
    <x v="28"/>
    <x v="1"/>
    <s v="Yes"/>
    <s v="High"/>
  </r>
  <r>
    <s v="CUST0278"/>
    <n v="38"/>
    <n v="54"/>
    <x v="0"/>
    <n v="424"/>
    <n v="4"/>
    <n v="6"/>
    <x v="7"/>
    <x v="0"/>
    <s v="No"/>
    <s v="Low"/>
  </r>
  <r>
    <s v="CUST0279"/>
    <n v="64"/>
    <n v="3"/>
    <x v="1"/>
    <n v="707"/>
    <n v="1"/>
    <n v="10"/>
    <x v="29"/>
    <x v="1"/>
    <s v="No"/>
    <s v="Medium"/>
  </r>
  <r>
    <s v="CUST0280"/>
    <n v="51"/>
    <n v="19"/>
    <x v="1"/>
    <n v="480"/>
    <n v="5"/>
    <n v="6"/>
    <x v="13"/>
    <x v="0"/>
    <s v="Yes"/>
    <s v="High"/>
  </r>
  <r>
    <s v="CUST0281"/>
    <n v="34"/>
    <n v="45"/>
    <x v="1"/>
    <n v="541"/>
    <n v="7"/>
    <n v="25"/>
    <x v="31"/>
    <x v="0"/>
    <s v="No"/>
    <s v="Medium"/>
  </r>
  <r>
    <s v="CUST0282"/>
    <n v="21"/>
    <n v="36"/>
    <x v="1"/>
    <n v="692"/>
    <n v="6"/>
    <n v="14"/>
    <x v="9"/>
    <x v="1"/>
    <s v="No"/>
    <s v="Medium"/>
  </r>
  <r>
    <s v="CUST0283"/>
    <n v="38"/>
    <n v="45"/>
    <x v="2"/>
    <n v="951"/>
    <n v="1"/>
    <n v="6"/>
    <x v="6"/>
    <x v="0"/>
    <s v="Yes"/>
    <s v="High"/>
  </r>
  <r>
    <s v="CUST0284"/>
    <n v="65"/>
    <n v="20"/>
    <x v="1"/>
    <n v="745"/>
    <n v="7"/>
    <n v="24"/>
    <x v="29"/>
    <x v="1"/>
    <s v="No"/>
    <s v="Medium"/>
  </r>
  <r>
    <s v="CUST0285"/>
    <n v="33"/>
    <n v="14"/>
    <x v="2"/>
    <n v="935"/>
    <n v="1"/>
    <n v="23"/>
    <x v="23"/>
    <x v="1"/>
    <s v="No"/>
    <s v="Low"/>
  </r>
  <r>
    <s v="CUST0286"/>
    <n v="63"/>
    <n v="54"/>
    <x v="0"/>
    <n v="264"/>
    <n v="7"/>
    <n v="7"/>
    <x v="20"/>
    <x v="0"/>
    <s v="Yes"/>
    <s v="High"/>
  </r>
  <r>
    <s v="CUST0287"/>
    <n v="52"/>
    <n v="42"/>
    <x v="0"/>
    <n v="361"/>
    <n v="6"/>
    <n v="9"/>
    <x v="7"/>
    <x v="1"/>
    <s v="No"/>
    <s v="Medium"/>
  </r>
  <r>
    <s v="CUST0288"/>
    <n v="31"/>
    <n v="42"/>
    <x v="1"/>
    <n v="495"/>
    <n v="7"/>
    <n v="29"/>
    <x v="17"/>
    <x v="0"/>
    <s v="No"/>
    <s v="Medium"/>
  </r>
  <r>
    <s v="CUST0289"/>
    <n v="60"/>
    <n v="42"/>
    <x v="1"/>
    <n v="511"/>
    <n v="1"/>
    <n v="5"/>
    <x v="34"/>
    <x v="1"/>
    <s v="Yes"/>
    <s v="High"/>
  </r>
  <r>
    <s v="CUST0290"/>
    <n v="56"/>
    <n v="37"/>
    <x v="1"/>
    <n v="498"/>
    <n v="2"/>
    <n v="14"/>
    <x v="17"/>
    <x v="1"/>
    <s v="No"/>
    <s v="Low"/>
  </r>
  <r>
    <s v="CUST0291"/>
    <n v="47"/>
    <n v="20"/>
    <x v="1"/>
    <n v="616"/>
    <n v="8"/>
    <n v="7"/>
    <x v="16"/>
    <x v="1"/>
    <s v="No"/>
    <s v="Medium"/>
  </r>
  <r>
    <s v="CUST0292"/>
    <n v="53"/>
    <n v="32"/>
    <x v="0"/>
    <n v="399"/>
    <n v="1"/>
    <n v="26"/>
    <x v="27"/>
    <x v="0"/>
    <s v="No"/>
    <s v="Low"/>
  </r>
  <r>
    <s v="CUST0293"/>
    <n v="27"/>
    <n v="12"/>
    <x v="2"/>
    <n v="752"/>
    <n v="8"/>
    <n v="16"/>
    <x v="17"/>
    <x v="1"/>
    <s v="Yes"/>
    <s v="High"/>
  </r>
  <r>
    <s v="CUST0294"/>
    <n v="30"/>
    <n v="6"/>
    <x v="1"/>
    <n v="467"/>
    <n v="1"/>
    <n v="18"/>
    <x v="25"/>
    <x v="1"/>
    <s v="No"/>
    <s v="Medium"/>
  </r>
  <r>
    <s v="CUST0295"/>
    <n v="30"/>
    <n v="28"/>
    <x v="2"/>
    <n v="877"/>
    <n v="4"/>
    <n v="3"/>
    <x v="8"/>
    <x v="0"/>
    <s v="No"/>
    <s v="Low"/>
  </r>
  <r>
    <s v="CUST0296"/>
    <n v="48"/>
    <n v="9"/>
    <x v="1"/>
    <n v="610"/>
    <n v="5"/>
    <n v="21"/>
    <x v="25"/>
    <x v="1"/>
    <s v="Yes"/>
    <s v="High"/>
  </r>
  <r>
    <s v="CUST0297"/>
    <n v="26"/>
    <n v="43"/>
    <x v="2"/>
    <n v="846"/>
    <n v="2"/>
    <n v="11"/>
    <x v="23"/>
    <x v="1"/>
    <s v="No"/>
    <s v="Low"/>
  </r>
  <r>
    <s v="CUST0298"/>
    <n v="57"/>
    <n v="23"/>
    <x v="0"/>
    <n v="436"/>
    <n v="8"/>
    <n v="10"/>
    <x v="0"/>
    <x v="1"/>
    <s v="No"/>
    <s v="Medium"/>
  </r>
  <r>
    <s v="CUST0299"/>
    <n v="30"/>
    <n v="26"/>
    <x v="1"/>
    <n v="667"/>
    <n v="2"/>
    <n v="19"/>
    <x v="23"/>
    <x v="1"/>
    <s v="No"/>
    <s v="Low"/>
  </r>
  <r>
    <s v="CUST0300"/>
    <n v="61"/>
    <n v="13"/>
    <x v="1"/>
    <n v="711"/>
    <n v="2"/>
    <n v="15"/>
    <x v="12"/>
    <x v="0"/>
    <s v="No"/>
    <s v="Low"/>
  </r>
  <r>
    <s v="CUST0301"/>
    <n v="47"/>
    <n v="25"/>
    <x v="0"/>
    <n v="404"/>
    <n v="4"/>
    <n v="5"/>
    <x v="34"/>
    <x v="1"/>
    <s v="Yes"/>
    <s v="High"/>
  </r>
  <r>
    <s v="CUST0302"/>
    <n v="25"/>
    <n v="24"/>
    <x v="2"/>
    <n v="824"/>
    <n v="3"/>
    <n v="10"/>
    <x v="32"/>
    <x v="1"/>
    <s v="No"/>
    <s v="Low"/>
  </r>
  <r>
    <s v="CUST0303"/>
    <n v="34"/>
    <n v="25"/>
    <x v="2"/>
    <n v="839"/>
    <n v="8"/>
    <n v="25"/>
    <x v="24"/>
    <x v="0"/>
    <s v="Yes"/>
    <s v="High"/>
  </r>
  <r>
    <s v="CUST0304"/>
    <n v="42"/>
    <n v="45"/>
    <x v="1"/>
    <n v="732"/>
    <n v="1"/>
    <n v="30"/>
    <x v="4"/>
    <x v="1"/>
    <s v="Yes"/>
    <s v="High"/>
  </r>
  <r>
    <s v="CUST0305"/>
    <n v="44"/>
    <n v="12"/>
    <x v="0"/>
    <n v="439"/>
    <n v="6"/>
    <n v="17"/>
    <x v="2"/>
    <x v="0"/>
    <s v="No"/>
    <s v="Medium"/>
  </r>
  <r>
    <s v="CUST0306"/>
    <n v="62"/>
    <n v="9"/>
    <x v="0"/>
    <n v="395"/>
    <n v="5"/>
    <n v="24"/>
    <x v="25"/>
    <x v="0"/>
    <s v="No"/>
    <s v="Medium"/>
  </r>
  <r>
    <s v="CUST0307"/>
    <n v="46"/>
    <n v="46"/>
    <x v="1"/>
    <n v="631"/>
    <n v="7"/>
    <n v="18"/>
    <x v="0"/>
    <x v="1"/>
    <s v="No"/>
    <s v="Medium"/>
  </r>
  <r>
    <s v="CUST0308"/>
    <n v="34"/>
    <n v="20"/>
    <x v="1"/>
    <n v="606"/>
    <n v="5"/>
    <n v="29"/>
    <x v="9"/>
    <x v="1"/>
    <s v="Yes"/>
    <s v="High"/>
  </r>
  <r>
    <s v="CUST0309"/>
    <n v="35"/>
    <n v="6"/>
    <x v="0"/>
    <n v="264"/>
    <n v="4"/>
    <n v="19"/>
    <x v="9"/>
    <x v="1"/>
    <s v="No"/>
    <s v="Medium"/>
  </r>
  <r>
    <s v="CUST0310"/>
    <n v="63"/>
    <n v="33"/>
    <x v="2"/>
    <n v="1004"/>
    <n v="8"/>
    <n v="23"/>
    <x v="6"/>
    <x v="0"/>
    <s v="No"/>
    <s v="Medium"/>
  </r>
  <r>
    <s v="CUST0311"/>
    <n v="64"/>
    <n v="8"/>
    <x v="1"/>
    <n v="547"/>
    <n v="0"/>
    <n v="24"/>
    <x v="19"/>
    <x v="1"/>
    <s v="No"/>
    <s v="Medium"/>
  </r>
  <r>
    <s v="CUST0312"/>
    <n v="62"/>
    <n v="59"/>
    <x v="2"/>
    <n v="1060"/>
    <n v="7"/>
    <n v="7"/>
    <x v="14"/>
    <x v="0"/>
    <s v="No"/>
    <s v="Medium"/>
  </r>
  <r>
    <s v="CUST0313"/>
    <n v="53"/>
    <n v="58"/>
    <x v="0"/>
    <n v="269"/>
    <n v="2"/>
    <n v="18"/>
    <x v="15"/>
    <x v="1"/>
    <s v="Yes"/>
    <s v="High"/>
  </r>
  <r>
    <s v="CUST0314"/>
    <n v="27"/>
    <n v="22"/>
    <x v="2"/>
    <n v="1185"/>
    <n v="1"/>
    <n v="11"/>
    <x v="10"/>
    <x v="1"/>
    <s v="No"/>
    <s v="Low"/>
  </r>
  <r>
    <s v="CUST0315"/>
    <n v="33"/>
    <n v="1"/>
    <x v="1"/>
    <n v="651"/>
    <n v="4"/>
    <n v="22"/>
    <x v="38"/>
    <x v="0"/>
    <s v="No"/>
    <s v="Medium"/>
  </r>
  <r>
    <s v="CUST0316"/>
    <n v="51"/>
    <n v="4"/>
    <x v="1"/>
    <n v="685"/>
    <n v="4"/>
    <n v="13"/>
    <x v="15"/>
    <x v="1"/>
    <s v="No"/>
    <s v="Medium"/>
  </r>
  <r>
    <s v="CUST0317"/>
    <n v="31"/>
    <n v="26"/>
    <x v="1"/>
    <n v="670"/>
    <n v="3"/>
    <n v="4"/>
    <x v="38"/>
    <x v="1"/>
    <s v="No"/>
    <s v="Medium"/>
  </r>
  <r>
    <s v="CUST0318"/>
    <n v="20"/>
    <n v="10"/>
    <x v="1"/>
    <n v="565"/>
    <n v="6"/>
    <n v="13"/>
    <x v="32"/>
    <x v="1"/>
    <s v="No"/>
    <s v="Medium"/>
  </r>
  <r>
    <s v="CUST0319"/>
    <n v="31"/>
    <n v="35"/>
    <x v="2"/>
    <n v="1086"/>
    <n v="7"/>
    <n v="7"/>
    <x v="8"/>
    <x v="1"/>
    <s v="No"/>
    <s v="Medium"/>
  </r>
  <r>
    <s v="CUST0320"/>
    <n v="65"/>
    <n v="13"/>
    <x v="0"/>
    <n v="322"/>
    <n v="6"/>
    <n v="15"/>
    <x v="30"/>
    <x v="0"/>
    <s v="No"/>
    <s v="Medium"/>
  </r>
  <r>
    <s v="CUST0321"/>
    <n v="30"/>
    <n v="43"/>
    <x v="0"/>
    <n v="372"/>
    <n v="6"/>
    <n v="17"/>
    <x v="33"/>
    <x v="0"/>
    <s v="Yes"/>
    <s v="High"/>
  </r>
  <r>
    <s v="CUST0322"/>
    <n v="45"/>
    <n v="33"/>
    <x v="1"/>
    <n v="649"/>
    <n v="1"/>
    <n v="5"/>
    <x v="0"/>
    <x v="0"/>
    <s v="Yes"/>
    <s v="High"/>
  </r>
  <r>
    <s v="CUST0323"/>
    <n v="42"/>
    <n v="33"/>
    <x v="0"/>
    <n v="425"/>
    <n v="5"/>
    <n v="15"/>
    <x v="9"/>
    <x v="1"/>
    <s v="Yes"/>
    <s v="High"/>
  </r>
  <r>
    <s v="CUST0324"/>
    <n v="51"/>
    <n v="6"/>
    <x v="1"/>
    <n v="528"/>
    <n v="8"/>
    <n v="7"/>
    <x v="15"/>
    <x v="1"/>
    <s v="No"/>
    <s v="Medium"/>
  </r>
  <r>
    <s v="CUST0325"/>
    <n v="36"/>
    <n v="45"/>
    <x v="0"/>
    <n v="359"/>
    <n v="1"/>
    <n v="24"/>
    <x v="15"/>
    <x v="1"/>
    <s v="No"/>
    <s v="Low"/>
  </r>
  <r>
    <s v="CUST0326"/>
    <n v="60"/>
    <n v="41"/>
    <x v="0"/>
    <n v="280"/>
    <n v="0"/>
    <n v="10"/>
    <x v="16"/>
    <x v="0"/>
    <s v="No"/>
    <s v="Medium"/>
  </r>
  <r>
    <s v="CUST0327"/>
    <n v="47"/>
    <n v="2"/>
    <x v="1"/>
    <n v="476"/>
    <n v="6"/>
    <n v="18"/>
    <x v="25"/>
    <x v="1"/>
    <s v="Yes"/>
    <s v="High"/>
  </r>
  <r>
    <s v="CUST0328"/>
    <n v="50"/>
    <n v="4"/>
    <x v="1"/>
    <n v="476"/>
    <n v="1"/>
    <n v="10"/>
    <x v="12"/>
    <x v="1"/>
    <s v="No"/>
    <s v="Medium"/>
  </r>
  <r>
    <s v="CUST0329"/>
    <n v="65"/>
    <n v="27"/>
    <x v="0"/>
    <n v="262"/>
    <n v="0"/>
    <n v="3"/>
    <x v="25"/>
    <x v="1"/>
    <s v="Yes"/>
    <s v="High"/>
  </r>
  <r>
    <s v="CUST0330"/>
    <n v="58"/>
    <n v="7"/>
    <x v="1"/>
    <n v="701"/>
    <n v="5"/>
    <n v="11"/>
    <x v="6"/>
    <x v="1"/>
    <s v="No"/>
    <s v="Medium"/>
  </r>
  <r>
    <s v="CUST0331"/>
    <n v="63"/>
    <n v="36"/>
    <x v="1"/>
    <n v="619"/>
    <n v="5"/>
    <n v="25"/>
    <x v="10"/>
    <x v="1"/>
    <s v="No"/>
    <s v="Medium"/>
  </r>
  <r>
    <s v="CUST0332"/>
    <n v="33"/>
    <n v="38"/>
    <x v="1"/>
    <n v="516"/>
    <n v="1"/>
    <n v="3"/>
    <x v="5"/>
    <x v="1"/>
    <s v="No"/>
    <s v="Medium"/>
  </r>
  <r>
    <s v="CUST0333"/>
    <n v="61"/>
    <n v="53"/>
    <x v="0"/>
    <n v="430"/>
    <n v="1"/>
    <n v="19"/>
    <x v="2"/>
    <x v="1"/>
    <s v="No"/>
    <s v="Medium"/>
  </r>
  <r>
    <s v="CUST0334"/>
    <n v="54"/>
    <n v="47"/>
    <x v="0"/>
    <n v="282"/>
    <n v="8"/>
    <n v="24"/>
    <x v="0"/>
    <x v="1"/>
    <s v="No"/>
    <s v="Medium"/>
  </r>
  <r>
    <s v="CUST0335"/>
    <n v="55"/>
    <n v="23"/>
    <x v="2"/>
    <n v="973"/>
    <n v="1"/>
    <n v="17"/>
    <x v="22"/>
    <x v="1"/>
    <s v="Yes"/>
    <s v="High"/>
  </r>
  <r>
    <s v="CUST0336"/>
    <n v="58"/>
    <n v="18"/>
    <x v="1"/>
    <n v="598"/>
    <n v="0"/>
    <n v="27"/>
    <x v="8"/>
    <x v="0"/>
    <s v="No"/>
    <s v="Low"/>
  </r>
  <r>
    <s v="CUST0337"/>
    <n v="45"/>
    <n v="32"/>
    <x v="1"/>
    <n v="488"/>
    <n v="7"/>
    <n v="26"/>
    <x v="16"/>
    <x v="1"/>
    <s v="No"/>
    <s v="Medium"/>
  </r>
  <r>
    <s v="CUST0338"/>
    <n v="33"/>
    <n v="12"/>
    <x v="0"/>
    <n v="396"/>
    <n v="0"/>
    <n v="30"/>
    <x v="18"/>
    <x v="0"/>
    <s v="No"/>
    <s v="Low"/>
  </r>
  <r>
    <s v="CUST0339"/>
    <n v="52"/>
    <n v="46"/>
    <x v="1"/>
    <n v="605"/>
    <n v="3"/>
    <n v="11"/>
    <x v="32"/>
    <x v="1"/>
    <s v="Yes"/>
    <s v="High"/>
  </r>
  <r>
    <s v="CUST0340"/>
    <n v="35"/>
    <n v="19"/>
    <x v="0"/>
    <n v="287"/>
    <n v="4"/>
    <n v="29"/>
    <x v="5"/>
    <x v="0"/>
    <s v="No"/>
    <s v="Medium"/>
  </r>
  <r>
    <s v="CUST0341"/>
    <n v="35"/>
    <n v="53"/>
    <x v="0"/>
    <n v="279"/>
    <n v="5"/>
    <n v="22"/>
    <x v="6"/>
    <x v="1"/>
    <s v="No"/>
    <s v="Medium"/>
  </r>
  <r>
    <s v="CUST0342"/>
    <n v="55"/>
    <n v="17"/>
    <x v="1"/>
    <n v="600"/>
    <n v="0"/>
    <n v="22"/>
    <x v="0"/>
    <x v="0"/>
    <s v="No"/>
    <s v="Low"/>
  </r>
  <r>
    <s v="CUST0343"/>
    <n v="34"/>
    <n v="47"/>
    <x v="2"/>
    <n v="758"/>
    <n v="8"/>
    <n v="23"/>
    <x v="9"/>
    <x v="0"/>
    <s v="Yes"/>
    <s v="High"/>
  </r>
  <r>
    <s v="CUST0344"/>
    <n v="64"/>
    <n v="25"/>
    <x v="2"/>
    <n v="855"/>
    <n v="7"/>
    <n v="9"/>
    <x v="15"/>
    <x v="1"/>
    <s v="Yes"/>
    <s v="High"/>
  </r>
  <r>
    <s v="CUST0345"/>
    <n v="60"/>
    <n v="52"/>
    <x v="2"/>
    <n v="978"/>
    <n v="3"/>
    <n v="25"/>
    <x v="18"/>
    <x v="0"/>
    <s v="No"/>
    <s v="Low"/>
  </r>
  <r>
    <s v="CUST0346"/>
    <n v="31"/>
    <n v="30"/>
    <x v="0"/>
    <n v="295"/>
    <n v="7"/>
    <n v="25"/>
    <x v="28"/>
    <x v="1"/>
    <s v="Yes"/>
    <s v="High"/>
  </r>
  <r>
    <s v="CUST0347"/>
    <n v="39"/>
    <n v="11"/>
    <x v="2"/>
    <n v="785"/>
    <n v="2"/>
    <n v="4"/>
    <x v="28"/>
    <x v="1"/>
    <s v="Yes"/>
    <s v="High"/>
  </r>
  <r>
    <s v="CUST0348"/>
    <n v="53"/>
    <n v="9"/>
    <x v="1"/>
    <n v="501"/>
    <n v="6"/>
    <n v="2"/>
    <x v="23"/>
    <x v="1"/>
    <s v="Yes"/>
    <s v="High"/>
  </r>
  <r>
    <s v="CUST0349"/>
    <n v="61"/>
    <n v="60"/>
    <x v="0"/>
    <n v="313"/>
    <n v="2"/>
    <n v="22"/>
    <x v="34"/>
    <x v="1"/>
    <s v="No"/>
    <s v="Medium"/>
  </r>
  <r>
    <s v="CUST0350"/>
    <n v="54"/>
    <n v="48"/>
    <x v="2"/>
    <n v="853"/>
    <n v="2"/>
    <n v="17"/>
    <x v="28"/>
    <x v="0"/>
    <s v="No"/>
    <s v="Medium"/>
  </r>
  <r>
    <s v="CUST0351"/>
    <n v="30"/>
    <n v="20"/>
    <x v="0"/>
    <n v="289"/>
    <n v="8"/>
    <n v="24"/>
    <x v="18"/>
    <x v="1"/>
    <s v="Yes"/>
    <s v="High"/>
  </r>
  <r>
    <s v="CUST0352"/>
    <n v="54"/>
    <n v="19"/>
    <x v="0"/>
    <n v="356"/>
    <n v="3"/>
    <n v="2"/>
    <x v="30"/>
    <x v="1"/>
    <s v="No"/>
    <s v="Low"/>
  </r>
  <r>
    <s v="CUST0353"/>
    <n v="42"/>
    <n v="42"/>
    <x v="0"/>
    <n v="425"/>
    <n v="1"/>
    <n v="17"/>
    <x v="10"/>
    <x v="1"/>
    <s v="No"/>
    <s v="Low"/>
  </r>
  <r>
    <s v="CUST0354"/>
    <n v="42"/>
    <n v="5"/>
    <x v="1"/>
    <n v="634"/>
    <n v="0"/>
    <n v="21"/>
    <x v="23"/>
    <x v="1"/>
    <s v="No"/>
    <s v="Medium"/>
  </r>
  <r>
    <s v="CUST0355"/>
    <n v="41"/>
    <n v="39"/>
    <x v="0"/>
    <n v="358"/>
    <n v="4"/>
    <n v="21"/>
    <x v="3"/>
    <x v="1"/>
    <s v="No"/>
    <s v="Low"/>
  </r>
  <r>
    <s v="CUST0356"/>
    <n v="62"/>
    <n v="24"/>
    <x v="2"/>
    <n v="1153"/>
    <n v="0"/>
    <n v="29"/>
    <x v="4"/>
    <x v="0"/>
    <s v="Yes"/>
    <s v="High"/>
  </r>
  <r>
    <s v="CUST0357"/>
    <n v="61"/>
    <n v="10"/>
    <x v="0"/>
    <n v="349"/>
    <n v="7"/>
    <n v="28"/>
    <x v="30"/>
    <x v="0"/>
    <s v="Yes"/>
    <s v="High"/>
  </r>
  <r>
    <s v="CUST0358"/>
    <n v="25"/>
    <n v="21"/>
    <x v="2"/>
    <n v="930"/>
    <n v="5"/>
    <n v="17"/>
    <x v="14"/>
    <x v="1"/>
    <s v="No"/>
    <s v="Medium"/>
  </r>
  <r>
    <s v="CUST0359"/>
    <n v="46"/>
    <n v="39"/>
    <x v="1"/>
    <n v="520"/>
    <n v="3"/>
    <n v="14"/>
    <x v="28"/>
    <x v="1"/>
    <s v="No"/>
    <s v="Medium"/>
  </r>
  <r>
    <s v="CUST0360"/>
    <n v="34"/>
    <n v="25"/>
    <x v="0"/>
    <n v="433"/>
    <n v="3"/>
    <n v="24"/>
    <x v="14"/>
    <x v="1"/>
    <s v="No"/>
    <s v="Low"/>
  </r>
  <r>
    <s v="CUST0361"/>
    <n v="33"/>
    <n v="55"/>
    <x v="0"/>
    <n v="392"/>
    <n v="1"/>
    <n v="3"/>
    <x v="7"/>
    <x v="0"/>
    <s v="No"/>
    <s v="Low"/>
  </r>
  <r>
    <s v="CUST0362"/>
    <n v="28"/>
    <n v="19"/>
    <x v="1"/>
    <n v="665"/>
    <n v="3"/>
    <n v="28"/>
    <x v="0"/>
    <x v="1"/>
    <s v="No"/>
    <s v="Low"/>
  </r>
  <r>
    <s v="CUST0363"/>
    <n v="27"/>
    <n v="45"/>
    <x v="1"/>
    <n v="463"/>
    <n v="6"/>
    <n v="13"/>
    <x v="23"/>
    <x v="1"/>
    <s v="No"/>
    <s v="Medium"/>
  </r>
  <r>
    <s v="CUST0364"/>
    <n v="58"/>
    <n v="56"/>
    <x v="0"/>
    <n v="287"/>
    <n v="1"/>
    <n v="9"/>
    <x v="17"/>
    <x v="1"/>
    <s v="No"/>
    <s v="Low"/>
  </r>
  <r>
    <s v="CUST0365"/>
    <n v="46"/>
    <n v="10"/>
    <x v="1"/>
    <n v="521"/>
    <n v="8"/>
    <n v="24"/>
    <x v="8"/>
    <x v="0"/>
    <s v="No"/>
    <s v="Medium"/>
  </r>
  <r>
    <s v="CUST0366"/>
    <n v="61"/>
    <n v="45"/>
    <x v="0"/>
    <n v="278"/>
    <n v="0"/>
    <n v="21"/>
    <x v="32"/>
    <x v="0"/>
    <s v="No"/>
    <s v="Low"/>
  </r>
  <r>
    <s v="CUST0367"/>
    <n v="20"/>
    <n v="26"/>
    <x v="2"/>
    <n v="1033"/>
    <n v="4"/>
    <n v="20"/>
    <x v="21"/>
    <x v="1"/>
    <s v="Yes"/>
    <s v="High"/>
  </r>
  <r>
    <s v="CUST0368"/>
    <n v="25"/>
    <n v="34"/>
    <x v="1"/>
    <n v="558"/>
    <n v="0"/>
    <n v="9"/>
    <x v="13"/>
    <x v="1"/>
    <s v="No"/>
    <s v="Low"/>
  </r>
  <r>
    <s v="CUST0369"/>
    <n v="55"/>
    <n v="39"/>
    <x v="2"/>
    <n v="994"/>
    <n v="5"/>
    <n v="22"/>
    <x v="5"/>
    <x v="1"/>
    <s v="No"/>
    <s v="Medium"/>
  </r>
  <r>
    <s v="CUST0370"/>
    <n v="61"/>
    <n v="28"/>
    <x v="0"/>
    <n v="277"/>
    <n v="5"/>
    <n v="21"/>
    <x v="34"/>
    <x v="0"/>
    <s v="Yes"/>
    <s v="High"/>
  </r>
  <r>
    <s v="CUST0371"/>
    <n v="35"/>
    <n v="19"/>
    <x v="0"/>
    <n v="277"/>
    <n v="0"/>
    <n v="26"/>
    <x v="14"/>
    <x v="1"/>
    <s v="No"/>
    <s v="Low"/>
  </r>
  <r>
    <s v="CUST0372"/>
    <n v="35"/>
    <n v="18"/>
    <x v="0"/>
    <n v="395"/>
    <n v="7"/>
    <n v="3"/>
    <x v="32"/>
    <x v="1"/>
    <s v="Yes"/>
    <s v="High"/>
  </r>
  <r>
    <s v="CUST0373"/>
    <n v="39"/>
    <n v="1"/>
    <x v="2"/>
    <n v="953"/>
    <n v="8"/>
    <n v="8"/>
    <x v="25"/>
    <x v="1"/>
    <s v="Yes"/>
    <s v="High"/>
  </r>
  <r>
    <s v="CUST0374"/>
    <n v="63"/>
    <n v="7"/>
    <x v="0"/>
    <n v="439"/>
    <n v="8"/>
    <n v="27"/>
    <x v="27"/>
    <x v="0"/>
    <s v="Yes"/>
    <s v="High"/>
  </r>
  <r>
    <s v="CUST0375"/>
    <n v="44"/>
    <n v="31"/>
    <x v="1"/>
    <n v="598"/>
    <n v="2"/>
    <n v="23"/>
    <x v="22"/>
    <x v="1"/>
    <s v="No"/>
    <s v="Medium"/>
  </r>
  <r>
    <s v="CUST0376"/>
    <n v="33"/>
    <n v="52"/>
    <x v="1"/>
    <n v="532"/>
    <n v="8"/>
    <n v="25"/>
    <x v="23"/>
    <x v="1"/>
    <s v="No"/>
    <s v="Medium"/>
  </r>
  <r>
    <s v="CUST0377"/>
    <n v="41"/>
    <n v="29"/>
    <x v="1"/>
    <n v="598"/>
    <n v="6"/>
    <n v="3"/>
    <x v="12"/>
    <x v="1"/>
    <s v="Yes"/>
    <s v="High"/>
  </r>
  <r>
    <s v="CUST0378"/>
    <n v="59"/>
    <n v="39"/>
    <x v="0"/>
    <n v="289"/>
    <n v="7"/>
    <n v="5"/>
    <x v="19"/>
    <x v="0"/>
    <s v="Yes"/>
    <s v="High"/>
  </r>
  <r>
    <s v="CUST0379"/>
    <n v="39"/>
    <n v="36"/>
    <x v="2"/>
    <n v="1005"/>
    <n v="1"/>
    <n v="16"/>
    <x v="4"/>
    <x v="1"/>
    <s v="Yes"/>
    <s v="High"/>
  </r>
  <r>
    <s v="CUST0380"/>
    <n v="43"/>
    <n v="23"/>
    <x v="0"/>
    <n v="295"/>
    <n v="7"/>
    <n v="10"/>
    <x v="9"/>
    <x v="0"/>
    <s v="No"/>
    <s v="Medium"/>
  </r>
  <r>
    <s v="CUST0381"/>
    <n v="28"/>
    <n v="8"/>
    <x v="2"/>
    <n v="936"/>
    <n v="4"/>
    <n v="14"/>
    <x v="5"/>
    <x v="0"/>
    <s v="No"/>
    <s v="Medium"/>
  </r>
  <r>
    <s v="CUST0382"/>
    <n v="52"/>
    <n v="55"/>
    <x v="1"/>
    <n v="641"/>
    <n v="6"/>
    <n v="18"/>
    <x v="7"/>
    <x v="1"/>
    <s v="No"/>
    <s v="Medium"/>
  </r>
  <r>
    <s v="CUST0383"/>
    <n v="63"/>
    <n v="3"/>
    <x v="1"/>
    <n v="479"/>
    <n v="3"/>
    <n v="24"/>
    <x v="13"/>
    <x v="0"/>
    <s v="No"/>
    <s v="Medium"/>
  </r>
  <r>
    <s v="CUST0384"/>
    <n v="30"/>
    <n v="37"/>
    <x v="1"/>
    <n v="564"/>
    <n v="7"/>
    <n v="23"/>
    <x v="18"/>
    <x v="1"/>
    <s v="No"/>
    <s v="Medium"/>
  </r>
  <r>
    <s v="CUST0385"/>
    <n v="61"/>
    <n v="35"/>
    <x v="2"/>
    <n v="793"/>
    <n v="2"/>
    <n v="25"/>
    <x v="9"/>
    <x v="1"/>
    <s v="No"/>
    <s v="Low"/>
  </r>
  <r>
    <s v="CUST0386"/>
    <n v="45"/>
    <n v="22"/>
    <x v="0"/>
    <n v="337"/>
    <n v="7"/>
    <n v="5"/>
    <x v="29"/>
    <x v="1"/>
    <s v="Yes"/>
    <s v="High"/>
  </r>
  <r>
    <s v="CUST0387"/>
    <n v="29"/>
    <n v="31"/>
    <x v="0"/>
    <n v="304"/>
    <n v="0"/>
    <n v="21"/>
    <x v="13"/>
    <x v="0"/>
    <s v="No"/>
    <s v="Low"/>
  </r>
  <r>
    <s v="CUST0388"/>
    <n v="50"/>
    <n v="14"/>
    <x v="0"/>
    <n v="255"/>
    <n v="4"/>
    <n v="22"/>
    <x v="32"/>
    <x v="1"/>
    <s v="Yes"/>
    <s v="High"/>
  </r>
  <r>
    <s v="CUST0389"/>
    <n v="37"/>
    <n v="26"/>
    <x v="0"/>
    <n v="432"/>
    <n v="6"/>
    <n v="18"/>
    <x v="23"/>
    <x v="1"/>
    <s v="Yes"/>
    <s v="High"/>
  </r>
  <r>
    <s v="CUST0390"/>
    <n v="47"/>
    <n v="22"/>
    <x v="2"/>
    <n v="851"/>
    <n v="5"/>
    <n v="15"/>
    <x v="9"/>
    <x v="1"/>
    <s v="No"/>
    <s v="Medium"/>
  </r>
  <r>
    <s v="CUST0391"/>
    <n v="30"/>
    <n v="45"/>
    <x v="1"/>
    <n v="742"/>
    <n v="0"/>
    <n v="19"/>
    <x v="3"/>
    <x v="1"/>
    <s v="No"/>
    <s v="Low"/>
  </r>
  <r>
    <s v="CUST0392"/>
    <n v="59"/>
    <n v="10"/>
    <x v="0"/>
    <n v="437"/>
    <n v="2"/>
    <n v="30"/>
    <x v="16"/>
    <x v="1"/>
    <s v="Yes"/>
    <s v="High"/>
  </r>
  <r>
    <s v="CUST0393"/>
    <n v="40"/>
    <n v="8"/>
    <x v="1"/>
    <n v="658"/>
    <n v="8"/>
    <n v="25"/>
    <x v="8"/>
    <x v="0"/>
    <s v="Yes"/>
    <s v="High"/>
  </r>
  <r>
    <s v="CUST0394"/>
    <n v="48"/>
    <n v="41"/>
    <x v="2"/>
    <n v="861"/>
    <n v="3"/>
    <n v="15"/>
    <x v="13"/>
    <x v="0"/>
    <s v="No"/>
    <s v="Low"/>
  </r>
  <r>
    <s v="CUST0395"/>
    <n v="58"/>
    <n v="25"/>
    <x v="0"/>
    <n v="303"/>
    <n v="0"/>
    <n v="13"/>
    <x v="17"/>
    <x v="0"/>
    <s v="No"/>
    <s v="Low"/>
  </r>
  <r>
    <s v="CUST0396"/>
    <n v="27"/>
    <n v="45"/>
    <x v="1"/>
    <n v="661"/>
    <n v="5"/>
    <n v="13"/>
    <x v="18"/>
    <x v="0"/>
    <s v="No"/>
    <s v="Medium"/>
  </r>
  <r>
    <s v="CUST0397"/>
    <n v="41"/>
    <n v="8"/>
    <x v="2"/>
    <n v="941"/>
    <n v="2"/>
    <n v="19"/>
    <x v="28"/>
    <x v="1"/>
    <s v="No"/>
    <s v="Medium"/>
  </r>
  <r>
    <s v="CUST0398"/>
    <n v="64"/>
    <n v="44"/>
    <x v="1"/>
    <n v="500"/>
    <n v="1"/>
    <n v="4"/>
    <x v="2"/>
    <x v="1"/>
    <s v="No"/>
    <s v="Medium"/>
  </r>
  <r>
    <s v="CUST0399"/>
    <n v="46"/>
    <n v="7"/>
    <x v="1"/>
    <n v="728"/>
    <n v="7"/>
    <n v="18"/>
    <x v="15"/>
    <x v="1"/>
    <s v="No"/>
    <s v="Medium"/>
  </r>
  <r>
    <s v="CUST0400"/>
    <n v="34"/>
    <n v="50"/>
    <x v="1"/>
    <n v="508"/>
    <n v="7"/>
    <n v="5"/>
    <x v="18"/>
    <x v="1"/>
    <s v="No"/>
    <s v="Medium"/>
  </r>
  <r>
    <s v="CUST0401"/>
    <n v="49"/>
    <n v="27"/>
    <x v="2"/>
    <n v="753"/>
    <n v="5"/>
    <n v="27"/>
    <x v="17"/>
    <x v="0"/>
    <s v="No"/>
    <s v="Medium"/>
  </r>
  <r>
    <s v="CUST0402"/>
    <n v="46"/>
    <n v="44"/>
    <x v="0"/>
    <n v="356"/>
    <n v="0"/>
    <n v="6"/>
    <x v="7"/>
    <x v="0"/>
    <s v="No"/>
    <s v="Low"/>
  </r>
  <r>
    <s v="CUST0403"/>
    <n v="53"/>
    <n v="53"/>
    <x v="1"/>
    <n v="621"/>
    <n v="6"/>
    <n v="9"/>
    <x v="4"/>
    <x v="1"/>
    <s v="Yes"/>
    <s v="High"/>
  </r>
  <r>
    <s v="CUST0404"/>
    <n v="23"/>
    <n v="52"/>
    <x v="2"/>
    <n v="1075"/>
    <n v="6"/>
    <n v="25"/>
    <x v="32"/>
    <x v="1"/>
    <s v="No"/>
    <s v="Medium"/>
  </r>
  <r>
    <s v="CUST0405"/>
    <n v="53"/>
    <n v="11"/>
    <x v="1"/>
    <n v="514"/>
    <n v="1"/>
    <n v="22"/>
    <x v="4"/>
    <x v="0"/>
    <s v="No"/>
    <s v="Medium"/>
  </r>
  <r>
    <s v="CUST0406"/>
    <n v="55"/>
    <n v="11"/>
    <x v="2"/>
    <n v="797"/>
    <n v="0"/>
    <n v="15"/>
    <x v="25"/>
    <x v="1"/>
    <s v="No"/>
    <s v="Medium"/>
  </r>
  <r>
    <s v="CUST0407"/>
    <n v="29"/>
    <n v="2"/>
    <x v="1"/>
    <n v="490"/>
    <n v="6"/>
    <n v="2"/>
    <x v="13"/>
    <x v="1"/>
    <s v="No"/>
    <s v="Medium"/>
  </r>
  <r>
    <s v="CUST0408"/>
    <n v="42"/>
    <n v="12"/>
    <x v="0"/>
    <n v="306"/>
    <n v="8"/>
    <n v="28"/>
    <x v="0"/>
    <x v="1"/>
    <s v="No"/>
    <s v="Medium"/>
  </r>
  <r>
    <s v="CUST0409"/>
    <n v="44"/>
    <n v="50"/>
    <x v="0"/>
    <n v="263"/>
    <n v="2"/>
    <n v="22"/>
    <x v="9"/>
    <x v="0"/>
    <s v="Yes"/>
    <s v="High"/>
  </r>
  <r>
    <s v="CUST0410"/>
    <n v="58"/>
    <n v="8"/>
    <x v="0"/>
    <n v="322"/>
    <n v="1"/>
    <n v="4"/>
    <x v="23"/>
    <x v="1"/>
    <s v="Yes"/>
    <s v="High"/>
  </r>
  <r>
    <s v="CUST0411"/>
    <n v="33"/>
    <n v="26"/>
    <x v="0"/>
    <n v="255"/>
    <n v="7"/>
    <n v="22"/>
    <x v="12"/>
    <x v="1"/>
    <s v="Yes"/>
    <s v="High"/>
  </r>
  <r>
    <s v="CUST0412"/>
    <n v="48"/>
    <n v="52"/>
    <x v="0"/>
    <n v="326"/>
    <n v="0"/>
    <n v="5"/>
    <x v="26"/>
    <x v="0"/>
    <s v="No"/>
    <s v="Low"/>
  </r>
  <r>
    <s v="CUST0413"/>
    <n v="50"/>
    <n v="40"/>
    <x v="1"/>
    <n v="531"/>
    <n v="4"/>
    <n v="5"/>
    <x v="17"/>
    <x v="1"/>
    <s v="No"/>
    <s v="Low"/>
  </r>
  <r>
    <s v="CUST0414"/>
    <n v="29"/>
    <n v="14"/>
    <x v="2"/>
    <n v="765"/>
    <n v="5"/>
    <n v="6"/>
    <x v="10"/>
    <x v="1"/>
    <s v="No"/>
    <s v="Medium"/>
  </r>
  <r>
    <s v="CUST0415"/>
    <n v="28"/>
    <n v="18"/>
    <x v="0"/>
    <n v="301"/>
    <n v="8"/>
    <n v="22"/>
    <x v="25"/>
    <x v="1"/>
    <s v="No"/>
    <s v="Medium"/>
  </r>
  <r>
    <s v="CUST0416"/>
    <n v="45"/>
    <n v="60"/>
    <x v="0"/>
    <n v="294"/>
    <n v="4"/>
    <n v="14"/>
    <x v="29"/>
    <x v="1"/>
    <s v="No"/>
    <s v="Low"/>
  </r>
  <r>
    <s v="CUST0417"/>
    <n v="57"/>
    <n v="20"/>
    <x v="0"/>
    <n v="302"/>
    <n v="7"/>
    <n v="15"/>
    <x v="2"/>
    <x v="1"/>
    <s v="Yes"/>
    <s v="High"/>
  </r>
  <r>
    <s v="CUST0418"/>
    <n v="44"/>
    <n v="28"/>
    <x v="0"/>
    <n v="340"/>
    <n v="1"/>
    <n v="16"/>
    <x v="25"/>
    <x v="1"/>
    <s v="Yes"/>
    <s v="High"/>
  </r>
  <r>
    <s v="CUST0419"/>
    <n v="52"/>
    <n v="17"/>
    <x v="1"/>
    <n v="721"/>
    <n v="6"/>
    <n v="2"/>
    <x v="12"/>
    <x v="1"/>
    <s v="Yes"/>
    <s v="High"/>
  </r>
  <r>
    <s v="CUST0420"/>
    <n v="35"/>
    <n v="5"/>
    <x v="0"/>
    <n v="345"/>
    <n v="5"/>
    <n v="5"/>
    <x v="30"/>
    <x v="1"/>
    <s v="No"/>
    <s v="Medium"/>
  </r>
  <r>
    <s v="CUST0421"/>
    <n v="65"/>
    <n v="22"/>
    <x v="0"/>
    <n v="395"/>
    <n v="8"/>
    <n v="4"/>
    <x v="28"/>
    <x v="1"/>
    <s v="Yes"/>
    <s v="High"/>
  </r>
  <r>
    <s v="CUST0422"/>
    <n v="37"/>
    <n v="46"/>
    <x v="1"/>
    <n v="488"/>
    <n v="6"/>
    <n v="23"/>
    <x v="27"/>
    <x v="0"/>
    <s v="No"/>
    <s v="Medium"/>
  </r>
  <r>
    <s v="CUST0423"/>
    <n v="40"/>
    <n v="13"/>
    <x v="0"/>
    <n v="376"/>
    <n v="4"/>
    <n v="15"/>
    <x v="7"/>
    <x v="1"/>
    <s v="No"/>
    <s v="Low"/>
  </r>
  <r>
    <s v="CUST0424"/>
    <n v="35"/>
    <n v="37"/>
    <x v="0"/>
    <n v="254"/>
    <n v="7"/>
    <n v="11"/>
    <x v="7"/>
    <x v="1"/>
    <s v="No"/>
    <s v="Medium"/>
  </r>
  <r>
    <s v="CUST0425"/>
    <n v="22"/>
    <n v="58"/>
    <x v="1"/>
    <n v="470"/>
    <n v="0"/>
    <n v="4"/>
    <x v="20"/>
    <x v="1"/>
    <s v="Yes"/>
    <s v="High"/>
  </r>
  <r>
    <s v="CUST0426"/>
    <n v="40"/>
    <n v="49"/>
    <x v="0"/>
    <n v="270"/>
    <n v="5"/>
    <n v="17"/>
    <x v="3"/>
    <x v="1"/>
    <s v="No"/>
    <s v="Medium"/>
  </r>
  <r>
    <s v="CUST0427"/>
    <n v="64"/>
    <n v="30"/>
    <x v="1"/>
    <n v="512"/>
    <n v="5"/>
    <n v="21"/>
    <x v="14"/>
    <x v="0"/>
    <s v="Yes"/>
    <s v="High"/>
  </r>
  <r>
    <s v="CUST0428"/>
    <n v="40"/>
    <n v="56"/>
    <x v="1"/>
    <n v="565"/>
    <n v="1"/>
    <n v="8"/>
    <x v="23"/>
    <x v="0"/>
    <s v="No"/>
    <s v="Low"/>
  </r>
  <r>
    <s v="CUST0429"/>
    <n v="54"/>
    <n v="1"/>
    <x v="2"/>
    <n v="1151"/>
    <n v="0"/>
    <n v="5"/>
    <x v="7"/>
    <x v="1"/>
    <s v="No"/>
    <s v="Medium"/>
  </r>
  <r>
    <s v="CUST0430"/>
    <n v="44"/>
    <n v="18"/>
    <x v="1"/>
    <n v="748"/>
    <n v="1"/>
    <n v="6"/>
    <x v="10"/>
    <x v="1"/>
    <s v="Yes"/>
    <s v="High"/>
  </r>
  <r>
    <s v="CUST0431"/>
    <n v="57"/>
    <n v="57"/>
    <x v="2"/>
    <n v="1092"/>
    <n v="1"/>
    <n v="18"/>
    <x v="16"/>
    <x v="0"/>
    <s v="No"/>
    <s v="Medium"/>
  </r>
  <r>
    <s v="CUST0432"/>
    <n v="40"/>
    <n v="50"/>
    <x v="1"/>
    <n v="497"/>
    <n v="4"/>
    <n v="24"/>
    <x v="15"/>
    <x v="1"/>
    <s v="No"/>
    <s v="Low"/>
  </r>
  <r>
    <s v="CUST0433"/>
    <n v="35"/>
    <n v="43"/>
    <x v="1"/>
    <n v="489"/>
    <n v="7"/>
    <n v="3"/>
    <x v="3"/>
    <x v="1"/>
    <s v="No"/>
    <s v="Medium"/>
  </r>
  <r>
    <s v="CUST0434"/>
    <n v="51"/>
    <n v="7"/>
    <x v="0"/>
    <n v="401"/>
    <n v="5"/>
    <n v="26"/>
    <x v="1"/>
    <x v="0"/>
    <s v="No"/>
    <s v="Medium"/>
  </r>
  <r>
    <s v="CUST0435"/>
    <n v="61"/>
    <n v="10"/>
    <x v="2"/>
    <n v="862"/>
    <n v="5"/>
    <n v="14"/>
    <x v="9"/>
    <x v="1"/>
    <s v="No"/>
    <s v="Medium"/>
  </r>
  <r>
    <s v="CUST0436"/>
    <n v="32"/>
    <n v="5"/>
    <x v="0"/>
    <n v="292"/>
    <n v="1"/>
    <n v="6"/>
    <x v="32"/>
    <x v="1"/>
    <s v="Yes"/>
    <s v="High"/>
  </r>
  <r>
    <s v="CUST0437"/>
    <n v="27"/>
    <n v="16"/>
    <x v="0"/>
    <n v="367"/>
    <n v="0"/>
    <n v="17"/>
    <x v="0"/>
    <x v="1"/>
    <s v="No"/>
    <s v="Low"/>
  </r>
  <r>
    <s v="CUST0438"/>
    <n v="25"/>
    <n v="23"/>
    <x v="1"/>
    <n v="653"/>
    <n v="6"/>
    <n v="18"/>
    <x v="4"/>
    <x v="1"/>
    <s v="Yes"/>
    <s v="High"/>
  </r>
  <r>
    <s v="CUST0439"/>
    <n v="43"/>
    <n v="7"/>
    <x v="0"/>
    <n v="347"/>
    <n v="4"/>
    <n v="8"/>
    <x v="19"/>
    <x v="1"/>
    <s v="No"/>
    <s v="Medium"/>
  </r>
  <r>
    <s v="CUST0440"/>
    <n v="47"/>
    <n v="7"/>
    <x v="1"/>
    <n v="577"/>
    <n v="3"/>
    <n v="5"/>
    <x v="7"/>
    <x v="1"/>
    <s v="Yes"/>
    <s v="High"/>
  </r>
  <r>
    <s v="CUST0441"/>
    <n v="37"/>
    <n v="16"/>
    <x v="0"/>
    <n v="275"/>
    <n v="6"/>
    <n v="14"/>
    <x v="0"/>
    <x v="0"/>
    <s v="No"/>
    <s v="Medium"/>
  </r>
  <r>
    <s v="CUST0442"/>
    <n v="51"/>
    <n v="14"/>
    <x v="0"/>
    <n v="302"/>
    <n v="4"/>
    <n v="24"/>
    <x v="23"/>
    <x v="1"/>
    <s v="No"/>
    <s v="Low"/>
  </r>
  <r>
    <s v="CUST0443"/>
    <n v="26"/>
    <n v="12"/>
    <x v="1"/>
    <n v="694"/>
    <n v="4"/>
    <n v="29"/>
    <x v="26"/>
    <x v="1"/>
    <s v="Yes"/>
    <s v="High"/>
  </r>
  <r>
    <s v="CUST0444"/>
    <n v="31"/>
    <n v="22"/>
    <x v="2"/>
    <n v="1091"/>
    <n v="7"/>
    <n v="15"/>
    <x v="25"/>
    <x v="1"/>
    <s v="Yes"/>
    <s v="High"/>
  </r>
  <r>
    <s v="CUST0445"/>
    <n v="36"/>
    <n v="57"/>
    <x v="0"/>
    <n v="423"/>
    <n v="5"/>
    <n v="17"/>
    <x v="28"/>
    <x v="1"/>
    <s v="Yes"/>
    <s v="High"/>
  </r>
  <r>
    <s v="CUST0446"/>
    <n v="21"/>
    <n v="37"/>
    <x v="1"/>
    <n v="566"/>
    <n v="8"/>
    <n v="7"/>
    <x v="0"/>
    <x v="0"/>
    <s v="No"/>
    <s v="Medium"/>
  </r>
  <r>
    <s v="CUST0447"/>
    <n v="26"/>
    <n v="20"/>
    <x v="2"/>
    <n v="1001"/>
    <n v="5"/>
    <n v="19"/>
    <x v="13"/>
    <x v="1"/>
    <s v="Yes"/>
    <s v="High"/>
  </r>
  <r>
    <s v="CUST0448"/>
    <n v="42"/>
    <n v="20"/>
    <x v="1"/>
    <n v="697"/>
    <n v="4"/>
    <n v="23"/>
    <x v="8"/>
    <x v="1"/>
    <s v="No"/>
    <s v="Low"/>
  </r>
  <r>
    <s v="CUST0449"/>
    <n v="29"/>
    <n v="27"/>
    <x v="2"/>
    <n v="932"/>
    <n v="7"/>
    <n v="2"/>
    <x v="17"/>
    <x v="0"/>
    <s v="No"/>
    <s v="Medium"/>
  </r>
  <r>
    <s v="CUST0450"/>
    <n v="25"/>
    <n v="13"/>
    <x v="2"/>
    <n v="890"/>
    <n v="8"/>
    <n v="30"/>
    <x v="9"/>
    <x v="0"/>
    <s v="No"/>
    <s v="Medium"/>
  </r>
  <r>
    <s v="CUST0451"/>
    <n v="53"/>
    <n v="12"/>
    <x v="0"/>
    <n v="423"/>
    <n v="6"/>
    <n v="20"/>
    <x v="36"/>
    <x v="1"/>
    <s v="Yes"/>
    <s v="High"/>
  </r>
  <r>
    <s v="CUST0452"/>
    <n v="53"/>
    <n v="45"/>
    <x v="0"/>
    <n v="406"/>
    <n v="7"/>
    <n v="20"/>
    <x v="29"/>
    <x v="0"/>
    <s v="No"/>
    <s v="Medium"/>
  </r>
  <r>
    <s v="CUST0453"/>
    <n v="38"/>
    <n v="8"/>
    <x v="2"/>
    <n v="988"/>
    <n v="2"/>
    <n v="18"/>
    <x v="12"/>
    <x v="0"/>
    <s v="No"/>
    <s v="Medium"/>
  </r>
  <r>
    <s v="CUST0454"/>
    <n v="38"/>
    <n v="5"/>
    <x v="1"/>
    <n v="682"/>
    <n v="3"/>
    <n v="11"/>
    <x v="32"/>
    <x v="0"/>
    <s v="Yes"/>
    <s v="High"/>
  </r>
  <r>
    <s v="CUST0455"/>
    <n v="51"/>
    <n v="20"/>
    <x v="0"/>
    <n v="340"/>
    <n v="4"/>
    <n v="6"/>
    <x v="25"/>
    <x v="0"/>
    <s v="No"/>
    <s v="Low"/>
  </r>
  <r>
    <s v="CUST0456"/>
    <n v="55"/>
    <n v="10"/>
    <x v="2"/>
    <n v="823"/>
    <n v="3"/>
    <n v="15"/>
    <x v="26"/>
    <x v="1"/>
    <s v="Yes"/>
    <s v="High"/>
  </r>
  <r>
    <s v="CUST0457"/>
    <n v="34"/>
    <n v="3"/>
    <x v="1"/>
    <n v="577"/>
    <n v="6"/>
    <n v="15"/>
    <x v="37"/>
    <x v="0"/>
    <s v="No"/>
    <s v="Medium"/>
  </r>
  <r>
    <s v="CUST0458"/>
    <n v="58"/>
    <n v="20"/>
    <x v="0"/>
    <n v="361"/>
    <n v="2"/>
    <n v="23"/>
    <x v="12"/>
    <x v="0"/>
    <s v="No"/>
    <s v="Low"/>
  </r>
  <r>
    <s v="CUST0459"/>
    <n v="46"/>
    <n v="36"/>
    <x v="0"/>
    <n v="328"/>
    <n v="7"/>
    <n v="19"/>
    <x v="26"/>
    <x v="0"/>
    <s v="Yes"/>
    <s v="High"/>
  </r>
  <r>
    <s v="CUST0460"/>
    <n v="53"/>
    <n v="29"/>
    <x v="1"/>
    <n v="633"/>
    <n v="5"/>
    <n v="15"/>
    <x v="29"/>
    <x v="1"/>
    <s v="No"/>
    <s v="Medium"/>
  </r>
  <r>
    <s v="CUST0461"/>
    <n v="49"/>
    <n v="2"/>
    <x v="2"/>
    <n v="795"/>
    <n v="2"/>
    <n v="21"/>
    <x v="1"/>
    <x v="1"/>
    <s v="No"/>
    <s v="Medium"/>
  </r>
  <r>
    <s v="CUST0462"/>
    <n v="59"/>
    <n v="35"/>
    <x v="2"/>
    <n v="1136"/>
    <n v="6"/>
    <n v="6"/>
    <x v="28"/>
    <x v="1"/>
    <s v="Yes"/>
    <s v="High"/>
  </r>
  <r>
    <s v="CUST0463"/>
    <n v="53"/>
    <n v="30"/>
    <x v="2"/>
    <n v="888"/>
    <n v="1"/>
    <n v="12"/>
    <x v="21"/>
    <x v="1"/>
    <s v="No"/>
    <s v="Medium"/>
  </r>
  <r>
    <s v="CUST0464"/>
    <n v="23"/>
    <n v="8"/>
    <x v="1"/>
    <n v="711"/>
    <n v="0"/>
    <n v="24"/>
    <x v="28"/>
    <x v="1"/>
    <s v="Yes"/>
    <s v="High"/>
  </r>
  <r>
    <s v="CUST0465"/>
    <n v="51"/>
    <n v="9"/>
    <x v="0"/>
    <n v="422"/>
    <n v="4"/>
    <n v="25"/>
    <x v="17"/>
    <x v="1"/>
    <s v="No"/>
    <s v="Medium"/>
  </r>
  <r>
    <s v="CUST0466"/>
    <n v="27"/>
    <n v="5"/>
    <x v="0"/>
    <n v="404"/>
    <n v="1"/>
    <n v="9"/>
    <x v="13"/>
    <x v="1"/>
    <s v="No"/>
    <s v="Medium"/>
  </r>
  <r>
    <s v="CUST0467"/>
    <n v="52"/>
    <n v="29"/>
    <x v="1"/>
    <n v="603"/>
    <n v="7"/>
    <n v="7"/>
    <x v="7"/>
    <x v="1"/>
    <s v="No"/>
    <s v="Medium"/>
  </r>
  <r>
    <s v="CUST0468"/>
    <n v="63"/>
    <n v="29"/>
    <x v="2"/>
    <n v="971"/>
    <n v="2"/>
    <n v="22"/>
    <x v="37"/>
    <x v="1"/>
    <s v="Yes"/>
    <s v="High"/>
  </r>
  <r>
    <s v="CUST0469"/>
    <n v="62"/>
    <n v="16"/>
    <x v="0"/>
    <n v="439"/>
    <n v="7"/>
    <n v="17"/>
    <x v="32"/>
    <x v="0"/>
    <s v="No"/>
    <s v="Medium"/>
  </r>
  <r>
    <s v="CUST0470"/>
    <n v="62"/>
    <n v="18"/>
    <x v="1"/>
    <n v="504"/>
    <n v="6"/>
    <n v="28"/>
    <x v="1"/>
    <x v="1"/>
    <s v="Yes"/>
    <s v="High"/>
  </r>
  <r>
    <s v="CUST0471"/>
    <n v="49"/>
    <n v="8"/>
    <x v="1"/>
    <n v="747"/>
    <n v="0"/>
    <n v="22"/>
    <x v="4"/>
    <x v="1"/>
    <s v="No"/>
    <s v="Medium"/>
  </r>
  <r>
    <s v="CUST0472"/>
    <n v="42"/>
    <n v="9"/>
    <x v="1"/>
    <n v="684"/>
    <n v="0"/>
    <n v="7"/>
    <x v="5"/>
    <x v="1"/>
    <s v="No"/>
    <s v="Medium"/>
  </r>
  <r>
    <s v="CUST0473"/>
    <n v="52"/>
    <n v="14"/>
    <x v="0"/>
    <n v="430"/>
    <n v="8"/>
    <n v="4"/>
    <x v="10"/>
    <x v="0"/>
    <s v="No"/>
    <s v="Medium"/>
  </r>
  <r>
    <s v="CUST0474"/>
    <n v="49"/>
    <n v="46"/>
    <x v="2"/>
    <n v="1151"/>
    <n v="4"/>
    <n v="14"/>
    <x v="14"/>
    <x v="1"/>
    <s v="No"/>
    <s v="Low"/>
  </r>
  <r>
    <s v="CUST0475"/>
    <n v="50"/>
    <n v="25"/>
    <x v="2"/>
    <n v="1044"/>
    <n v="8"/>
    <n v="26"/>
    <x v="25"/>
    <x v="0"/>
    <s v="No"/>
    <s v="Medium"/>
  </r>
  <r>
    <s v="CUST0476"/>
    <n v="57"/>
    <n v="23"/>
    <x v="1"/>
    <n v="484"/>
    <n v="0"/>
    <n v="29"/>
    <x v="2"/>
    <x v="0"/>
    <s v="No"/>
    <s v="Medium"/>
  </r>
  <r>
    <s v="CUST0477"/>
    <n v="62"/>
    <n v="7"/>
    <x v="1"/>
    <n v="693"/>
    <n v="3"/>
    <n v="26"/>
    <x v="14"/>
    <x v="1"/>
    <s v="No"/>
    <s v="Medium"/>
  </r>
  <r>
    <s v="CUST0478"/>
    <n v="31"/>
    <n v="47"/>
    <x v="2"/>
    <n v="782"/>
    <n v="0"/>
    <n v="21"/>
    <x v="21"/>
    <x v="1"/>
    <s v="Yes"/>
    <s v="High"/>
  </r>
  <r>
    <s v="CUST0479"/>
    <n v="24"/>
    <n v="29"/>
    <x v="1"/>
    <n v="465"/>
    <n v="5"/>
    <n v="5"/>
    <x v="32"/>
    <x v="0"/>
    <s v="No"/>
    <s v="Medium"/>
  </r>
  <r>
    <s v="CUST0480"/>
    <n v="32"/>
    <n v="13"/>
    <x v="0"/>
    <n v="362"/>
    <n v="3"/>
    <n v="25"/>
    <x v="4"/>
    <x v="1"/>
    <s v="No"/>
    <s v="Medium"/>
  </r>
  <r>
    <s v="CUST0481"/>
    <n v="32"/>
    <n v="6"/>
    <x v="1"/>
    <n v="499"/>
    <n v="0"/>
    <n v="27"/>
    <x v="17"/>
    <x v="0"/>
    <s v="No"/>
    <s v="Medium"/>
  </r>
  <r>
    <s v="CUST0482"/>
    <n v="24"/>
    <n v="22"/>
    <x v="0"/>
    <n v="436"/>
    <n v="3"/>
    <n v="28"/>
    <x v="17"/>
    <x v="1"/>
    <s v="No"/>
    <s v="Low"/>
  </r>
  <r>
    <s v="CUST0483"/>
    <n v="52"/>
    <n v="23"/>
    <x v="1"/>
    <n v="520"/>
    <n v="1"/>
    <n v="16"/>
    <x v="4"/>
    <x v="1"/>
    <s v="Yes"/>
    <s v="High"/>
  </r>
  <r>
    <s v="CUST0484"/>
    <n v="53"/>
    <n v="20"/>
    <x v="0"/>
    <n v="377"/>
    <n v="8"/>
    <n v="12"/>
    <x v="23"/>
    <x v="1"/>
    <s v="No"/>
    <s v="Medium"/>
  </r>
  <r>
    <s v="CUST0485"/>
    <n v="38"/>
    <n v="60"/>
    <x v="2"/>
    <n v="784"/>
    <n v="2"/>
    <n v="11"/>
    <x v="30"/>
    <x v="0"/>
    <s v="No"/>
    <s v="Low"/>
  </r>
  <r>
    <s v="CUST0486"/>
    <n v="52"/>
    <n v="20"/>
    <x v="1"/>
    <n v="729"/>
    <n v="1"/>
    <n v="20"/>
    <x v="14"/>
    <x v="1"/>
    <s v="No"/>
    <s v="Low"/>
  </r>
  <r>
    <s v="CUST0487"/>
    <n v="36"/>
    <n v="42"/>
    <x v="0"/>
    <n v="336"/>
    <n v="3"/>
    <n v="12"/>
    <x v="10"/>
    <x v="1"/>
    <s v="No"/>
    <s v="Low"/>
  </r>
  <r>
    <s v="CUST0488"/>
    <n v="41"/>
    <n v="60"/>
    <x v="1"/>
    <n v="570"/>
    <n v="1"/>
    <n v="27"/>
    <x v="15"/>
    <x v="0"/>
    <s v="No"/>
    <s v="Low"/>
  </r>
  <r>
    <s v="CUST0489"/>
    <n v="64"/>
    <n v="54"/>
    <x v="1"/>
    <n v="627"/>
    <n v="6"/>
    <n v="21"/>
    <x v="18"/>
    <x v="0"/>
    <s v="No"/>
    <s v="Medium"/>
  </r>
  <r>
    <s v="CUST0490"/>
    <n v="28"/>
    <n v="18"/>
    <x v="1"/>
    <n v="468"/>
    <n v="8"/>
    <n v="9"/>
    <x v="39"/>
    <x v="0"/>
    <s v="No"/>
    <s v="Medium"/>
  </r>
  <r>
    <s v="CUST0491"/>
    <n v="39"/>
    <n v="51"/>
    <x v="2"/>
    <n v="778"/>
    <n v="0"/>
    <n v="26"/>
    <x v="17"/>
    <x v="1"/>
    <s v="No"/>
    <s v="Low"/>
  </r>
  <r>
    <s v="CUST0492"/>
    <n v="63"/>
    <n v="48"/>
    <x v="0"/>
    <n v="373"/>
    <n v="6"/>
    <n v="24"/>
    <x v="2"/>
    <x v="1"/>
    <s v="No"/>
    <s v="Medium"/>
  </r>
  <r>
    <s v="CUST0493"/>
    <n v="55"/>
    <n v="9"/>
    <x v="0"/>
    <n v="280"/>
    <n v="3"/>
    <n v="12"/>
    <x v="32"/>
    <x v="1"/>
    <s v="No"/>
    <s v="Medium"/>
  </r>
  <r>
    <s v="CUST0494"/>
    <n v="34"/>
    <n v="27"/>
    <x v="1"/>
    <n v="740"/>
    <n v="0"/>
    <n v="29"/>
    <x v="17"/>
    <x v="0"/>
    <s v="No"/>
    <s v="Low"/>
  </r>
  <r>
    <s v="CUST0495"/>
    <n v="24"/>
    <n v="4"/>
    <x v="0"/>
    <n v="296"/>
    <n v="5"/>
    <n v="13"/>
    <x v="33"/>
    <x v="0"/>
    <s v="Yes"/>
    <s v="High"/>
  </r>
  <r>
    <s v="CUST0496"/>
    <n v="45"/>
    <n v="31"/>
    <x v="1"/>
    <n v="489"/>
    <n v="4"/>
    <n v="19"/>
    <x v="5"/>
    <x v="1"/>
    <s v="No"/>
    <s v="Medium"/>
  </r>
  <r>
    <s v="CUST0497"/>
    <n v="42"/>
    <n v="58"/>
    <x v="2"/>
    <n v="1115"/>
    <n v="4"/>
    <n v="13"/>
    <x v="17"/>
    <x v="0"/>
    <s v="No"/>
    <s v="Low"/>
  </r>
  <r>
    <s v="CUST0498"/>
    <n v="37"/>
    <n v="21"/>
    <x v="1"/>
    <n v="503"/>
    <n v="5"/>
    <n v="30"/>
    <x v="6"/>
    <x v="1"/>
    <s v="No"/>
    <s v="Medium"/>
  </r>
  <r>
    <s v="CUST0499"/>
    <n v="51"/>
    <n v="18"/>
    <x v="0"/>
    <n v="285"/>
    <n v="4"/>
    <n v="25"/>
    <x v="25"/>
    <x v="0"/>
    <s v="No"/>
    <s v="Low"/>
  </r>
  <r>
    <s v="CUST0500"/>
    <n v="22"/>
    <n v="16"/>
    <x v="1"/>
    <n v="682"/>
    <n v="0"/>
    <n v="17"/>
    <x v="15"/>
    <x v="0"/>
    <s v="No"/>
    <s v="Low"/>
  </r>
  <r>
    <s v="CUST0501"/>
    <n v="57"/>
    <n v="25"/>
    <x v="0"/>
    <n v="271"/>
    <n v="6"/>
    <n v="17"/>
    <x v="24"/>
    <x v="1"/>
    <s v="Yes"/>
    <s v="High"/>
  </r>
  <r>
    <s v="CUST0502"/>
    <n v="44"/>
    <n v="12"/>
    <x v="1"/>
    <n v="476"/>
    <n v="4"/>
    <n v="3"/>
    <x v="17"/>
    <x v="1"/>
    <s v="No"/>
    <s v="Low"/>
  </r>
  <r>
    <s v="CUST0503"/>
    <n v="21"/>
    <n v="59"/>
    <x v="1"/>
    <n v="584"/>
    <n v="3"/>
    <n v="26"/>
    <x v="29"/>
    <x v="1"/>
    <s v="No"/>
    <s v="Low"/>
  </r>
  <r>
    <s v="CUST0504"/>
    <n v="23"/>
    <n v="52"/>
    <x v="0"/>
    <n v="349"/>
    <n v="8"/>
    <n v="16"/>
    <x v="10"/>
    <x v="1"/>
    <s v="No"/>
    <s v="Medium"/>
  </r>
  <r>
    <s v="CUST0505"/>
    <n v="53"/>
    <n v="17"/>
    <x v="0"/>
    <n v="347"/>
    <n v="3"/>
    <n v="6"/>
    <x v="26"/>
    <x v="0"/>
    <s v="No"/>
    <s v="Low"/>
  </r>
  <r>
    <s v="CUST0506"/>
    <n v="35"/>
    <n v="50"/>
    <x v="1"/>
    <n v="742"/>
    <n v="0"/>
    <n v="21"/>
    <x v="25"/>
    <x v="1"/>
    <s v="No"/>
    <s v="Low"/>
  </r>
  <r>
    <s v="CUST0507"/>
    <n v="36"/>
    <n v="51"/>
    <x v="1"/>
    <n v="456"/>
    <n v="4"/>
    <n v="20"/>
    <x v="28"/>
    <x v="0"/>
    <s v="No"/>
    <s v="Medium"/>
  </r>
  <r>
    <s v="CUST0508"/>
    <n v="21"/>
    <n v="29"/>
    <x v="0"/>
    <n v="259"/>
    <n v="8"/>
    <n v="8"/>
    <x v="21"/>
    <x v="1"/>
    <s v="No"/>
    <s v="Medium"/>
  </r>
  <r>
    <s v="CUST0509"/>
    <n v="25"/>
    <n v="18"/>
    <x v="2"/>
    <n v="782"/>
    <n v="7"/>
    <n v="7"/>
    <x v="18"/>
    <x v="1"/>
    <s v="No"/>
    <s v="Medium"/>
  </r>
  <r>
    <s v="CUST0510"/>
    <n v="34"/>
    <n v="41"/>
    <x v="0"/>
    <n v="408"/>
    <n v="1"/>
    <n v="22"/>
    <x v="9"/>
    <x v="1"/>
    <s v="No"/>
    <s v="Low"/>
  </r>
  <r>
    <s v="CUST0511"/>
    <n v="48"/>
    <n v="38"/>
    <x v="0"/>
    <n v="391"/>
    <n v="4"/>
    <n v="10"/>
    <x v="9"/>
    <x v="0"/>
    <s v="No"/>
    <s v="Low"/>
  </r>
  <r>
    <s v="CUST0512"/>
    <n v="22"/>
    <n v="39"/>
    <x v="0"/>
    <n v="277"/>
    <n v="7"/>
    <n v="5"/>
    <x v="10"/>
    <x v="1"/>
    <s v="Yes"/>
    <s v="High"/>
  </r>
  <r>
    <s v="CUST0513"/>
    <n v="40"/>
    <n v="37"/>
    <x v="1"/>
    <n v="662"/>
    <n v="6"/>
    <n v="30"/>
    <x v="13"/>
    <x v="1"/>
    <s v="No"/>
    <s v="Medium"/>
  </r>
  <r>
    <s v="CUST0514"/>
    <n v="46"/>
    <n v="58"/>
    <x v="1"/>
    <n v="600"/>
    <n v="0"/>
    <n v="7"/>
    <x v="10"/>
    <x v="1"/>
    <s v="No"/>
    <s v="Low"/>
  </r>
  <r>
    <s v="CUST0515"/>
    <n v="29"/>
    <n v="59"/>
    <x v="1"/>
    <n v="558"/>
    <n v="5"/>
    <n v="18"/>
    <x v="32"/>
    <x v="0"/>
    <s v="No"/>
    <s v="Medium"/>
  </r>
  <r>
    <s v="CUST0516"/>
    <n v="33"/>
    <n v="25"/>
    <x v="2"/>
    <n v="945"/>
    <n v="1"/>
    <n v="4"/>
    <x v="21"/>
    <x v="0"/>
    <s v="No"/>
    <s v="Medium"/>
  </r>
  <r>
    <s v="CUST0517"/>
    <n v="56"/>
    <n v="33"/>
    <x v="2"/>
    <n v="1125"/>
    <n v="6"/>
    <n v="19"/>
    <x v="15"/>
    <x v="1"/>
    <s v="Yes"/>
    <s v="High"/>
  </r>
  <r>
    <s v="CUST0518"/>
    <n v="50"/>
    <n v="43"/>
    <x v="1"/>
    <n v="612"/>
    <n v="3"/>
    <n v="28"/>
    <x v="20"/>
    <x v="1"/>
    <s v="No"/>
    <s v="Medium"/>
  </r>
  <r>
    <s v="CUST0519"/>
    <n v="41"/>
    <n v="16"/>
    <x v="1"/>
    <n v="568"/>
    <n v="5"/>
    <n v="25"/>
    <x v="29"/>
    <x v="1"/>
    <s v="No"/>
    <s v="Medium"/>
  </r>
  <r>
    <s v="CUST0520"/>
    <n v="46"/>
    <n v="24"/>
    <x v="0"/>
    <n v="393"/>
    <n v="5"/>
    <n v="22"/>
    <x v="15"/>
    <x v="1"/>
    <s v="Yes"/>
    <s v="High"/>
  </r>
  <r>
    <s v="CUST0521"/>
    <n v="46"/>
    <n v="15"/>
    <x v="1"/>
    <n v="725"/>
    <n v="6"/>
    <n v="23"/>
    <x v="25"/>
    <x v="1"/>
    <s v="Yes"/>
    <s v="High"/>
  </r>
  <r>
    <s v="CUST0522"/>
    <n v="40"/>
    <n v="8"/>
    <x v="0"/>
    <n v="357"/>
    <n v="7"/>
    <n v="22"/>
    <x v="15"/>
    <x v="0"/>
    <s v="Yes"/>
    <s v="High"/>
  </r>
  <r>
    <s v="CUST0523"/>
    <n v="31"/>
    <n v="57"/>
    <x v="1"/>
    <n v="511"/>
    <n v="4"/>
    <n v="26"/>
    <x v="31"/>
    <x v="0"/>
    <s v="Yes"/>
    <s v="High"/>
  </r>
  <r>
    <s v="CUST0524"/>
    <n v="22"/>
    <n v="54"/>
    <x v="1"/>
    <n v="535"/>
    <n v="2"/>
    <n v="18"/>
    <x v="6"/>
    <x v="0"/>
    <s v="No"/>
    <s v="Medium"/>
  </r>
  <r>
    <s v="CUST0525"/>
    <n v="47"/>
    <n v="23"/>
    <x v="0"/>
    <n v="428"/>
    <n v="4"/>
    <n v="5"/>
    <x v="28"/>
    <x v="1"/>
    <s v="No"/>
    <s v="Medium"/>
  </r>
  <r>
    <s v="CUST0526"/>
    <n v="26"/>
    <n v="47"/>
    <x v="0"/>
    <n v="439"/>
    <n v="6"/>
    <n v="22"/>
    <x v="29"/>
    <x v="1"/>
    <s v="No"/>
    <s v="Medium"/>
  </r>
  <r>
    <s v="CUST0527"/>
    <n v="38"/>
    <n v="49"/>
    <x v="1"/>
    <n v="543"/>
    <n v="8"/>
    <n v="4"/>
    <x v="17"/>
    <x v="1"/>
    <s v="No"/>
    <s v="Medium"/>
  </r>
  <r>
    <s v="CUST0528"/>
    <n v="49"/>
    <n v="25"/>
    <x v="0"/>
    <n v="295"/>
    <n v="4"/>
    <n v="26"/>
    <x v="17"/>
    <x v="1"/>
    <s v="No"/>
    <s v="Low"/>
  </r>
  <r>
    <s v="CUST0529"/>
    <n v="41"/>
    <n v="4"/>
    <x v="1"/>
    <n v="746"/>
    <n v="6"/>
    <n v="11"/>
    <x v="32"/>
    <x v="1"/>
    <s v="Yes"/>
    <s v="High"/>
  </r>
  <r>
    <s v="CUST0530"/>
    <n v="33"/>
    <n v="28"/>
    <x v="1"/>
    <n v="610"/>
    <n v="5"/>
    <n v="11"/>
    <x v="7"/>
    <x v="1"/>
    <s v="Yes"/>
    <s v="High"/>
  </r>
  <r>
    <s v="CUST0531"/>
    <n v="51"/>
    <n v="29"/>
    <x v="0"/>
    <n v="293"/>
    <n v="1"/>
    <n v="9"/>
    <x v="15"/>
    <x v="1"/>
    <s v="No"/>
    <s v="Low"/>
  </r>
  <r>
    <s v="CUST0532"/>
    <n v="30"/>
    <n v="2"/>
    <x v="1"/>
    <n v="726"/>
    <n v="3"/>
    <n v="2"/>
    <x v="25"/>
    <x v="1"/>
    <s v="No"/>
    <s v="Medium"/>
  </r>
  <r>
    <s v="CUST0533"/>
    <n v="43"/>
    <n v="14"/>
    <x v="0"/>
    <n v="396"/>
    <n v="7"/>
    <n v="18"/>
    <x v="7"/>
    <x v="0"/>
    <s v="No"/>
    <s v="Medium"/>
  </r>
  <r>
    <s v="CUST0534"/>
    <n v="27"/>
    <n v="29"/>
    <x v="2"/>
    <n v="794"/>
    <n v="2"/>
    <n v="10"/>
    <x v="7"/>
    <x v="0"/>
    <s v="No"/>
    <s v="Low"/>
  </r>
  <r>
    <s v="CUST0535"/>
    <n v="42"/>
    <n v="52"/>
    <x v="0"/>
    <n v="306"/>
    <n v="2"/>
    <n v="18"/>
    <x v="0"/>
    <x v="0"/>
    <s v="No"/>
    <s v="Low"/>
  </r>
  <r>
    <s v="CUST0536"/>
    <n v="24"/>
    <n v="46"/>
    <x v="1"/>
    <n v="671"/>
    <n v="8"/>
    <n v="12"/>
    <x v="24"/>
    <x v="1"/>
    <s v="No"/>
    <s v="Medium"/>
  </r>
  <r>
    <s v="CUST0537"/>
    <n v="60"/>
    <n v="3"/>
    <x v="2"/>
    <n v="875"/>
    <n v="2"/>
    <n v="20"/>
    <x v="33"/>
    <x v="0"/>
    <s v="Yes"/>
    <s v="High"/>
  </r>
  <r>
    <s v="CUST0538"/>
    <n v="29"/>
    <n v="32"/>
    <x v="2"/>
    <n v="894"/>
    <n v="2"/>
    <n v="8"/>
    <x v="9"/>
    <x v="1"/>
    <s v="Yes"/>
    <s v="High"/>
  </r>
  <r>
    <s v="CUST0539"/>
    <n v="53"/>
    <n v="55"/>
    <x v="1"/>
    <n v="451"/>
    <n v="1"/>
    <n v="17"/>
    <x v="2"/>
    <x v="1"/>
    <s v="No"/>
    <s v="Medium"/>
  </r>
  <r>
    <s v="CUST0540"/>
    <n v="36"/>
    <n v="40"/>
    <x v="1"/>
    <n v="570"/>
    <n v="5"/>
    <n v="17"/>
    <x v="15"/>
    <x v="1"/>
    <s v="No"/>
    <s v="Medium"/>
  </r>
  <r>
    <s v="CUST0541"/>
    <n v="39"/>
    <n v="54"/>
    <x v="0"/>
    <n v="324"/>
    <n v="6"/>
    <n v="21"/>
    <x v="2"/>
    <x v="1"/>
    <s v="Yes"/>
    <s v="High"/>
  </r>
  <r>
    <s v="CUST0542"/>
    <n v="38"/>
    <n v="27"/>
    <x v="2"/>
    <n v="1089"/>
    <n v="6"/>
    <n v="5"/>
    <x v="27"/>
    <x v="1"/>
    <s v="No"/>
    <s v="Medium"/>
  </r>
  <r>
    <s v="CUST0543"/>
    <n v="62"/>
    <n v="8"/>
    <x v="0"/>
    <n v="351"/>
    <n v="7"/>
    <n v="28"/>
    <x v="23"/>
    <x v="1"/>
    <s v="Yes"/>
    <s v="High"/>
  </r>
  <r>
    <s v="CUST0544"/>
    <n v="38"/>
    <n v="18"/>
    <x v="1"/>
    <n v="659"/>
    <n v="8"/>
    <n v="26"/>
    <x v="19"/>
    <x v="1"/>
    <s v="No"/>
    <s v="Medium"/>
  </r>
  <r>
    <s v="CUST0545"/>
    <n v="46"/>
    <n v="26"/>
    <x v="2"/>
    <n v="883"/>
    <n v="0"/>
    <n v="10"/>
    <x v="2"/>
    <x v="1"/>
    <s v="Yes"/>
    <s v="High"/>
  </r>
  <r>
    <s v="CUST0546"/>
    <n v="48"/>
    <n v="27"/>
    <x v="0"/>
    <n v="292"/>
    <n v="1"/>
    <n v="21"/>
    <x v="17"/>
    <x v="1"/>
    <s v="Yes"/>
    <s v="High"/>
  </r>
  <r>
    <s v="CUST0547"/>
    <n v="54"/>
    <n v="2"/>
    <x v="2"/>
    <n v="796"/>
    <n v="5"/>
    <n v="13"/>
    <x v="17"/>
    <x v="0"/>
    <s v="No"/>
    <s v="Medium"/>
  </r>
  <r>
    <s v="CUST0548"/>
    <n v="43"/>
    <n v="35"/>
    <x v="0"/>
    <n v="290"/>
    <n v="3"/>
    <n v="11"/>
    <x v="5"/>
    <x v="0"/>
    <s v="No"/>
    <s v="Medium"/>
  </r>
  <r>
    <s v="CUST0549"/>
    <n v="41"/>
    <n v="27"/>
    <x v="0"/>
    <n v="437"/>
    <n v="0"/>
    <n v="29"/>
    <x v="9"/>
    <x v="1"/>
    <s v="No"/>
    <s v="Low"/>
  </r>
  <r>
    <s v="CUST0550"/>
    <n v="51"/>
    <n v="3"/>
    <x v="0"/>
    <n v="327"/>
    <n v="3"/>
    <n v="3"/>
    <x v="3"/>
    <x v="1"/>
    <s v="Yes"/>
    <s v="High"/>
  </r>
  <r>
    <s v="CUST0551"/>
    <n v="44"/>
    <n v="42"/>
    <x v="1"/>
    <n v="588"/>
    <n v="1"/>
    <n v="4"/>
    <x v="1"/>
    <x v="0"/>
    <s v="No"/>
    <s v="Low"/>
  </r>
  <r>
    <s v="CUST0552"/>
    <n v="20"/>
    <n v="48"/>
    <x v="2"/>
    <n v="798"/>
    <n v="6"/>
    <n v="8"/>
    <x v="26"/>
    <x v="0"/>
    <s v="No"/>
    <s v="Medium"/>
  </r>
  <r>
    <s v="CUST0553"/>
    <n v="40"/>
    <n v="28"/>
    <x v="1"/>
    <n v="604"/>
    <n v="7"/>
    <n v="8"/>
    <x v="9"/>
    <x v="1"/>
    <s v="No"/>
    <s v="Medium"/>
  </r>
  <r>
    <s v="CUST0554"/>
    <n v="47"/>
    <n v="6"/>
    <x v="0"/>
    <n v="354"/>
    <n v="7"/>
    <n v="11"/>
    <x v="29"/>
    <x v="0"/>
    <s v="No"/>
    <s v="Medium"/>
  </r>
  <r>
    <s v="CUST0555"/>
    <n v="35"/>
    <n v="25"/>
    <x v="0"/>
    <n v="377"/>
    <n v="8"/>
    <n v="24"/>
    <x v="14"/>
    <x v="0"/>
    <s v="No"/>
    <s v="Medium"/>
  </r>
  <r>
    <s v="CUST0556"/>
    <n v="34"/>
    <n v="29"/>
    <x v="1"/>
    <n v="505"/>
    <n v="4"/>
    <n v="12"/>
    <x v="23"/>
    <x v="1"/>
    <s v="No"/>
    <s v="Low"/>
  </r>
  <r>
    <s v="CUST0557"/>
    <n v="25"/>
    <n v="7"/>
    <x v="1"/>
    <n v="700"/>
    <n v="3"/>
    <n v="4"/>
    <x v="27"/>
    <x v="1"/>
    <s v="No"/>
    <s v="Medium"/>
  </r>
  <r>
    <s v="CUST0558"/>
    <n v="56"/>
    <n v="49"/>
    <x v="0"/>
    <n v="446"/>
    <n v="6"/>
    <n v="11"/>
    <x v="8"/>
    <x v="0"/>
    <s v="No"/>
    <s v="Medium"/>
  </r>
  <r>
    <s v="CUST0559"/>
    <n v="22"/>
    <n v="21"/>
    <x v="1"/>
    <n v="658"/>
    <n v="0"/>
    <n v="10"/>
    <x v="2"/>
    <x v="0"/>
    <s v="No"/>
    <s v="Medium"/>
  </r>
  <r>
    <s v="CUST0560"/>
    <n v="40"/>
    <n v="42"/>
    <x v="0"/>
    <n v="368"/>
    <n v="8"/>
    <n v="29"/>
    <x v="21"/>
    <x v="0"/>
    <s v="No"/>
    <s v="Medium"/>
  </r>
  <r>
    <s v="CUST0561"/>
    <n v="26"/>
    <n v="28"/>
    <x v="1"/>
    <n v="515"/>
    <n v="0"/>
    <n v="7"/>
    <x v="0"/>
    <x v="1"/>
    <s v="No"/>
    <s v="Low"/>
  </r>
  <r>
    <s v="CUST0562"/>
    <n v="27"/>
    <n v="3"/>
    <x v="2"/>
    <n v="1070"/>
    <n v="8"/>
    <n v="17"/>
    <x v="18"/>
    <x v="1"/>
    <s v="No"/>
    <s v="Medium"/>
  </r>
  <r>
    <s v="CUST0563"/>
    <n v="46"/>
    <n v="26"/>
    <x v="0"/>
    <n v="280"/>
    <n v="4"/>
    <n v="18"/>
    <x v="4"/>
    <x v="1"/>
    <s v="Yes"/>
    <s v="High"/>
  </r>
  <r>
    <s v="CUST0564"/>
    <n v="38"/>
    <n v="34"/>
    <x v="1"/>
    <n v="640"/>
    <n v="4"/>
    <n v="17"/>
    <x v="9"/>
    <x v="1"/>
    <s v="No"/>
    <s v="Low"/>
  </r>
  <r>
    <s v="CUST0565"/>
    <n v="28"/>
    <n v="11"/>
    <x v="1"/>
    <n v="455"/>
    <n v="6"/>
    <n v="7"/>
    <x v="10"/>
    <x v="0"/>
    <s v="Yes"/>
    <s v="High"/>
  </r>
  <r>
    <s v="CUST0566"/>
    <n v="32"/>
    <n v="13"/>
    <x v="1"/>
    <n v="684"/>
    <n v="1"/>
    <n v="3"/>
    <x v="3"/>
    <x v="1"/>
    <s v="No"/>
    <s v="Low"/>
  </r>
  <r>
    <s v="CUST0567"/>
    <n v="24"/>
    <n v="23"/>
    <x v="1"/>
    <n v="626"/>
    <n v="0"/>
    <n v="8"/>
    <x v="32"/>
    <x v="0"/>
    <s v="No"/>
    <s v="Low"/>
  </r>
  <r>
    <s v="CUST0568"/>
    <n v="39"/>
    <n v="24"/>
    <x v="1"/>
    <n v="580"/>
    <n v="8"/>
    <n v="22"/>
    <x v="9"/>
    <x v="0"/>
    <s v="Yes"/>
    <s v="High"/>
  </r>
  <r>
    <s v="CUST0569"/>
    <n v="29"/>
    <n v="7"/>
    <x v="1"/>
    <n v="541"/>
    <n v="1"/>
    <n v="6"/>
    <x v="3"/>
    <x v="0"/>
    <s v="No"/>
    <s v="Medium"/>
  </r>
  <r>
    <s v="CUST0570"/>
    <n v="57"/>
    <n v="39"/>
    <x v="0"/>
    <n v="438"/>
    <n v="2"/>
    <n v="2"/>
    <x v="5"/>
    <x v="0"/>
    <s v="No"/>
    <s v="Medium"/>
  </r>
  <r>
    <s v="CUST0571"/>
    <n v="25"/>
    <n v="60"/>
    <x v="2"/>
    <n v="834"/>
    <n v="7"/>
    <n v="29"/>
    <x v="23"/>
    <x v="0"/>
    <s v="Yes"/>
    <s v="High"/>
  </r>
  <r>
    <s v="CUST0572"/>
    <n v="48"/>
    <n v="28"/>
    <x v="1"/>
    <n v="604"/>
    <n v="1"/>
    <n v="9"/>
    <x v="13"/>
    <x v="1"/>
    <s v="No"/>
    <s v="Low"/>
  </r>
  <r>
    <s v="CUST0573"/>
    <n v="44"/>
    <n v="46"/>
    <x v="1"/>
    <n v="717"/>
    <n v="8"/>
    <n v="4"/>
    <x v="1"/>
    <x v="0"/>
    <s v="No"/>
    <s v="Medium"/>
  </r>
  <r>
    <s v="CUST0574"/>
    <n v="37"/>
    <n v="46"/>
    <x v="0"/>
    <n v="361"/>
    <n v="7"/>
    <n v="24"/>
    <x v="16"/>
    <x v="0"/>
    <s v="No"/>
    <s v="Medium"/>
  </r>
  <r>
    <s v="CUST0575"/>
    <n v="55"/>
    <n v="58"/>
    <x v="1"/>
    <n v="541"/>
    <n v="5"/>
    <n v="29"/>
    <x v="34"/>
    <x v="0"/>
    <s v="Yes"/>
    <s v="High"/>
  </r>
  <r>
    <s v="CUST0576"/>
    <n v="55"/>
    <n v="57"/>
    <x v="2"/>
    <n v="941"/>
    <n v="2"/>
    <n v="25"/>
    <x v="3"/>
    <x v="0"/>
    <s v="No"/>
    <s v="Low"/>
  </r>
  <r>
    <s v="CUST0577"/>
    <n v="43"/>
    <n v="34"/>
    <x v="0"/>
    <n v="400"/>
    <n v="1"/>
    <n v="13"/>
    <x v="24"/>
    <x v="1"/>
    <s v="No"/>
    <s v="Low"/>
  </r>
  <r>
    <s v="CUST0578"/>
    <n v="61"/>
    <n v="18"/>
    <x v="1"/>
    <n v="472"/>
    <n v="4"/>
    <n v="10"/>
    <x v="0"/>
    <x v="1"/>
    <s v="No"/>
    <s v="Low"/>
  </r>
  <r>
    <s v="CUST0579"/>
    <n v="21"/>
    <n v="56"/>
    <x v="1"/>
    <n v="682"/>
    <n v="2"/>
    <n v="17"/>
    <x v="13"/>
    <x v="1"/>
    <s v="Yes"/>
    <s v="High"/>
  </r>
  <r>
    <s v="CUST0580"/>
    <n v="43"/>
    <n v="2"/>
    <x v="1"/>
    <n v="528"/>
    <n v="2"/>
    <n v="29"/>
    <x v="34"/>
    <x v="0"/>
    <s v="Yes"/>
    <s v="High"/>
  </r>
  <r>
    <s v="CUST0581"/>
    <n v="27"/>
    <n v="4"/>
    <x v="1"/>
    <n v="481"/>
    <n v="1"/>
    <n v="29"/>
    <x v="36"/>
    <x v="1"/>
    <s v="No"/>
    <s v="Medium"/>
  </r>
  <r>
    <s v="CUST0582"/>
    <n v="21"/>
    <n v="22"/>
    <x v="2"/>
    <n v="1050"/>
    <n v="5"/>
    <n v="18"/>
    <x v="6"/>
    <x v="1"/>
    <s v="No"/>
    <s v="Medium"/>
  </r>
  <r>
    <s v="CUST0583"/>
    <n v="46"/>
    <n v="54"/>
    <x v="1"/>
    <n v="483"/>
    <n v="8"/>
    <n v="6"/>
    <x v="13"/>
    <x v="1"/>
    <s v="Yes"/>
    <s v="High"/>
  </r>
  <r>
    <s v="CUST0584"/>
    <n v="32"/>
    <n v="45"/>
    <x v="1"/>
    <n v="451"/>
    <n v="4"/>
    <n v="19"/>
    <x v="25"/>
    <x v="1"/>
    <s v="No"/>
    <s v="Low"/>
  </r>
  <r>
    <s v="CUST0585"/>
    <n v="56"/>
    <n v="54"/>
    <x v="1"/>
    <n v="687"/>
    <n v="1"/>
    <n v="4"/>
    <x v="10"/>
    <x v="1"/>
    <s v="No"/>
    <s v="Low"/>
  </r>
  <r>
    <s v="CUST0586"/>
    <n v="21"/>
    <n v="50"/>
    <x v="0"/>
    <n v="252"/>
    <n v="5"/>
    <n v="16"/>
    <x v="3"/>
    <x v="1"/>
    <s v="No"/>
    <s v="Medium"/>
  </r>
  <r>
    <s v="CUST0587"/>
    <n v="35"/>
    <n v="20"/>
    <x v="2"/>
    <n v="1132"/>
    <n v="2"/>
    <n v="11"/>
    <x v="1"/>
    <x v="1"/>
    <s v="Yes"/>
    <s v="High"/>
  </r>
  <r>
    <s v="CUST0588"/>
    <n v="40"/>
    <n v="27"/>
    <x v="0"/>
    <n v="298"/>
    <n v="2"/>
    <n v="11"/>
    <x v="14"/>
    <x v="1"/>
    <s v="No"/>
    <s v="Low"/>
  </r>
  <r>
    <s v="CUST0589"/>
    <n v="25"/>
    <n v="32"/>
    <x v="1"/>
    <n v="628"/>
    <n v="8"/>
    <n v="16"/>
    <x v="7"/>
    <x v="1"/>
    <s v="No"/>
    <s v="Medium"/>
  </r>
  <r>
    <s v="CUST0590"/>
    <n v="57"/>
    <n v="25"/>
    <x v="0"/>
    <n v="395"/>
    <n v="6"/>
    <n v="13"/>
    <x v="16"/>
    <x v="1"/>
    <s v="No"/>
    <s v="Medium"/>
  </r>
  <r>
    <s v="CUST0591"/>
    <n v="38"/>
    <n v="14"/>
    <x v="0"/>
    <n v="378"/>
    <n v="4"/>
    <n v="4"/>
    <x v="2"/>
    <x v="1"/>
    <s v="Yes"/>
    <s v="High"/>
  </r>
  <r>
    <s v="CUST0592"/>
    <n v="27"/>
    <n v="34"/>
    <x v="1"/>
    <n v="693"/>
    <n v="7"/>
    <n v="20"/>
    <x v="18"/>
    <x v="1"/>
    <s v="No"/>
    <s v="Medium"/>
  </r>
  <r>
    <s v="CUST0593"/>
    <n v="62"/>
    <n v="38"/>
    <x v="2"/>
    <n v="1072"/>
    <n v="5"/>
    <n v="29"/>
    <x v="23"/>
    <x v="1"/>
    <s v="No"/>
    <s v="Medium"/>
  </r>
  <r>
    <s v="CUST0594"/>
    <n v="26"/>
    <n v="12"/>
    <x v="2"/>
    <n v="989"/>
    <n v="8"/>
    <n v="7"/>
    <x v="32"/>
    <x v="0"/>
    <s v="No"/>
    <s v="Medium"/>
  </r>
  <r>
    <s v="CUST0595"/>
    <n v="59"/>
    <n v="30"/>
    <x v="1"/>
    <n v="672"/>
    <n v="6"/>
    <n v="17"/>
    <x v="3"/>
    <x v="1"/>
    <s v="No"/>
    <s v="Medium"/>
  </r>
  <r>
    <s v="CUST0596"/>
    <n v="63"/>
    <n v="26"/>
    <x v="0"/>
    <n v="309"/>
    <n v="6"/>
    <n v="15"/>
    <x v="2"/>
    <x v="0"/>
    <s v="No"/>
    <s v="Medium"/>
  </r>
  <r>
    <s v="CUST0597"/>
    <n v="45"/>
    <n v="38"/>
    <x v="0"/>
    <n v="381"/>
    <n v="8"/>
    <n v="8"/>
    <x v="30"/>
    <x v="1"/>
    <s v="No"/>
    <s v="Medium"/>
  </r>
  <r>
    <s v="CUST0598"/>
    <n v="23"/>
    <n v="6"/>
    <x v="0"/>
    <n v="446"/>
    <n v="5"/>
    <n v="16"/>
    <x v="32"/>
    <x v="1"/>
    <s v="No"/>
    <s v="Medium"/>
  </r>
  <r>
    <s v="CUST0599"/>
    <n v="62"/>
    <n v="10"/>
    <x v="0"/>
    <n v="294"/>
    <n v="1"/>
    <n v="7"/>
    <x v="17"/>
    <x v="1"/>
    <s v="Yes"/>
    <s v="High"/>
  </r>
  <r>
    <s v="CUST0600"/>
    <n v="63"/>
    <n v="36"/>
    <x v="2"/>
    <n v="994"/>
    <n v="2"/>
    <n v="13"/>
    <x v="26"/>
    <x v="1"/>
    <s v="No"/>
    <s v="Low"/>
  </r>
  <r>
    <s v="CUST0601"/>
    <n v="45"/>
    <n v="45"/>
    <x v="0"/>
    <n v="370"/>
    <n v="7"/>
    <n v="24"/>
    <x v="17"/>
    <x v="1"/>
    <s v="Yes"/>
    <s v="High"/>
  </r>
  <r>
    <s v="CUST0602"/>
    <n v="28"/>
    <n v="26"/>
    <x v="1"/>
    <n v="667"/>
    <n v="6"/>
    <n v="19"/>
    <x v="9"/>
    <x v="1"/>
    <s v="No"/>
    <s v="Medium"/>
  </r>
  <r>
    <s v="CUST0603"/>
    <n v="57"/>
    <n v="2"/>
    <x v="0"/>
    <n v="405"/>
    <n v="3"/>
    <n v="13"/>
    <x v="6"/>
    <x v="1"/>
    <s v="No"/>
    <s v="Medium"/>
  </r>
  <r>
    <s v="CUST0604"/>
    <n v="45"/>
    <n v="59"/>
    <x v="0"/>
    <n v="308"/>
    <n v="3"/>
    <n v="3"/>
    <x v="27"/>
    <x v="1"/>
    <s v="No"/>
    <s v="Low"/>
  </r>
  <r>
    <s v="CUST0605"/>
    <n v="41"/>
    <n v="25"/>
    <x v="1"/>
    <n v="527"/>
    <n v="4"/>
    <n v="14"/>
    <x v="0"/>
    <x v="1"/>
    <s v="No"/>
    <s v="Low"/>
  </r>
  <r>
    <s v="CUST0606"/>
    <n v="31"/>
    <n v="11"/>
    <x v="1"/>
    <n v="504"/>
    <n v="1"/>
    <n v="13"/>
    <x v="28"/>
    <x v="0"/>
    <s v="Yes"/>
    <s v="High"/>
  </r>
  <r>
    <s v="CUST0607"/>
    <n v="45"/>
    <n v="52"/>
    <x v="2"/>
    <n v="815"/>
    <n v="8"/>
    <n v="14"/>
    <x v="18"/>
    <x v="0"/>
    <s v="No"/>
    <s v="Medium"/>
  </r>
  <r>
    <s v="CUST0608"/>
    <n v="47"/>
    <n v="50"/>
    <x v="0"/>
    <n v="358"/>
    <n v="1"/>
    <n v="21"/>
    <x v="18"/>
    <x v="0"/>
    <s v="No"/>
    <s v="Low"/>
  </r>
  <r>
    <s v="CUST0609"/>
    <n v="52"/>
    <n v="24"/>
    <x v="1"/>
    <n v="621"/>
    <n v="8"/>
    <n v="13"/>
    <x v="23"/>
    <x v="1"/>
    <s v="No"/>
    <s v="Medium"/>
  </r>
  <r>
    <s v="CUST0610"/>
    <n v="63"/>
    <n v="6"/>
    <x v="0"/>
    <n v="336"/>
    <n v="8"/>
    <n v="28"/>
    <x v="23"/>
    <x v="1"/>
    <s v="No"/>
    <s v="Medium"/>
  </r>
  <r>
    <s v="CUST0611"/>
    <n v="47"/>
    <n v="4"/>
    <x v="1"/>
    <n v="512"/>
    <n v="7"/>
    <n v="16"/>
    <x v="34"/>
    <x v="0"/>
    <s v="Yes"/>
    <s v="High"/>
  </r>
  <r>
    <s v="CUST0612"/>
    <n v="41"/>
    <n v="44"/>
    <x v="0"/>
    <n v="256"/>
    <n v="2"/>
    <n v="11"/>
    <x v="29"/>
    <x v="1"/>
    <s v="Yes"/>
    <s v="High"/>
  </r>
  <r>
    <s v="CUST0613"/>
    <n v="40"/>
    <n v="20"/>
    <x v="1"/>
    <n v="507"/>
    <n v="0"/>
    <n v="19"/>
    <x v="13"/>
    <x v="1"/>
    <s v="Yes"/>
    <s v="High"/>
  </r>
  <r>
    <s v="CUST0614"/>
    <n v="29"/>
    <n v="41"/>
    <x v="1"/>
    <n v="626"/>
    <n v="3"/>
    <n v="28"/>
    <x v="6"/>
    <x v="0"/>
    <s v="No"/>
    <s v="Medium"/>
  </r>
  <r>
    <s v="CUST0615"/>
    <n v="53"/>
    <n v="37"/>
    <x v="1"/>
    <n v="617"/>
    <n v="0"/>
    <n v="6"/>
    <x v="5"/>
    <x v="0"/>
    <s v="Yes"/>
    <s v="High"/>
  </r>
  <r>
    <s v="CUST0616"/>
    <n v="52"/>
    <n v="47"/>
    <x v="0"/>
    <n v="413"/>
    <n v="6"/>
    <n v="2"/>
    <x v="28"/>
    <x v="1"/>
    <s v="No"/>
    <s v="Medium"/>
  </r>
  <r>
    <s v="CUST0617"/>
    <n v="61"/>
    <n v="48"/>
    <x v="2"/>
    <n v="1156"/>
    <n v="3"/>
    <n v="20"/>
    <x v="18"/>
    <x v="1"/>
    <s v="No"/>
    <s v="Low"/>
  </r>
  <r>
    <s v="CUST0618"/>
    <n v="35"/>
    <n v="45"/>
    <x v="1"/>
    <n v="743"/>
    <n v="3"/>
    <n v="26"/>
    <x v="27"/>
    <x v="0"/>
    <s v="No"/>
    <s v="Low"/>
  </r>
  <r>
    <s v="CUST0619"/>
    <n v="64"/>
    <n v="50"/>
    <x v="0"/>
    <n v="378"/>
    <n v="6"/>
    <n v="7"/>
    <x v="32"/>
    <x v="1"/>
    <s v="Yes"/>
    <s v="High"/>
  </r>
  <r>
    <s v="CUST0620"/>
    <n v="46"/>
    <n v="43"/>
    <x v="0"/>
    <n v="318"/>
    <n v="5"/>
    <n v="5"/>
    <x v="2"/>
    <x v="1"/>
    <s v="Yes"/>
    <s v="High"/>
  </r>
  <r>
    <s v="CUST0621"/>
    <n v="40"/>
    <n v="15"/>
    <x v="0"/>
    <n v="323"/>
    <n v="6"/>
    <n v="22"/>
    <x v="28"/>
    <x v="1"/>
    <s v="No"/>
    <s v="Medium"/>
  </r>
  <r>
    <s v="CUST0622"/>
    <n v="41"/>
    <n v="22"/>
    <x v="0"/>
    <n v="363"/>
    <n v="7"/>
    <n v="8"/>
    <x v="2"/>
    <x v="1"/>
    <s v="Yes"/>
    <s v="High"/>
  </r>
  <r>
    <s v="CUST0623"/>
    <n v="44"/>
    <n v="17"/>
    <x v="1"/>
    <n v="742"/>
    <n v="7"/>
    <n v="19"/>
    <x v="23"/>
    <x v="0"/>
    <s v="No"/>
    <s v="Medium"/>
  </r>
  <r>
    <s v="CUST0624"/>
    <n v="39"/>
    <n v="19"/>
    <x v="1"/>
    <n v="689"/>
    <n v="2"/>
    <n v="21"/>
    <x v="13"/>
    <x v="1"/>
    <s v="No"/>
    <s v="Low"/>
  </r>
  <r>
    <s v="CUST0625"/>
    <n v="56"/>
    <n v="28"/>
    <x v="1"/>
    <n v="461"/>
    <n v="4"/>
    <n v="19"/>
    <x v="18"/>
    <x v="1"/>
    <s v="No"/>
    <s v="Low"/>
  </r>
  <r>
    <s v="CUST0626"/>
    <n v="44"/>
    <n v="39"/>
    <x v="2"/>
    <n v="952"/>
    <n v="3"/>
    <n v="8"/>
    <x v="36"/>
    <x v="0"/>
    <s v="No"/>
    <s v="Medium"/>
  </r>
  <r>
    <s v="CUST0627"/>
    <n v="31"/>
    <n v="56"/>
    <x v="0"/>
    <n v="449"/>
    <n v="6"/>
    <n v="13"/>
    <x v="13"/>
    <x v="1"/>
    <s v="Yes"/>
    <s v="High"/>
  </r>
  <r>
    <s v="CUST0628"/>
    <n v="43"/>
    <n v="41"/>
    <x v="0"/>
    <n v="425"/>
    <n v="8"/>
    <n v="19"/>
    <x v="28"/>
    <x v="1"/>
    <s v="No"/>
    <s v="Medium"/>
  </r>
  <r>
    <s v="CUST0629"/>
    <n v="51"/>
    <n v="49"/>
    <x v="1"/>
    <n v="530"/>
    <n v="2"/>
    <n v="14"/>
    <x v="32"/>
    <x v="1"/>
    <s v="No"/>
    <s v="Low"/>
  </r>
  <r>
    <s v="CUST0630"/>
    <n v="31"/>
    <n v="44"/>
    <x v="2"/>
    <n v="1084"/>
    <n v="6"/>
    <n v="15"/>
    <x v="30"/>
    <x v="1"/>
    <s v="No"/>
    <s v="Medium"/>
  </r>
  <r>
    <s v="CUST0631"/>
    <n v="59"/>
    <n v="15"/>
    <x v="0"/>
    <n v="408"/>
    <n v="6"/>
    <n v="2"/>
    <x v="32"/>
    <x v="1"/>
    <s v="No"/>
    <s v="Medium"/>
  </r>
  <r>
    <s v="CUST0632"/>
    <n v="25"/>
    <n v="24"/>
    <x v="0"/>
    <n v="403"/>
    <n v="8"/>
    <n v="29"/>
    <x v="26"/>
    <x v="1"/>
    <s v="No"/>
    <s v="Medium"/>
  </r>
  <r>
    <s v="CUST0633"/>
    <n v="49"/>
    <n v="24"/>
    <x v="1"/>
    <n v="539"/>
    <n v="3"/>
    <n v="12"/>
    <x v="10"/>
    <x v="1"/>
    <s v="No"/>
    <s v="Low"/>
  </r>
  <r>
    <s v="CUST0634"/>
    <n v="49"/>
    <n v="16"/>
    <x v="1"/>
    <n v="573"/>
    <n v="2"/>
    <n v="16"/>
    <x v="10"/>
    <x v="1"/>
    <s v="Yes"/>
    <s v="High"/>
  </r>
  <r>
    <s v="CUST0635"/>
    <n v="58"/>
    <n v="54"/>
    <x v="0"/>
    <n v="290"/>
    <n v="1"/>
    <n v="2"/>
    <x v="13"/>
    <x v="1"/>
    <s v="No"/>
    <s v="Low"/>
  </r>
  <r>
    <s v="CUST0636"/>
    <n v="50"/>
    <n v="56"/>
    <x v="1"/>
    <n v="663"/>
    <n v="8"/>
    <n v="5"/>
    <x v="21"/>
    <x v="0"/>
    <s v="No"/>
    <s v="Medium"/>
  </r>
  <r>
    <s v="CUST0637"/>
    <n v="54"/>
    <n v="46"/>
    <x v="0"/>
    <n v="373"/>
    <n v="6"/>
    <n v="28"/>
    <x v="7"/>
    <x v="1"/>
    <s v="No"/>
    <s v="Medium"/>
  </r>
  <r>
    <s v="CUST0638"/>
    <n v="52"/>
    <n v="41"/>
    <x v="1"/>
    <n v="513"/>
    <n v="2"/>
    <n v="29"/>
    <x v="21"/>
    <x v="1"/>
    <s v="No"/>
    <s v="Medium"/>
  </r>
  <r>
    <s v="CUST0639"/>
    <n v="27"/>
    <n v="47"/>
    <x v="0"/>
    <n v="355"/>
    <n v="3"/>
    <n v="27"/>
    <x v="6"/>
    <x v="1"/>
    <s v="No"/>
    <s v="Medium"/>
  </r>
  <r>
    <s v="CUST0640"/>
    <n v="49"/>
    <n v="58"/>
    <x v="1"/>
    <n v="575"/>
    <n v="4"/>
    <n v="12"/>
    <x v="17"/>
    <x v="1"/>
    <s v="No"/>
    <s v="Low"/>
  </r>
  <r>
    <s v="CUST0641"/>
    <n v="48"/>
    <n v="45"/>
    <x v="0"/>
    <n v="320"/>
    <n v="2"/>
    <n v="6"/>
    <x v="15"/>
    <x v="0"/>
    <s v="No"/>
    <s v="Low"/>
  </r>
  <r>
    <s v="CUST0642"/>
    <n v="65"/>
    <n v="19"/>
    <x v="0"/>
    <n v="433"/>
    <n v="4"/>
    <n v="17"/>
    <x v="13"/>
    <x v="0"/>
    <s v="No"/>
    <s v="Low"/>
  </r>
  <r>
    <s v="CUST0643"/>
    <n v="29"/>
    <n v="48"/>
    <x v="2"/>
    <n v="1061"/>
    <n v="4"/>
    <n v="29"/>
    <x v="19"/>
    <x v="1"/>
    <s v="Yes"/>
    <s v="High"/>
  </r>
  <r>
    <s v="CUST0644"/>
    <n v="39"/>
    <n v="10"/>
    <x v="1"/>
    <n v="636"/>
    <n v="8"/>
    <n v="25"/>
    <x v="24"/>
    <x v="0"/>
    <s v="No"/>
    <s v="Medium"/>
  </r>
  <r>
    <s v="CUST0645"/>
    <n v="50"/>
    <n v="40"/>
    <x v="2"/>
    <n v="1050"/>
    <n v="8"/>
    <n v="12"/>
    <x v="28"/>
    <x v="0"/>
    <s v="No"/>
    <s v="Medium"/>
  </r>
  <r>
    <s v="CUST0646"/>
    <n v="53"/>
    <n v="31"/>
    <x v="0"/>
    <n v="347"/>
    <n v="1"/>
    <n v="12"/>
    <x v="18"/>
    <x v="1"/>
    <s v="Yes"/>
    <s v="High"/>
  </r>
  <r>
    <s v="CUST0647"/>
    <n v="29"/>
    <n v="18"/>
    <x v="1"/>
    <n v="511"/>
    <n v="3"/>
    <n v="13"/>
    <x v="16"/>
    <x v="1"/>
    <s v="Yes"/>
    <s v="High"/>
  </r>
  <r>
    <s v="CUST0648"/>
    <n v="53"/>
    <n v="58"/>
    <x v="0"/>
    <n v="301"/>
    <n v="0"/>
    <n v="14"/>
    <x v="13"/>
    <x v="1"/>
    <s v="No"/>
    <s v="Low"/>
  </r>
  <r>
    <s v="CUST0649"/>
    <n v="52"/>
    <n v="5"/>
    <x v="0"/>
    <n v="386"/>
    <n v="1"/>
    <n v="27"/>
    <x v="30"/>
    <x v="1"/>
    <s v="Yes"/>
    <s v="High"/>
  </r>
  <r>
    <s v="CUST0650"/>
    <n v="31"/>
    <n v="45"/>
    <x v="2"/>
    <n v="1103"/>
    <n v="7"/>
    <n v="7"/>
    <x v="23"/>
    <x v="1"/>
    <s v="No"/>
    <s v="Medium"/>
  </r>
  <r>
    <s v="CUST0651"/>
    <n v="55"/>
    <n v="18"/>
    <x v="0"/>
    <n v="298"/>
    <n v="8"/>
    <n v="11"/>
    <x v="26"/>
    <x v="1"/>
    <s v="No"/>
    <s v="Medium"/>
  </r>
  <r>
    <s v="CUST0652"/>
    <n v="49"/>
    <n v="7"/>
    <x v="1"/>
    <n v="476"/>
    <n v="1"/>
    <n v="8"/>
    <x v="10"/>
    <x v="1"/>
    <s v="No"/>
    <s v="Medium"/>
  </r>
  <r>
    <s v="CUST0653"/>
    <n v="50"/>
    <n v="13"/>
    <x v="0"/>
    <n v="400"/>
    <n v="7"/>
    <n v="11"/>
    <x v="5"/>
    <x v="0"/>
    <s v="Yes"/>
    <s v="High"/>
  </r>
  <r>
    <s v="CUST0654"/>
    <n v="48"/>
    <n v="50"/>
    <x v="1"/>
    <n v="683"/>
    <n v="4"/>
    <n v="26"/>
    <x v="0"/>
    <x v="1"/>
    <s v="No"/>
    <s v="Low"/>
  </r>
  <r>
    <s v="CUST0655"/>
    <n v="60"/>
    <n v="12"/>
    <x v="0"/>
    <n v="373"/>
    <n v="4"/>
    <n v="10"/>
    <x v="14"/>
    <x v="1"/>
    <s v="No"/>
    <s v="Low"/>
  </r>
  <r>
    <s v="CUST0656"/>
    <n v="39"/>
    <n v="41"/>
    <x v="1"/>
    <n v="543"/>
    <n v="0"/>
    <n v="12"/>
    <x v="0"/>
    <x v="0"/>
    <s v="No"/>
    <s v="Low"/>
  </r>
  <r>
    <s v="CUST0657"/>
    <n v="51"/>
    <n v="11"/>
    <x v="0"/>
    <n v="444"/>
    <n v="4"/>
    <n v="5"/>
    <x v="24"/>
    <x v="1"/>
    <s v="No"/>
    <s v="Medium"/>
  </r>
  <r>
    <s v="CUST0658"/>
    <n v="31"/>
    <n v="13"/>
    <x v="1"/>
    <n v="568"/>
    <n v="4"/>
    <n v="18"/>
    <x v="25"/>
    <x v="1"/>
    <s v="No"/>
    <s v="Low"/>
  </r>
  <r>
    <s v="CUST0659"/>
    <n v="50"/>
    <n v="7"/>
    <x v="1"/>
    <n v="557"/>
    <n v="2"/>
    <n v="12"/>
    <x v="24"/>
    <x v="0"/>
    <s v="No"/>
    <s v="Medium"/>
  </r>
  <r>
    <s v="CUST0660"/>
    <n v="59"/>
    <n v="43"/>
    <x v="0"/>
    <n v="382"/>
    <n v="6"/>
    <n v="26"/>
    <x v="1"/>
    <x v="0"/>
    <s v="Yes"/>
    <s v="High"/>
  </r>
  <r>
    <s v="CUST0661"/>
    <n v="36"/>
    <n v="31"/>
    <x v="2"/>
    <n v="824"/>
    <n v="4"/>
    <n v="12"/>
    <x v="15"/>
    <x v="1"/>
    <s v="No"/>
    <s v="Low"/>
  </r>
  <r>
    <s v="CUST0662"/>
    <n v="56"/>
    <n v="26"/>
    <x v="1"/>
    <n v="656"/>
    <n v="6"/>
    <n v="13"/>
    <x v="20"/>
    <x v="1"/>
    <s v="Yes"/>
    <s v="High"/>
  </r>
  <r>
    <s v="CUST0663"/>
    <n v="49"/>
    <n v="50"/>
    <x v="0"/>
    <n v="430"/>
    <n v="4"/>
    <n v="11"/>
    <x v="17"/>
    <x v="1"/>
    <s v="No"/>
    <s v="Low"/>
  </r>
  <r>
    <s v="CUST0664"/>
    <n v="55"/>
    <n v="36"/>
    <x v="1"/>
    <n v="707"/>
    <n v="4"/>
    <n v="5"/>
    <x v="15"/>
    <x v="1"/>
    <s v="Yes"/>
    <s v="High"/>
  </r>
  <r>
    <s v="CUST0665"/>
    <n v="50"/>
    <n v="47"/>
    <x v="1"/>
    <n v="649"/>
    <n v="7"/>
    <n v="9"/>
    <x v="15"/>
    <x v="1"/>
    <s v="Yes"/>
    <s v="High"/>
  </r>
  <r>
    <s v="CUST0666"/>
    <n v="60"/>
    <n v="22"/>
    <x v="0"/>
    <n v="344"/>
    <n v="1"/>
    <n v="17"/>
    <x v="12"/>
    <x v="1"/>
    <s v="No"/>
    <s v="Low"/>
  </r>
  <r>
    <s v="CUST0667"/>
    <n v="40"/>
    <n v="50"/>
    <x v="1"/>
    <n v="527"/>
    <n v="4"/>
    <n v="20"/>
    <x v="17"/>
    <x v="1"/>
    <s v="No"/>
    <s v="Low"/>
  </r>
  <r>
    <s v="CUST0668"/>
    <n v="62"/>
    <n v="17"/>
    <x v="1"/>
    <n v="461"/>
    <n v="1"/>
    <n v="29"/>
    <x v="23"/>
    <x v="0"/>
    <s v="No"/>
    <s v="Low"/>
  </r>
  <r>
    <s v="CUST0669"/>
    <n v="40"/>
    <n v="55"/>
    <x v="1"/>
    <n v="678"/>
    <n v="3"/>
    <n v="7"/>
    <x v="32"/>
    <x v="1"/>
    <s v="Yes"/>
    <s v="High"/>
  </r>
  <r>
    <s v="CUST0670"/>
    <n v="65"/>
    <n v="17"/>
    <x v="0"/>
    <n v="441"/>
    <n v="1"/>
    <n v="22"/>
    <x v="26"/>
    <x v="1"/>
    <s v="No"/>
    <s v="Low"/>
  </r>
  <r>
    <s v="CUST0671"/>
    <n v="51"/>
    <n v="52"/>
    <x v="0"/>
    <n v="385"/>
    <n v="5"/>
    <n v="2"/>
    <x v="36"/>
    <x v="0"/>
    <s v="No"/>
    <s v="Medium"/>
  </r>
  <r>
    <s v="CUST0672"/>
    <n v="40"/>
    <n v="51"/>
    <x v="1"/>
    <n v="744"/>
    <n v="1"/>
    <n v="25"/>
    <x v="16"/>
    <x v="1"/>
    <s v="Yes"/>
    <s v="High"/>
  </r>
  <r>
    <s v="CUST0673"/>
    <n v="55"/>
    <n v="50"/>
    <x v="0"/>
    <n v="290"/>
    <n v="1"/>
    <n v="20"/>
    <x v="30"/>
    <x v="0"/>
    <s v="No"/>
    <s v="Low"/>
  </r>
  <r>
    <s v="CUST0674"/>
    <n v="63"/>
    <n v="28"/>
    <x v="2"/>
    <n v="1200"/>
    <n v="2"/>
    <n v="22"/>
    <x v="2"/>
    <x v="1"/>
    <s v="Yes"/>
    <s v="High"/>
  </r>
  <r>
    <s v="CUST0675"/>
    <n v="56"/>
    <n v="22"/>
    <x v="1"/>
    <n v="671"/>
    <n v="6"/>
    <n v="20"/>
    <x v="32"/>
    <x v="1"/>
    <s v="Yes"/>
    <s v="High"/>
  </r>
  <r>
    <s v="CUST0676"/>
    <n v="40"/>
    <n v="28"/>
    <x v="0"/>
    <n v="307"/>
    <n v="5"/>
    <n v="19"/>
    <x v="12"/>
    <x v="1"/>
    <s v="No"/>
    <s v="Medium"/>
  </r>
  <r>
    <s v="CUST0677"/>
    <n v="56"/>
    <n v="60"/>
    <x v="1"/>
    <n v="745"/>
    <n v="3"/>
    <n v="26"/>
    <x v="14"/>
    <x v="1"/>
    <s v="No"/>
    <s v="Low"/>
  </r>
  <r>
    <s v="CUST0678"/>
    <n v="22"/>
    <n v="50"/>
    <x v="0"/>
    <n v="339"/>
    <n v="5"/>
    <n v="9"/>
    <x v="26"/>
    <x v="0"/>
    <s v="Yes"/>
    <s v="High"/>
  </r>
  <r>
    <s v="CUST0679"/>
    <n v="30"/>
    <n v="28"/>
    <x v="2"/>
    <n v="1145"/>
    <n v="5"/>
    <n v="2"/>
    <x v="1"/>
    <x v="1"/>
    <s v="No"/>
    <s v="Medium"/>
  </r>
  <r>
    <s v="CUST0680"/>
    <n v="44"/>
    <n v="2"/>
    <x v="1"/>
    <n v="556"/>
    <n v="0"/>
    <n v="16"/>
    <x v="9"/>
    <x v="1"/>
    <s v="Yes"/>
    <s v="High"/>
  </r>
  <r>
    <s v="CUST0681"/>
    <n v="44"/>
    <n v="38"/>
    <x v="2"/>
    <n v="1009"/>
    <n v="8"/>
    <n v="5"/>
    <x v="3"/>
    <x v="0"/>
    <s v="No"/>
    <s v="Medium"/>
  </r>
  <r>
    <s v="CUST0682"/>
    <n v="42"/>
    <n v="48"/>
    <x v="2"/>
    <n v="857"/>
    <n v="1"/>
    <n v="27"/>
    <x v="14"/>
    <x v="1"/>
    <s v="No"/>
    <s v="Low"/>
  </r>
  <r>
    <s v="CUST0683"/>
    <n v="52"/>
    <n v="8"/>
    <x v="2"/>
    <n v="944"/>
    <n v="6"/>
    <n v="14"/>
    <x v="23"/>
    <x v="1"/>
    <s v="Yes"/>
    <s v="High"/>
  </r>
  <r>
    <s v="CUST0684"/>
    <n v="24"/>
    <n v="28"/>
    <x v="2"/>
    <n v="867"/>
    <n v="1"/>
    <n v="22"/>
    <x v="18"/>
    <x v="1"/>
    <s v="No"/>
    <s v="Low"/>
  </r>
  <r>
    <s v="CUST0685"/>
    <n v="50"/>
    <n v="2"/>
    <x v="2"/>
    <n v="773"/>
    <n v="2"/>
    <n v="29"/>
    <x v="13"/>
    <x v="1"/>
    <s v="Yes"/>
    <s v="High"/>
  </r>
  <r>
    <s v="CUST0686"/>
    <n v="64"/>
    <n v="31"/>
    <x v="1"/>
    <n v="557"/>
    <n v="4"/>
    <n v="13"/>
    <x v="12"/>
    <x v="1"/>
    <s v="No"/>
    <s v="Low"/>
  </r>
  <r>
    <s v="CUST0687"/>
    <n v="46"/>
    <n v="12"/>
    <x v="0"/>
    <n v="382"/>
    <n v="2"/>
    <n v="13"/>
    <x v="3"/>
    <x v="1"/>
    <s v="No"/>
    <s v="Low"/>
  </r>
  <r>
    <s v="CUST0688"/>
    <n v="39"/>
    <n v="26"/>
    <x v="1"/>
    <n v="614"/>
    <n v="0"/>
    <n v="12"/>
    <x v="32"/>
    <x v="1"/>
    <s v="No"/>
    <s v="Low"/>
  </r>
  <r>
    <s v="CUST0689"/>
    <n v="29"/>
    <n v="59"/>
    <x v="1"/>
    <n v="643"/>
    <n v="8"/>
    <n v="7"/>
    <x v="17"/>
    <x v="0"/>
    <s v="Yes"/>
    <s v="High"/>
  </r>
  <r>
    <s v="CUST0690"/>
    <n v="24"/>
    <n v="8"/>
    <x v="2"/>
    <n v="1188"/>
    <n v="8"/>
    <n v="16"/>
    <x v="17"/>
    <x v="1"/>
    <s v="No"/>
    <s v="Medium"/>
  </r>
  <r>
    <s v="CUST0691"/>
    <n v="60"/>
    <n v="1"/>
    <x v="0"/>
    <n v="370"/>
    <n v="5"/>
    <n v="23"/>
    <x v="35"/>
    <x v="0"/>
    <s v="Yes"/>
    <s v="High"/>
  </r>
  <r>
    <s v="CUST0692"/>
    <n v="51"/>
    <n v="48"/>
    <x v="2"/>
    <n v="814"/>
    <n v="3"/>
    <n v="18"/>
    <x v="2"/>
    <x v="1"/>
    <s v="No"/>
    <s v="Medium"/>
  </r>
  <r>
    <s v="CUST0693"/>
    <n v="34"/>
    <n v="43"/>
    <x v="0"/>
    <n v="274"/>
    <n v="1"/>
    <n v="9"/>
    <x v="17"/>
    <x v="0"/>
    <s v="No"/>
    <s v="Low"/>
  </r>
  <r>
    <s v="CUST0694"/>
    <n v="49"/>
    <n v="43"/>
    <x v="1"/>
    <n v="745"/>
    <n v="2"/>
    <n v="12"/>
    <x v="26"/>
    <x v="1"/>
    <s v="No"/>
    <s v="Low"/>
  </r>
  <r>
    <s v="CUST0695"/>
    <n v="57"/>
    <n v="48"/>
    <x v="2"/>
    <n v="1073"/>
    <n v="0"/>
    <n v="27"/>
    <x v="10"/>
    <x v="1"/>
    <s v="Yes"/>
    <s v="High"/>
  </r>
  <r>
    <s v="CUST0696"/>
    <n v="35"/>
    <n v="11"/>
    <x v="1"/>
    <n v="742"/>
    <n v="7"/>
    <n v="29"/>
    <x v="14"/>
    <x v="1"/>
    <s v="No"/>
    <s v="Medium"/>
  </r>
  <r>
    <s v="CUST0697"/>
    <n v="56"/>
    <n v="26"/>
    <x v="1"/>
    <n v="682"/>
    <n v="4"/>
    <n v="19"/>
    <x v="21"/>
    <x v="0"/>
    <s v="No"/>
    <s v="Medium"/>
  </r>
  <r>
    <s v="CUST0698"/>
    <n v="41"/>
    <n v="22"/>
    <x v="2"/>
    <n v="924"/>
    <n v="7"/>
    <n v="26"/>
    <x v="14"/>
    <x v="1"/>
    <s v="No"/>
    <s v="Medium"/>
  </r>
  <r>
    <s v="CUST0699"/>
    <n v="62"/>
    <n v="55"/>
    <x v="0"/>
    <n v="382"/>
    <n v="5"/>
    <n v="15"/>
    <x v="33"/>
    <x v="1"/>
    <s v="Yes"/>
    <s v="High"/>
  </r>
  <r>
    <s v="CUST0700"/>
    <n v="49"/>
    <n v="54"/>
    <x v="0"/>
    <n v="390"/>
    <n v="5"/>
    <n v="11"/>
    <x v="22"/>
    <x v="1"/>
    <s v="No"/>
    <s v="Medium"/>
  </r>
  <r>
    <s v="CUST0701"/>
    <n v="25"/>
    <n v="56"/>
    <x v="2"/>
    <n v="1169"/>
    <n v="8"/>
    <n v="8"/>
    <x v="24"/>
    <x v="0"/>
    <s v="Yes"/>
    <s v="High"/>
  </r>
  <r>
    <s v="CUST0702"/>
    <n v="42"/>
    <n v="34"/>
    <x v="1"/>
    <n v="738"/>
    <n v="8"/>
    <n v="18"/>
    <x v="30"/>
    <x v="1"/>
    <s v="No"/>
    <s v="Medium"/>
  </r>
  <r>
    <s v="CUST0703"/>
    <n v="54"/>
    <n v="15"/>
    <x v="1"/>
    <n v="535"/>
    <n v="2"/>
    <n v="5"/>
    <x v="0"/>
    <x v="0"/>
    <s v="No"/>
    <s v="Low"/>
  </r>
  <r>
    <s v="CUST0704"/>
    <n v="65"/>
    <n v="10"/>
    <x v="1"/>
    <n v="667"/>
    <n v="3"/>
    <n v="10"/>
    <x v="16"/>
    <x v="1"/>
    <s v="No"/>
    <s v="Medium"/>
  </r>
  <r>
    <s v="CUST0705"/>
    <n v="45"/>
    <n v="19"/>
    <x v="1"/>
    <n v="665"/>
    <n v="7"/>
    <n v="12"/>
    <x v="29"/>
    <x v="1"/>
    <s v="Yes"/>
    <s v="High"/>
  </r>
  <r>
    <s v="CUST0706"/>
    <n v="55"/>
    <n v="43"/>
    <x v="0"/>
    <n v="437"/>
    <n v="6"/>
    <n v="6"/>
    <x v="9"/>
    <x v="1"/>
    <s v="No"/>
    <s v="Medium"/>
  </r>
  <r>
    <s v="CUST0707"/>
    <n v="35"/>
    <n v="26"/>
    <x v="1"/>
    <n v="664"/>
    <n v="3"/>
    <n v="9"/>
    <x v="10"/>
    <x v="0"/>
    <s v="No"/>
    <s v="Low"/>
  </r>
  <r>
    <s v="CUST0708"/>
    <n v="45"/>
    <n v="8"/>
    <x v="1"/>
    <n v="527"/>
    <n v="7"/>
    <n v="6"/>
    <x v="32"/>
    <x v="0"/>
    <s v="No"/>
    <s v="Medium"/>
  </r>
  <r>
    <s v="CUST0709"/>
    <n v="20"/>
    <n v="41"/>
    <x v="0"/>
    <n v="329"/>
    <n v="7"/>
    <n v="9"/>
    <x v="25"/>
    <x v="1"/>
    <s v="No"/>
    <s v="Medium"/>
  </r>
  <r>
    <s v="CUST0710"/>
    <n v="49"/>
    <n v="10"/>
    <x v="0"/>
    <n v="443"/>
    <n v="4"/>
    <n v="3"/>
    <x v="2"/>
    <x v="1"/>
    <s v="No"/>
    <s v="Medium"/>
  </r>
  <r>
    <s v="CUST0711"/>
    <n v="27"/>
    <n v="41"/>
    <x v="1"/>
    <n v="536"/>
    <n v="7"/>
    <n v="26"/>
    <x v="32"/>
    <x v="1"/>
    <s v="No"/>
    <s v="Medium"/>
  </r>
  <r>
    <s v="CUST0712"/>
    <n v="58"/>
    <n v="56"/>
    <x v="1"/>
    <n v="703"/>
    <n v="6"/>
    <n v="15"/>
    <x v="30"/>
    <x v="1"/>
    <s v="Yes"/>
    <s v="High"/>
  </r>
  <r>
    <s v="CUST0713"/>
    <n v="37"/>
    <n v="54"/>
    <x v="1"/>
    <n v="578"/>
    <n v="8"/>
    <n v="12"/>
    <x v="33"/>
    <x v="0"/>
    <s v="Yes"/>
    <s v="High"/>
  </r>
  <r>
    <s v="CUST0714"/>
    <n v="26"/>
    <n v="46"/>
    <x v="2"/>
    <n v="1003"/>
    <n v="3"/>
    <n v="20"/>
    <x v="27"/>
    <x v="1"/>
    <s v="No"/>
    <s v="Low"/>
  </r>
  <r>
    <s v="CUST0715"/>
    <n v="65"/>
    <n v="32"/>
    <x v="1"/>
    <n v="642"/>
    <n v="8"/>
    <n v="29"/>
    <x v="27"/>
    <x v="1"/>
    <s v="No"/>
    <s v="Medium"/>
  </r>
  <r>
    <s v="CUST0716"/>
    <n v="61"/>
    <n v="7"/>
    <x v="1"/>
    <n v="572"/>
    <n v="6"/>
    <n v="28"/>
    <x v="25"/>
    <x v="1"/>
    <s v="No"/>
    <s v="Medium"/>
  </r>
  <r>
    <s v="CUST0717"/>
    <n v="42"/>
    <n v="42"/>
    <x v="1"/>
    <n v="743"/>
    <n v="8"/>
    <n v="3"/>
    <x v="9"/>
    <x v="1"/>
    <s v="No"/>
    <s v="Medium"/>
  </r>
  <r>
    <s v="CUST0718"/>
    <n v="62"/>
    <n v="59"/>
    <x v="0"/>
    <n v="395"/>
    <n v="5"/>
    <n v="5"/>
    <x v="2"/>
    <x v="1"/>
    <s v="Yes"/>
    <s v="High"/>
  </r>
  <r>
    <s v="CUST0719"/>
    <n v="21"/>
    <n v="47"/>
    <x v="1"/>
    <n v="633"/>
    <n v="5"/>
    <n v="13"/>
    <x v="7"/>
    <x v="1"/>
    <s v="Yes"/>
    <s v="High"/>
  </r>
  <r>
    <s v="CUST0720"/>
    <n v="49"/>
    <n v="45"/>
    <x v="2"/>
    <n v="857"/>
    <n v="8"/>
    <n v="26"/>
    <x v="18"/>
    <x v="0"/>
    <s v="No"/>
    <s v="Medium"/>
  </r>
  <r>
    <s v="CUST0721"/>
    <n v="45"/>
    <n v="49"/>
    <x v="0"/>
    <n v="294"/>
    <n v="1"/>
    <n v="12"/>
    <x v="6"/>
    <x v="0"/>
    <s v="No"/>
    <s v="Medium"/>
  </r>
  <r>
    <s v="CUST0722"/>
    <n v="40"/>
    <n v="54"/>
    <x v="0"/>
    <n v="434"/>
    <n v="6"/>
    <n v="12"/>
    <x v="24"/>
    <x v="1"/>
    <s v="No"/>
    <s v="Medium"/>
  </r>
  <r>
    <s v="CUST0723"/>
    <n v="44"/>
    <n v="13"/>
    <x v="0"/>
    <n v="431"/>
    <n v="5"/>
    <n v="27"/>
    <x v="4"/>
    <x v="1"/>
    <s v="Yes"/>
    <s v="High"/>
  </r>
  <r>
    <s v="CUST0724"/>
    <n v="21"/>
    <n v="8"/>
    <x v="0"/>
    <n v="329"/>
    <n v="8"/>
    <n v="11"/>
    <x v="3"/>
    <x v="0"/>
    <s v="No"/>
    <s v="Medium"/>
  </r>
  <r>
    <s v="CUST0725"/>
    <n v="45"/>
    <n v="40"/>
    <x v="1"/>
    <n v="497"/>
    <n v="6"/>
    <n v="29"/>
    <x v="18"/>
    <x v="1"/>
    <s v="No"/>
    <s v="Medium"/>
  </r>
  <r>
    <s v="CUST0726"/>
    <n v="44"/>
    <n v="7"/>
    <x v="2"/>
    <n v="1064"/>
    <n v="1"/>
    <n v="12"/>
    <x v="29"/>
    <x v="0"/>
    <s v="No"/>
    <s v="Medium"/>
  </r>
  <r>
    <s v="CUST0727"/>
    <n v="22"/>
    <n v="16"/>
    <x v="1"/>
    <n v="590"/>
    <n v="7"/>
    <n v="9"/>
    <x v="1"/>
    <x v="1"/>
    <s v="Yes"/>
    <s v="High"/>
  </r>
  <r>
    <s v="CUST0728"/>
    <n v="61"/>
    <n v="52"/>
    <x v="0"/>
    <n v="253"/>
    <n v="0"/>
    <n v="29"/>
    <x v="35"/>
    <x v="1"/>
    <s v="No"/>
    <s v="Medium"/>
  </r>
  <r>
    <s v="CUST0729"/>
    <n v="46"/>
    <n v="36"/>
    <x v="1"/>
    <n v="548"/>
    <n v="2"/>
    <n v="29"/>
    <x v="28"/>
    <x v="1"/>
    <s v="No"/>
    <s v="Medium"/>
  </r>
  <r>
    <s v="CUST0730"/>
    <n v="44"/>
    <n v="48"/>
    <x v="0"/>
    <n v="343"/>
    <n v="5"/>
    <n v="13"/>
    <x v="18"/>
    <x v="0"/>
    <s v="No"/>
    <s v="Medium"/>
  </r>
  <r>
    <s v="CUST0731"/>
    <n v="40"/>
    <n v="35"/>
    <x v="1"/>
    <n v="518"/>
    <n v="3"/>
    <n v="27"/>
    <x v="0"/>
    <x v="0"/>
    <s v="No"/>
    <s v="Low"/>
  </r>
  <r>
    <s v="CUST0732"/>
    <n v="52"/>
    <n v="46"/>
    <x v="1"/>
    <n v="503"/>
    <n v="3"/>
    <n v="25"/>
    <x v="18"/>
    <x v="1"/>
    <s v="No"/>
    <s v="Low"/>
  </r>
  <r>
    <s v="CUST0733"/>
    <n v="55"/>
    <n v="53"/>
    <x v="2"/>
    <n v="1044"/>
    <n v="0"/>
    <n v="16"/>
    <x v="4"/>
    <x v="1"/>
    <s v="No"/>
    <s v="Medium"/>
  </r>
  <r>
    <s v="CUST0734"/>
    <n v="30"/>
    <n v="2"/>
    <x v="1"/>
    <n v="479"/>
    <n v="7"/>
    <n v="29"/>
    <x v="6"/>
    <x v="0"/>
    <s v="Yes"/>
    <s v="High"/>
  </r>
  <r>
    <s v="CUST0735"/>
    <n v="42"/>
    <n v="5"/>
    <x v="2"/>
    <n v="879"/>
    <n v="0"/>
    <n v="24"/>
    <x v="4"/>
    <x v="0"/>
    <s v="Yes"/>
    <s v="High"/>
  </r>
  <r>
    <s v="CUST0736"/>
    <n v="45"/>
    <n v="14"/>
    <x v="1"/>
    <n v="725"/>
    <n v="4"/>
    <n v="12"/>
    <x v="2"/>
    <x v="1"/>
    <s v="No"/>
    <s v="Medium"/>
  </r>
  <r>
    <s v="CUST0737"/>
    <n v="52"/>
    <n v="27"/>
    <x v="0"/>
    <n v="388"/>
    <n v="0"/>
    <n v="21"/>
    <x v="29"/>
    <x v="1"/>
    <s v="No"/>
    <s v="Low"/>
  </r>
  <r>
    <s v="CUST0738"/>
    <n v="24"/>
    <n v="40"/>
    <x v="0"/>
    <n v="355"/>
    <n v="3"/>
    <n v="9"/>
    <x v="14"/>
    <x v="0"/>
    <s v="No"/>
    <s v="Low"/>
  </r>
  <r>
    <s v="CUST0739"/>
    <n v="31"/>
    <n v="54"/>
    <x v="0"/>
    <n v="416"/>
    <n v="1"/>
    <n v="12"/>
    <x v="9"/>
    <x v="1"/>
    <s v="No"/>
    <s v="Low"/>
  </r>
  <r>
    <s v="CUST0740"/>
    <n v="44"/>
    <n v="52"/>
    <x v="1"/>
    <n v="692"/>
    <n v="5"/>
    <n v="7"/>
    <x v="12"/>
    <x v="1"/>
    <s v="Yes"/>
    <s v="High"/>
  </r>
  <r>
    <s v="CUST0741"/>
    <n v="65"/>
    <n v="28"/>
    <x v="2"/>
    <n v="844"/>
    <n v="4"/>
    <n v="14"/>
    <x v="3"/>
    <x v="1"/>
    <s v="Yes"/>
    <s v="High"/>
  </r>
  <r>
    <s v="CUST0742"/>
    <n v="48"/>
    <n v="49"/>
    <x v="0"/>
    <n v="315"/>
    <n v="0"/>
    <n v="19"/>
    <x v="27"/>
    <x v="1"/>
    <s v="No"/>
    <s v="Low"/>
  </r>
  <r>
    <s v="CUST0743"/>
    <n v="30"/>
    <n v="1"/>
    <x v="2"/>
    <n v="752"/>
    <n v="5"/>
    <n v="14"/>
    <x v="2"/>
    <x v="1"/>
    <s v="Yes"/>
    <s v="High"/>
  </r>
  <r>
    <s v="CUST0744"/>
    <n v="24"/>
    <n v="12"/>
    <x v="0"/>
    <n v="408"/>
    <n v="8"/>
    <n v="8"/>
    <x v="9"/>
    <x v="0"/>
    <s v="Yes"/>
    <s v="High"/>
  </r>
  <r>
    <s v="CUST0745"/>
    <n v="63"/>
    <n v="59"/>
    <x v="0"/>
    <n v="345"/>
    <n v="7"/>
    <n v="24"/>
    <x v="24"/>
    <x v="1"/>
    <s v="No"/>
    <s v="Medium"/>
  </r>
  <r>
    <s v="CUST0746"/>
    <n v="48"/>
    <n v="2"/>
    <x v="1"/>
    <n v="511"/>
    <n v="4"/>
    <n v="11"/>
    <x v="34"/>
    <x v="1"/>
    <s v="No"/>
    <s v="Medium"/>
  </r>
  <r>
    <s v="CUST0747"/>
    <n v="57"/>
    <n v="34"/>
    <x v="0"/>
    <n v="275"/>
    <n v="2"/>
    <n v="21"/>
    <x v="9"/>
    <x v="0"/>
    <s v="No"/>
    <s v="Low"/>
  </r>
  <r>
    <s v="CUST0748"/>
    <n v="44"/>
    <n v="51"/>
    <x v="1"/>
    <n v="733"/>
    <n v="5"/>
    <n v="9"/>
    <x v="19"/>
    <x v="1"/>
    <s v="Yes"/>
    <s v="High"/>
  </r>
  <r>
    <s v="CUST0749"/>
    <n v="51"/>
    <n v="13"/>
    <x v="1"/>
    <n v="633"/>
    <n v="7"/>
    <n v="27"/>
    <x v="7"/>
    <x v="0"/>
    <s v="No"/>
    <s v="Medium"/>
  </r>
  <r>
    <s v="CUST0750"/>
    <n v="53"/>
    <n v="6"/>
    <x v="1"/>
    <n v="719"/>
    <n v="8"/>
    <n v="18"/>
    <x v="5"/>
    <x v="1"/>
    <s v="Yes"/>
    <s v="High"/>
  </r>
  <r>
    <s v="CUST0751"/>
    <n v="32"/>
    <n v="19"/>
    <x v="0"/>
    <n v="364"/>
    <n v="6"/>
    <n v="14"/>
    <x v="32"/>
    <x v="1"/>
    <s v="Yes"/>
    <s v="High"/>
  </r>
  <r>
    <s v="CUST0752"/>
    <n v="55"/>
    <n v="31"/>
    <x v="1"/>
    <n v="704"/>
    <n v="4"/>
    <n v="26"/>
    <x v="17"/>
    <x v="0"/>
    <s v="Yes"/>
    <s v="High"/>
  </r>
  <r>
    <s v="CUST0753"/>
    <n v="22"/>
    <n v="13"/>
    <x v="2"/>
    <n v="1132"/>
    <n v="8"/>
    <n v="7"/>
    <x v="28"/>
    <x v="1"/>
    <s v="Yes"/>
    <s v="High"/>
  </r>
  <r>
    <s v="CUST0754"/>
    <n v="39"/>
    <n v="25"/>
    <x v="0"/>
    <n v="387"/>
    <n v="6"/>
    <n v="25"/>
    <x v="5"/>
    <x v="1"/>
    <s v="No"/>
    <s v="Medium"/>
  </r>
  <r>
    <s v="CUST0755"/>
    <n v="52"/>
    <n v="24"/>
    <x v="1"/>
    <n v="559"/>
    <n v="7"/>
    <n v="7"/>
    <x v="30"/>
    <x v="1"/>
    <s v="Yes"/>
    <s v="High"/>
  </r>
  <r>
    <s v="CUST0756"/>
    <n v="33"/>
    <n v="37"/>
    <x v="1"/>
    <n v="473"/>
    <n v="3"/>
    <n v="30"/>
    <x v="28"/>
    <x v="0"/>
    <s v="No"/>
    <s v="Medium"/>
  </r>
  <r>
    <s v="CUST0757"/>
    <n v="20"/>
    <n v="58"/>
    <x v="0"/>
    <n v="334"/>
    <n v="3"/>
    <n v="13"/>
    <x v="27"/>
    <x v="1"/>
    <s v="No"/>
    <s v="Low"/>
  </r>
  <r>
    <s v="CUST0758"/>
    <n v="59"/>
    <n v="43"/>
    <x v="0"/>
    <n v="358"/>
    <n v="4"/>
    <n v="8"/>
    <x v="0"/>
    <x v="0"/>
    <s v="No"/>
    <s v="Low"/>
  </r>
  <r>
    <s v="CUST0759"/>
    <n v="37"/>
    <n v="27"/>
    <x v="1"/>
    <n v="661"/>
    <n v="4"/>
    <n v="28"/>
    <x v="1"/>
    <x v="1"/>
    <s v="No"/>
    <s v="Low"/>
  </r>
  <r>
    <s v="CUST0760"/>
    <n v="60"/>
    <n v="45"/>
    <x v="1"/>
    <n v="679"/>
    <n v="3"/>
    <n v="4"/>
    <x v="19"/>
    <x v="1"/>
    <s v="Yes"/>
    <s v="High"/>
  </r>
  <r>
    <s v="CUST0761"/>
    <n v="51"/>
    <n v="5"/>
    <x v="0"/>
    <n v="333"/>
    <n v="4"/>
    <n v="23"/>
    <x v="32"/>
    <x v="1"/>
    <s v="Yes"/>
    <s v="High"/>
  </r>
  <r>
    <s v="CUST0762"/>
    <n v="56"/>
    <n v="17"/>
    <x v="0"/>
    <n v="280"/>
    <n v="3"/>
    <n v="4"/>
    <x v="21"/>
    <x v="1"/>
    <s v="No"/>
    <s v="Medium"/>
  </r>
  <r>
    <s v="CUST0763"/>
    <n v="28"/>
    <n v="34"/>
    <x v="2"/>
    <n v="805"/>
    <n v="1"/>
    <n v="9"/>
    <x v="24"/>
    <x v="1"/>
    <s v="No"/>
    <s v="Low"/>
  </r>
  <r>
    <s v="CUST0764"/>
    <n v="24"/>
    <n v="16"/>
    <x v="1"/>
    <n v="674"/>
    <n v="2"/>
    <n v="16"/>
    <x v="10"/>
    <x v="1"/>
    <s v="Yes"/>
    <s v="High"/>
  </r>
  <r>
    <s v="CUST0765"/>
    <n v="52"/>
    <n v="50"/>
    <x v="2"/>
    <n v="1121"/>
    <n v="5"/>
    <n v="3"/>
    <x v="31"/>
    <x v="1"/>
    <s v="No"/>
    <s v="Medium"/>
  </r>
  <r>
    <s v="CUST0766"/>
    <n v="31"/>
    <n v="23"/>
    <x v="1"/>
    <n v="478"/>
    <n v="6"/>
    <n v="6"/>
    <x v="28"/>
    <x v="0"/>
    <s v="No"/>
    <s v="Medium"/>
  </r>
  <r>
    <s v="CUST0767"/>
    <n v="34"/>
    <n v="12"/>
    <x v="1"/>
    <n v="674"/>
    <n v="7"/>
    <n v="4"/>
    <x v="7"/>
    <x v="1"/>
    <s v="Yes"/>
    <s v="High"/>
  </r>
  <r>
    <s v="CUST0768"/>
    <n v="55"/>
    <n v="21"/>
    <x v="0"/>
    <n v="425"/>
    <n v="8"/>
    <n v="19"/>
    <x v="19"/>
    <x v="1"/>
    <s v="No"/>
    <s v="Medium"/>
  </r>
  <r>
    <s v="CUST0769"/>
    <n v="40"/>
    <n v="24"/>
    <x v="0"/>
    <n v="276"/>
    <n v="6"/>
    <n v="2"/>
    <x v="33"/>
    <x v="0"/>
    <s v="Yes"/>
    <s v="High"/>
  </r>
  <r>
    <s v="CUST0770"/>
    <n v="34"/>
    <n v="49"/>
    <x v="1"/>
    <n v="729"/>
    <n v="0"/>
    <n v="22"/>
    <x v="2"/>
    <x v="0"/>
    <s v="No"/>
    <s v="Medium"/>
  </r>
  <r>
    <s v="CUST0771"/>
    <n v="56"/>
    <n v="42"/>
    <x v="1"/>
    <n v="648"/>
    <n v="3"/>
    <n v="23"/>
    <x v="6"/>
    <x v="0"/>
    <s v="No"/>
    <s v="Medium"/>
  </r>
  <r>
    <s v="CUST0772"/>
    <n v="50"/>
    <n v="59"/>
    <x v="2"/>
    <n v="1200"/>
    <n v="5"/>
    <n v="9"/>
    <x v="13"/>
    <x v="1"/>
    <s v="No"/>
    <s v="Medium"/>
  </r>
  <r>
    <s v="CUST0773"/>
    <n v="31"/>
    <n v="25"/>
    <x v="2"/>
    <n v="1128"/>
    <n v="0"/>
    <n v="15"/>
    <x v="10"/>
    <x v="1"/>
    <s v="No"/>
    <s v="Low"/>
  </r>
  <r>
    <s v="CUST0774"/>
    <n v="54"/>
    <n v="55"/>
    <x v="0"/>
    <n v="352"/>
    <n v="5"/>
    <n v="8"/>
    <x v="0"/>
    <x v="0"/>
    <s v="No"/>
    <s v="Medium"/>
  </r>
  <r>
    <s v="CUST0775"/>
    <n v="46"/>
    <n v="30"/>
    <x v="1"/>
    <n v="648"/>
    <n v="5"/>
    <n v="12"/>
    <x v="25"/>
    <x v="0"/>
    <s v="No"/>
    <s v="Medium"/>
  </r>
  <r>
    <s v="CUST0776"/>
    <n v="33"/>
    <n v="46"/>
    <x v="0"/>
    <n v="299"/>
    <n v="8"/>
    <n v="29"/>
    <x v="27"/>
    <x v="0"/>
    <s v="No"/>
    <s v="Medium"/>
  </r>
  <r>
    <s v="CUST0777"/>
    <n v="61"/>
    <n v="20"/>
    <x v="0"/>
    <n v="286"/>
    <n v="8"/>
    <n v="22"/>
    <x v="38"/>
    <x v="0"/>
    <s v="No"/>
    <s v="Medium"/>
  </r>
  <r>
    <s v="CUST0778"/>
    <n v="46"/>
    <n v="4"/>
    <x v="0"/>
    <n v="336"/>
    <n v="6"/>
    <n v="18"/>
    <x v="26"/>
    <x v="1"/>
    <s v="No"/>
    <s v="Medium"/>
  </r>
  <r>
    <s v="CUST0779"/>
    <n v="21"/>
    <n v="45"/>
    <x v="0"/>
    <n v="395"/>
    <n v="2"/>
    <n v="22"/>
    <x v="34"/>
    <x v="1"/>
    <s v="No"/>
    <s v="Medium"/>
  </r>
  <r>
    <s v="CUST0780"/>
    <n v="49"/>
    <n v="16"/>
    <x v="2"/>
    <n v="911"/>
    <n v="8"/>
    <n v="25"/>
    <x v="24"/>
    <x v="1"/>
    <s v="Yes"/>
    <s v="High"/>
  </r>
  <r>
    <s v="CUST0781"/>
    <n v="26"/>
    <n v="51"/>
    <x v="0"/>
    <n v="255"/>
    <n v="0"/>
    <n v="12"/>
    <x v="14"/>
    <x v="0"/>
    <s v="No"/>
    <s v="Low"/>
  </r>
  <r>
    <s v="CUST0782"/>
    <n v="29"/>
    <n v="14"/>
    <x v="0"/>
    <n v="266"/>
    <n v="5"/>
    <n v="20"/>
    <x v="2"/>
    <x v="0"/>
    <s v="No"/>
    <s v="Medium"/>
  </r>
  <r>
    <s v="CUST0783"/>
    <n v="41"/>
    <n v="46"/>
    <x v="0"/>
    <n v="327"/>
    <n v="8"/>
    <n v="7"/>
    <x v="23"/>
    <x v="1"/>
    <s v="No"/>
    <s v="Medium"/>
  </r>
  <r>
    <s v="CUST0784"/>
    <n v="59"/>
    <n v="27"/>
    <x v="0"/>
    <n v="391"/>
    <n v="4"/>
    <n v="24"/>
    <x v="32"/>
    <x v="0"/>
    <s v="No"/>
    <s v="Low"/>
  </r>
  <r>
    <s v="CUST0785"/>
    <n v="27"/>
    <n v="43"/>
    <x v="2"/>
    <n v="1136"/>
    <n v="0"/>
    <n v="6"/>
    <x v="7"/>
    <x v="1"/>
    <s v="No"/>
    <s v="Low"/>
  </r>
  <r>
    <s v="CUST0786"/>
    <n v="57"/>
    <n v="45"/>
    <x v="2"/>
    <n v="1049"/>
    <n v="2"/>
    <n v="16"/>
    <x v="6"/>
    <x v="0"/>
    <s v="No"/>
    <s v="Medium"/>
  </r>
  <r>
    <s v="CUST0787"/>
    <n v="62"/>
    <n v="37"/>
    <x v="0"/>
    <n v="336"/>
    <n v="1"/>
    <n v="7"/>
    <x v="14"/>
    <x v="1"/>
    <s v="Yes"/>
    <s v="High"/>
  </r>
  <r>
    <s v="CUST0788"/>
    <n v="62"/>
    <n v="13"/>
    <x v="2"/>
    <n v="1114"/>
    <n v="1"/>
    <n v="13"/>
    <x v="26"/>
    <x v="1"/>
    <s v="No"/>
    <s v="Low"/>
  </r>
  <r>
    <s v="CUST0789"/>
    <n v="21"/>
    <n v="40"/>
    <x v="2"/>
    <n v="936"/>
    <n v="4"/>
    <n v="8"/>
    <x v="36"/>
    <x v="0"/>
    <s v="Yes"/>
    <s v="High"/>
  </r>
  <r>
    <s v="CUST0790"/>
    <n v="40"/>
    <n v="58"/>
    <x v="0"/>
    <n v="416"/>
    <n v="4"/>
    <n v="10"/>
    <x v="15"/>
    <x v="1"/>
    <s v="No"/>
    <s v="Low"/>
  </r>
  <r>
    <s v="CUST0791"/>
    <n v="22"/>
    <n v="18"/>
    <x v="1"/>
    <n v="684"/>
    <n v="1"/>
    <n v="12"/>
    <x v="0"/>
    <x v="0"/>
    <s v="No"/>
    <s v="Low"/>
  </r>
  <r>
    <s v="CUST0792"/>
    <n v="56"/>
    <n v="2"/>
    <x v="0"/>
    <n v="301"/>
    <n v="6"/>
    <n v="3"/>
    <x v="15"/>
    <x v="0"/>
    <s v="Yes"/>
    <s v="High"/>
  </r>
  <r>
    <s v="CUST0793"/>
    <n v="44"/>
    <n v="22"/>
    <x v="1"/>
    <n v="667"/>
    <n v="5"/>
    <n v="6"/>
    <x v="1"/>
    <x v="1"/>
    <s v="No"/>
    <s v="Medium"/>
  </r>
  <r>
    <s v="CUST0794"/>
    <n v="37"/>
    <n v="6"/>
    <x v="2"/>
    <n v="1162"/>
    <n v="5"/>
    <n v="29"/>
    <x v="0"/>
    <x v="1"/>
    <s v="Yes"/>
    <s v="High"/>
  </r>
  <r>
    <s v="CUST0795"/>
    <n v="28"/>
    <n v="52"/>
    <x v="1"/>
    <n v="488"/>
    <n v="5"/>
    <n v="4"/>
    <x v="24"/>
    <x v="0"/>
    <s v="No"/>
    <s v="Medium"/>
  </r>
  <r>
    <s v="CUST0796"/>
    <n v="20"/>
    <n v="47"/>
    <x v="0"/>
    <n v="337"/>
    <n v="7"/>
    <n v="22"/>
    <x v="1"/>
    <x v="0"/>
    <s v="No"/>
    <s v="Medium"/>
  </r>
  <r>
    <s v="CUST0797"/>
    <n v="26"/>
    <n v="40"/>
    <x v="0"/>
    <n v="430"/>
    <n v="1"/>
    <n v="7"/>
    <x v="9"/>
    <x v="1"/>
    <s v="No"/>
    <s v="Low"/>
  </r>
  <r>
    <s v="CUST0798"/>
    <n v="34"/>
    <n v="14"/>
    <x v="0"/>
    <n v="270"/>
    <n v="8"/>
    <n v="8"/>
    <x v="12"/>
    <x v="1"/>
    <s v="Yes"/>
    <s v="High"/>
  </r>
  <r>
    <s v="CUST0799"/>
    <n v="51"/>
    <n v="39"/>
    <x v="1"/>
    <n v="597"/>
    <n v="0"/>
    <n v="16"/>
    <x v="13"/>
    <x v="1"/>
    <s v="No"/>
    <s v="Low"/>
  </r>
  <r>
    <s v="CUST0800"/>
    <n v="29"/>
    <n v="57"/>
    <x v="1"/>
    <n v="513"/>
    <n v="1"/>
    <n v="8"/>
    <x v="17"/>
    <x v="1"/>
    <s v="No"/>
    <s v="Low"/>
  </r>
  <r>
    <m/>
    <m/>
    <m/>
    <x v="3"/>
    <m/>
    <m/>
    <m/>
    <x v="40"/>
    <x v="2"/>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EB4D33-F8B3-4257-A9ED-B823CA4680E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K45" firstHeaderRow="0" firstDataRow="1" firstDataCol="1"/>
  <pivotFields count="11">
    <pivotField dataField="1" showAll="0"/>
    <pivotField showAll="0"/>
    <pivotField showAll="0"/>
    <pivotField showAll="0"/>
    <pivotField showAll="0"/>
    <pivotField showAll="0"/>
    <pivotField showAll="0"/>
    <pivotField axis="axisRow" showAll="0">
      <items count="42">
        <item x="36"/>
        <item x="11"/>
        <item x="35"/>
        <item x="39"/>
        <item x="31"/>
        <item x="38"/>
        <item x="22"/>
        <item x="20"/>
        <item x="37"/>
        <item x="33"/>
        <item x="21"/>
        <item x="34"/>
        <item x="16"/>
        <item x="5"/>
        <item x="19"/>
        <item x="28"/>
        <item x="4"/>
        <item x="6"/>
        <item x="2"/>
        <item x="0"/>
        <item x="25"/>
        <item x="32"/>
        <item x="15"/>
        <item x="18"/>
        <item x="13"/>
        <item x="17"/>
        <item x="10"/>
        <item x="3"/>
        <item x="23"/>
        <item x="14"/>
        <item x="26"/>
        <item x="7"/>
        <item x="27"/>
        <item x="24"/>
        <item x="8"/>
        <item x="30"/>
        <item x="12"/>
        <item x="1"/>
        <item x="29"/>
        <item x="9"/>
        <item x="40"/>
        <item t="default"/>
      </items>
    </pivotField>
    <pivotField showAll="0"/>
    <pivotField dataField="1" showAll="0"/>
    <pivotField showAll="0"/>
  </pivotFields>
  <rowFields count="1">
    <field x="7"/>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Fields count="1">
    <field x="-2"/>
  </colFields>
  <colItems count="2">
    <i>
      <x/>
    </i>
    <i i="1">
      <x v="1"/>
    </i>
  </colItems>
  <dataFields count="2">
    <dataField name="Count of Customer ID" fld="0" subtotal="count" baseField="0" baseItem="0"/>
    <dataField name="Count of Churned" fld="9" subtotal="count" baseField="0" baseItem="0"/>
  </dataFields>
  <formats count="6">
    <format dxfId="17">
      <pivotArea type="all" dataOnly="0" outline="0" fieldPosition="0"/>
    </format>
    <format dxfId="16">
      <pivotArea outline="0" collapsedLevelsAreSubtotals="1" fieldPosition="0"/>
    </format>
    <format dxfId="15">
      <pivotArea field="7" type="button" dataOnly="0" labelOnly="1" outline="0" axis="axisRow" fieldPosition="0"/>
    </format>
    <format dxfId="14">
      <pivotArea dataOnly="0" labelOnly="1" fieldPosition="0">
        <references count="1">
          <reference field="7" count="0"/>
        </references>
      </pivotArea>
    </format>
    <format dxfId="13">
      <pivotArea dataOnly="0" labelOnly="1" grandRow="1" outline="0" fieldPosition="0"/>
    </format>
    <format dxfId="12">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BBFB554-33B8-4452-84D0-E673E8E7DA1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G6" firstHeaderRow="0" firstDataRow="1" firstDataCol="1"/>
  <pivotFields count="11">
    <pivotField dataField="1" showAll="0"/>
    <pivotField showAll="0"/>
    <pivotField showAll="0"/>
    <pivotField showAll="0"/>
    <pivotField showAll="0"/>
    <pivotField showAll="0"/>
    <pivotField showAll="0"/>
    <pivotField showAll="0"/>
    <pivotField axis="axisRow" multipleItemSelectionAllowed="1" showAll="0">
      <items count="4">
        <item x="0"/>
        <item x="1"/>
        <item h="1" x="2"/>
        <item t="default"/>
      </items>
    </pivotField>
    <pivotField dataField="1" showAll="0"/>
    <pivotField showAll="0"/>
  </pivotFields>
  <rowFields count="1">
    <field x="8"/>
  </rowFields>
  <rowItems count="3">
    <i>
      <x/>
    </i>
    <i>
      <x v="1"/>
    </i>
    <i t="grand">
      <x/>
    </i>
  </rowItems>
  <colFields count="1">
    <field x="-2"/>
  </colFields>
  <colItems count="2">
    <i>
      <x/>
    </i>
    <i i="1">
      <x v="1"/>
    </i>
  </colItems>
  <dataFields count="2">
    <dataField name="Count of Customer ID" fld="0" subtotal="count" baseField="0" baseItem="0"/>
    <dataField name="Count of Churned" fld="9" subtotal="count" baseField="0" baseItem="0"/>
  </dataFields>
  <formats count="6">
    <format dxfId="11">
      <pivotArea type="all" dataOnly="0" outline="0" fieldPosition="0"/>
    </format>
    <format dxfId="10">
      <pivotArea outline="0" collapsedLevelsAreSubtotals="1" fieldPosition="0"/>
    </format>
    <format dxfId="9">
      <pivotArea field="8" type="button" dataOnly="0" labelOnly="1" outline="0" axis="axisRow" fieldPosition="0"/>
    </format>
    <format dxfId="8">
      <pivotArea dataOnly="0" labelOnly="1" fieldPosition="0">
        <references count="1">
          <reference field="8" count="0"/>
        </references>
      </pivotArea>
    </format>
    <format dxfId="7">
      <pivotArea dataOnly="0" labelOnly="1" grandRow="1" outline="0" fieldPosition="0"/>
    </format>
    <format dxfId="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1FEE76-9FCC-4C05-98C2-8D7C3AEC268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1">
    <pivotField dataField="1" showAll="0"/>
    <pivotField showAll="0"/>
    <pivotField showAll="0"/>
    <pivotField axis="axisRow" showAll="0">
      <items count="5">
        <item x="0"/>
        <item x="2"/>
        <item x="1"/>
        <item h="1" x="3"/>
        <item t="default"/>
      </items>
    </pivotField>
    <pivotField showAll="0"/>
    <pivotField showAll="0"/>
    <pivotField showAll="0"/>
    <pivotField showAll="0"/>
    <pivotField showAll="0"/>
    <pivotField dataField="1" showAll="0"/>
    <pivotField showAll="0"/>
  </pivotFields>
  <rowFields count="1">
    <field x="3"/>
  </rowFields>
  <rowItems count="4">
    <i>
      <x/>
    </i>
    <i>
      <x v="1"/>
    </i>
    <i>
      <x v="2"/>
    </i>
    <i t="grand">
      <x/>
    </i>
  </rowItems>
  <colFields count="1">
    <field x="-2"/>
  </colFields>
  <colItems count="2">
    <i>
      <x/>
    </i>
    <i i="1">
      <x v="1"/>
    </i>
  </colItems>
  <dataFields count="2">
    <dataField name="Count of Customer ID" fld="0" subtotal="count" baseField="0" baseItem="0"/>
    <dataField name="Count of Churned" fld="9" subtotal="count" baseField="0" baseItem="0"/>
  </dataFields>
  <formats count="6">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_Type" xr10:uid="{97614C71-D5DC-42DD-9375-F730F5676228}" sourceName="Contract Type">
  <pivotTables>
    <pivotTable tabId="6" name="PivotTable2"/>
  </pivotTables>
  <data>
    <tabular pivotCacheId="1980815100">
      <items count="3">
        <i x="0" s="1"/>
        <i x="1" s="1"/>
        <i x="2"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 xr10:uid="{A727D93F-BAB0-4FE6-81EB-E8C3C226AFEB}" sourceName="Plan">
  <pivotTables>
    <pivotTable tabId="6" name="PivotTable1"/>
  </pivotTables>
  <data>
    <tabular pivotCacheId="1980815100">
      <items count="4">
        <i x="0" s="1"/>
        <i x="2" s="1"/>
        <i x="1" s="1"/>
        <i x="3"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tisfaction_Score" xr10:uid="{0F05DBB4-F4E0-4C12-820C-9E14C2D8099A}" sourceName="Satisfaction Score">
  <pivotTables>
    <pivotTable tabId="6" name="PivotTable3"/>
  </pivotTables>
  <data>
    <tabular pivotCacheId="1980815100">
      <items count="41">
        <i x="36" s="1"/>
        <i x="11" s="1"/>
        <i x="35" s="1"/>
        <i x="39" s="1"/>
        <i x="31" s="1"/>
        <i x="38" s="1"/>
        <i x="22" s="1"/>
        <i x="20" s="1"/>
        <i x="37" s="1"/>
        <i x="33" s="1"/>
        <i x="21" s="1"/>
        <i x="34" s="1"/>
        <i x="16" s="1"/>
        <i x="5" s="1"/>
        <i x="19" s="1"/>
        <i x="28" s="1"/>
        <i x="4" s="1"/>
        <i x="6" s="1"/>
        <i x="2" s="1"/>
        <i x="0" s="1"/>
        <i x="25" s="1"/>
        <i x="32" s="1"/>
        <i x="15" s="1"/>
        <i x="18" s="1"/>
        <i x="13" s="1"/>
        <i x="17" s="1"/>
        <i x="10" s="1"/>
        <i x="3" s="1"/>
        <i x="23" s="1"/>
        <i x="14" s="1"/>
        <i x="26" s="1"/>
        <i x="7" s="1"/>
        <i x="27" s="1"/>
        <i x="24" s="1"/>
        <i x="8" s="1"/>
        <i x="30" s="1"/>
        <i x="12" s="1"/>
        <i x="1" s="1"/>
        <i x="29" s="1"/>
        <i x="9" s="1"/>
        <i x="40"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ract Type" xr10:uid="{728867AD-A9D4-469A-97F1-5ACF934AA3EC}" cache="Slicer_Contract_Type" caption="Contract Type" rowHeight="241300"/>
  <slicer name="Plan" xr10:uid="{A978B71F-D63A-4B35-8137-262CE57B4058}" cache="Slicer_Plan" caption="Plan" rowHeight="241300"/>
  <slicer name="Satisfaction Score" xr10:uid="{CC5C0105-4231-4C93-8DBF-E852F891950E}" cache="Slicer_Satisfaction_Score" caption="Satisfaction Score"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07/relationships/slicer" Target="../slicers/slicer1.xml"/><Relationship Id="rId4"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801"/>
  <sheetViews>
    <sheetView zoomScaleNormal="100" workbookViewId="0">
      <pane ySplit="1" topLeftCell="A2" activePane="bottomLeft" state="frozen"/>
      <selection pane="bottomLeft" activeCell="D804" sqref="D804"/>
    </sheetView>
  </sheetViews>
  <sheetFormatPr defaultColWidth="23.42578125" defaultRowHeight="15" customHeight="1" x14ac:dyDescent="0.25"/>
  <cols>
    <col min="5" max="5" width="23.42578125" style="3"/>
  </cols>
  <sheetData>
    <row r="1" spans="1:11" ht="15" customHeight="1" x14ac:dyDescent="0.25">
      <c r="A1" s="1" t="s">
        <v>0</v>
      </c>
      <c r="B1" s="1" t="s">
        <v>1</v>
      </c>
      <c r="C1" s="1" t="s">
        <v>2</v>
      </c>
      <c r="D1" s="1" t="s">
        <v>3</v>
      </c>
      <c r="E1" s="2" t="s">
        <v>4</v>
      </c>
      <c r="F1" s="1" t="s">
        <v>5</v>
      </c>
      <c r="G1" s="1" t="s">
        <v>6</v>
      </c>
      <c r="H1" s="1" t="s">
        <v>7</v>
      </c>
      <c r="I1" s="1" t="s">
        <v>8</v>
      </c>
      <c r="J1" s="1" t="s">
        <v>9</v>
      </c>
      <c r="K1" s="1" t="s">
        <v>10</v>
      </c>
    </row>
    <row r="2" spans="1:11" ht="15" customHeight="1" x14ac:dyDescent="0.25">
      <c r="A2" t="s">
        <v>11</v>
      </c>
      <c r="B2">
        <v>28</v>
      </c>
      <c r="C2">
        <v>23</v>
      </c>
      <c r="D2" t="s">
        <v>12</v>
      </c>
      <c r="E2" s="3">
        <v>415</v>
      </c>
      <c r="F2">
        <v>7</v>
      </c>
      <c r="G2">
        <v>23</v>
      </c>
      <c r="H2">
        <v>3</v>
      </c>
      <c r="I2" t="s">
        <v>13</v>
      </c>
      <c r="J2" t="s">
        <v>14</v>
      </c>
      <c r="K2" t="str">
        <f t="shared" ref="K2:K65" si="0">IF(J2="Yes","High",IF(OR(H2&lt;3,F2&gt;=5,C2&lt;12),"Medium","Low"))</f>
        <v>Medium</v>
      </c>
    </row>
    <row r="3" spans="1:11" ht="15" customHeight="1" x14ac:dyDescent="0.25">
      <c r="A3" t="s">
        <v>15</v>
      </c>
      <c r="B3">
        <v>21</v>
      </c>
      <c r="C3">
        <v>30</v>
      </c>
      <c r="D3" t="s">
        <v>16</v>
      </c>
      <c r="E3" s="3">
        <v>657</v>
      </c>
      <c r="F3">
        <v>5</v>
      </c>
      <c r="G3">
        <v>22</v>
      </c>
      <c r="H3">
        <v>4.8</v>
      </c>
      <c r="I3" t="s">
        <v>17</v>
      </c>
      <c r="J3" t="s">
        <v>14</v>
      </c>
      <c r="K3" t="str">
        <f t="shared" si="0"/>
        <v>Medium</v>
      </c>
    </row>
    <row r="4" spans="1:11" ht="15" customHeight="1" x14ac:dyDescent="0.25">
      <c r="A4" t="s">
        <v>18</v>
      </c>
      <c r="B4">
        <v>60</v>
      </c>
      <c r="C4">
        <v>5</v>
      </c>
      <c r="D4" t="s">
        <v>16</v>
      </c>
      <c r="E4" s="3">
        <v>620</v>
      </c>
      <c r="F4">
        <v>0</v>
      </c>
      <c r="G4">
        <v>11</v>
      </c>
      <c r="H4">
        <v>2.9</v>
      </c>
      <c r="I4" t="s">
        <v>13</v>
      </c>
      <c r="J4" t="s">
        <v>14</v>
      </c>
      <c r="K4" t="str">
        <f t="shared" si="0"/>
        <v>Medium</v>
      </c>
    </row>
    <row r="5" spans="1:11" ht="15" customHeight="1" x14ac:dyDescent="0.25">
      <c r="A5" t="s">
        <v>19</v>
      </c>
      <c r="B5">
        <v>33</v>
      </c>
      <c r="C5">
        <v>51</v>
      </c>
      <c r="D5" t="s">
        <v>16</v>
      </c>
      <c r="E5" s="3">
        <v>621</v>
      </c>
      <c r="F5">
        <v>0</v>
      </c>
      <c r="G5">
        <v>18</v>
      </c>
      <c r="H5">
        <v>3.8</v>
      </c>
      <c r="I5" t="s">
        <v>13</v>
      </c>
      <c r="J5" t="s">
        <v>14</v>
      </c>
      <c r="K5" t="str">
        <f t="shared" si="0"/>
        <v>Low</v>
      </c>
    </row>
    <row r="6" spans="1:11" ht="15" customHeight="1" x14ac:dyDescent="0.25">
      <c r="A6" t="s">
        <v>20</v>
      </c>
      <c r="B6">
        <v>23</v>
      </c>
      <c r="C6">
        <v>8</v>
      </c>
      <c r="D6" t="s">
        <v>16</v>
      </c>
      <c r="E6" s="3">
        <v>470</v>
      </c>
      <c r="F6">
        <v>5</v>
      </c>
      <c r="G6">
        <v>7</v>
      </c>
      <c r="H6">
        <v>2.7</v>
      </c>
      <c r="I6" t="s">
        <v>17</v>
      </c>
      <c r="J6" t="s">
        <v>14</v>
      </c>
      <c r="K6" t="str">
        <f t="shared" si="0"/>
        <v>Medium</v>
      </c>
    </row>
    <row r="7" spans="1:11" ht="15" customHeight="1" x14ac:dyDescent="0.25">
      <c r="A7" t="s">
        <v>21</v>
      </c>
      <c r="B7">
        <v>28</v>
      </c>
      <c r="C7">
        <v>22</v>
      </c>
      <c r="D7" t="s">
        <v>12</v>
      </c>
      <c r="E7" s="3">
        <v>279</v>
      </c>
      <c r="F7">
        <v>3</v>
      </c>
      <c r="G7">
        <v>26</v>
      </c>
      <c r="H7">
        <v>2.4</v>
      </c>
      <c r="I7" t="s">
        <v>13</v>
      </c>
      <c r="J7" t="s">
        <v>22</v>
      </c>
      <c r="K7" t="str">
        <f t="shared" si="0"/>
        <v>High</v>
      </c>
    </row>
    <row r="8" spans="1:11" ht="15" customHeight="1" x14ac:dyDescent="0.25">
      <c r="A8" t="s">
        <v>23</v>
      </c>
      <c r="B8">
        <v>42</v>
      </c>
      <c r="C8">
        <v>58</v>
      </c>
      <c r="D8" t="s">
        <v>12</v>
      </c>
      <c r="E8" s="3">
        <v>424</v>
      </c>
      <c r="F8">
        <v>0</v>
      </c>
      <c r="G8">
        <v>4</v>
      </c>
      <c r="H8">
        <v>2.8</v>
      </c>
      <c r="I8" t="s">
        <v>17</v>
      </c>
      <c r="J8" t="s">
        <v>14</v>
      </c>
      <c r="K8" t="str">
        <f t="shared" si="0"/>
        <v>Medium</v>
      </c>
    </row>
    <row r="9" spans="1:11" ht="15" customHeight="1" x14ac:dyDescent="0.25">
      <c r="A9" t="s">
        <v>24</v>
      </c>
      <c r="B9">
        <v>50</v>
      </c>
      <c r="C9">
        <v>46</v>
      </c>
      <c r="D9" t="s">
        <v>16</v>
      </c>
      <c r="E9" s="3">
        <v>599</v>
      </c>
      <c r="F9">
        <v>5</v>
      </c>
      <c r="G9">
        <v>27</v>
      </c>
      <c r="H9">
        <v>4.2</v>
      </c>
      <c r="I9" t="s">
        <v>13</v>
      </c>
      <c r="J9" t="s">
        <v>14</v>
      </c>
      <c r="K9" t="str">
        <f t="shared" si="0"/>
        <v>Medium</v>
      </c>
    </row>
    <row r="10" spans="1:11" ht="15" customHeight="1" x14ac:dyDescent="0.25">
      <c r="A10" t="s">
        <v>25</v>
      </c>
      <c r="B10">
        <v>24</v>
      </c>
      <c r="C10">
        <v>13</v>
      </c>
      <c r="D10" t="s">
        <v>26</v>
      </c>
      <c r="E10" s="3">
        <v>791</v>
      </c>
      <c r="F10">
        <v>6</v>
      </c>
      <c r="G10">
        <v>30</v>
      </c>
      <c r="H10">
        <v>4.5</v>
      </c>
      <c r="I10" t="s">
        <v>17</v>
      </c>
      <c r="J10" t="s">
        <v>22</v>
      </c>
      <c r="K10" t="str">
        <f t="shared" si="0"/>
        <v>High</v>
      </c>
    </row>
    <row r="11" spans="1:11" ht="15" customHeight="1" x14ac:dyDescent="0.25">
      <c r="A11" t="s">
        <v>27</v>
      </c>
      <c r="B11">
        <v>27</v>
      </c>
      <c r="C11">
        <v>45</v>
      </c>
      <c r="D11" t="s">
        <v>12</v>
      </c>
      <c r="E11" s="3">
        <v>288</v>
      </c>
      <c r="F11">
        <v>0</v>
      </c>
      <c r="G11">
        <v>11</v>
      </c>
      <c r="H11">
        <v>5</v>
      </c>
      <c r="I11" t="s">
        <v>17</v>
      </c>
      <c r="J11" t="s">
        <v>14</v>
      </c>
      <c r="K11" t="str">
        <f t="shared" si="0"/>
        <v>Low</v>
      </c>
    </row>
    <row r="12" spans="1:11" ht="15" customHeight="1" x14ac:dyDescent="0.25">
      <c r="A12" t="s">
        <v>28</v>
      </c>
      <c r="B12">
        <v>28</v>
      </c>
      <c r="C12">
        <v>31</v>
      </c>
      <c r="D12" t="s">
        <v>12</v>
      </c>
      <c r="E12" s="3">
        <v>363</v>
      </c>
      <c r="F12">
        <v>3</v>
      </c>
      <c r="G12">
        <v>4</v>
      </c>
      <c r="H12">
        <v>5</v>
      </c>
      <c r="I12" t="s">
        <v>13</v>
      </c>
      <c r="J12" t="s">
        <v>14</v>
      </c>
      <c r="K12" t="str">
        <f t="shared" si="0"/>
        <v>Low</v>
      </c>
    </row>
    <row r="13" spans="1:11" ht="15" customHeight="1" x14ac:dyDescent="0.25">
      <c r="A13" t="s">
        <v>29</v>
      </c>
      <c r="B13">
        <v>41</v>
      </c>
      <c r="C13">
        <v>27</v>
      </c>
      <c r="D13" t="s">
        <v>16</v>
      </c>
      <c r="E13" s="3">
        <v>617</v>
      </c>
      <c r="F13">
        <v>8</v>
      </c>
      <c r="G13">
        <v>28</v>
      </c>
      <c r="H13">
        <v>3.7</v>
      </c>
      <c r="I13" t="s">
        <v>17</v>
      </c>
      <c r="J13" t="s">
        <v>14</v>
      </c>
      <c r="K13" t="str">
        <f t="shared" si="0"/>
        <v>Medium</v>
      </c>
    </row>
    <row r="14" spans="1:11" ht="15" customHeight="1" x14ac:dyDescent="0.25">
      <c r="A14" t="s">
        <v>30</v>
      </c>
      <c r="B14">
        <v>56</v>
      </c>
      <c r="C14">
        <v>9</v>
      </c>
      <c r="D14" t="s">
        <v>26</v>
      </c>
      <c r="E14" s="3">
        <v>1154</v>
      </c>
      <c r="F14">
        <v>4</v>
      </c>
      <c r="G14">
        <v>9</v>
      </c>
      <c r="H14">
        <v>1.1000000000000001</v>
      </c>
      <c r="I14" t="s">
        <v>13</v>
      </c>
      <c r="J14" t="s">
        <v>22</v>
      </c>
      <c r="K14" t="str">
        <f t="shared" si="0"/>
        <v>High</v>
      </c>
    </row>
    <row r="15" spans="1:11" ht="15" customHeight="1" x14ac:dyDescent="0.25">
      <c r="A15" t="s">
        <v>31</v>
      </c>
      <c r="B15">
        <v>42</v>
      </c>
      <c r="C15">
        <v>19</v>
      </c>
      <c r="D15" t="s">
        <v>16</v>
      </c>
      <c r="E15" s="3">
        <v>532</v>
      </c>
      <c r="F15">
        <v>8</v>
      </c>
      <c r="G15">
        <v>11</v>
      </c>
      <c r="H15">
        <v>3.7</v>
      </c>
      <c r="I15" t="s">
        <v>17</v>
      </c>
      <c r="J15" t="s">
        <v>22</v>
      </c>
      <c r="K15" t="str">
        <f t="shared" si="0"/>
        <v>High</v>
      </c>
    </row>
    <row r="16" spans="1:11" ht="15" customHeight="1" x14ac:dyDescent="0.25">
      <c r="A16" t="s">
        <v>32</v>
      </c>
      <c r="B16">
        <v>65</v>
      </c>
      <c r="C16">
        <v>45</v>
      </c>
      <c r="D16" t="s">
        <v>26</v>
      </c>
      <c r="E16" s="3">
        <v>871</v>
      </c>
      <c r="F16">
        <v>1</v>
      </c>
      <c r="G16">
        <v>3</v>
      </c>
      <c r="H16">
        <v>4.7</v>
      </c>
      <c r="I16" t="s">
        <v>17</v>
      </c>
      <c r="J16" t="s">
        <v>14</v>
      </c>
      <c r="K16" t="str">
        <f t="shared" si="0"/>
        <v>Low</v>
      </c>
    </row>
    <row r="17" spans="1:11" ht="15" customHeight="1" x14ac:dyDescent="0.25">
      <c r="A17" t="s">
        <v>33</v>
      </c>
      <c r="B17">
        <v>33</v>
      </c>
      <c r="C17">
        <v>36</v>
      </c>
      <c r="D17" t="s">
        <v>16</v>
      </c>
      <c r="E17" s="3">
        <v>612</v>
      </c>
      <c r="F17">
        <v>2</v>
      </c>
      <c r="G17">
        <v>13</v>
      </c>
      <c r="H17">
        <v>3.5</v>
      </c>
      <c r="I17" t="s">
        <v>17</v>
      </c>
      <c r="J17" t="s">
        <v>14</v>
      </c>
      <c r="K17" t="str">
        <f t="shared" si="0"/>
        <v>Low</v>
      </c>
    </row>
    <row r="18" spans="1:11" ht="15" customHeight="1" x14ac:dyDescent="0.25">
      <c r="A18" t="s">
        <v>34</v>
      </c>
      <c r="B18">
        <v>54</v>
      </c>
      <c r="C18">
        <v>20</v>
      </c>
      <c r="D18" t="s">
        <v>12</v>
      </c>
      <c r="E18" s="3">
        <v>256</v>
      </c>
      <c r="F18">
        <v>2</v>
      </c>
      <c r="G18">
        <v>16</v>
      </c>
      <c r="H18">
        <v>4</v>
      </c>
      <c r="I18" t="s">
        <v>13</v>
      </c>
      <c r="J18" t="s">
        <v>14</v>
      </c>
      <c r="K18" t="str">
        <f t="shared" si="0"/>
        <v>Low</v>
      </c>
    </row>
    <row r="19" spans="1:11" ht="15" customHeight="1" x14ac:dyDescent="0.25">
      <c r="A19" t="s">
        <v>35</v>
      </c>
      <c r="B19">
        <v>52</v>
      </c>
      <c r="C19">
        <v>22</v>
      </c>
      <c r="D19" t="s">
        <v>16</v>
      </c>
      <c r="E19" s="3">
        <v>692</v>
      </c>
      <c r="F19">
        <v>2</v>
      </c>
      <c r="G19">
        <v>27</v>
      </c>
      <c r="H19">
        <v>3.3</v>
      </c>
      <c r="I19" t="s">
        <v>17</v>
      </c>
      <c r="J19" t="s">
        <v>14</v>
      </c>
      <c r="K19" t="str">
        <f t="shared" si="0"/>
        <v>Low</v>
      </c>
    </row>
    <row r="20" spans="1:11" ht="15" customHeight="1" x14ac:dyDescent="0.25">
      <c r="A20" t="s">
        <v>36</v>
      </c>
      <c r="B20">
        <v>48</v>
      </c>
      <c r="C20">
        <v>22</v>
      </c>
      <c r="D20" t="s">
        <v>16</v>
      </c>
      <c r="E20" s="3">
        <v>695</v>
      </c>
      <c r="F20">
        <v>2</v>
      </c>
      <c r="G20">
        <v>23</v>
      </c>
      <c r="H20">
        <v>2.8</v>
      </c>
      <c r="I20" t="s">
        <v>17</v>
      </c>
      <c r="J20" t="s">
        <v>14</v>
      </c>
      <c r="K20" t="str">
        <f t="shared" si="0"/>
        <v>Medium</v>
      </c>
    </row>
    <row r="21" spans="1:11" ht="15" customHeight="1" x14ac:dyDescent="0.25">
      <c r="A21" t="s">
        <v>37</v>
      </c>
      <c r="B21">
        <v>48</v>
      </c>
      <c r="C21">
        <v>23</v>
      </c>
      <c r="D21" t="s">
        <v>12</v>
      </c>
      <c r="E21" s="3">
        <v>264</v>
      </c>
      <c r="F21">
        <v>8</v>
      </c>
      <c r="G21">
        <v>9</v>
      </c>
      <c r="H21">
        <v>3.3</v>
      </c>
      <c r="I21" t="s">
        <v>13</v>
      </c>
      <c r="J21" t="s">
        <v>14</v>
      </c>
      <c r="K21" t="str">
        <f t="shared" si="0"/>
        <v>Medium</v>
      </c>
    </row>
    <row r="22" spans="1:11" ht="15" customHeight="1" x14ac:dyDescent="0.25">
      <c r="A22" t="s">
        <v>38</v>
      </c>
      <c r="B22">
        <v>32</v>
      </c>
      <c r="C22">
        <v>2</v>
      </c>
      <c r="D22" t="s">
        <v>12</v>
      </c>
      <c r="E22" s="3">
        <v>364</v>
      </c>
      <c r="F22">
        <v>6</v>
      </c>
      <c r="G22">
        <v>8</v>
      </c>
      <c r="H22">
        <v>2.2999999999999998</v>
      </c>
      <c r="I22" t="s">
        <v>17</v>
      </c>
      <c r="J22" t="s">
        <v>22</v>
      </c>
      <c r="K22" t="str">
        <f t="shared" si="0"/>
        <v>High</v>
      </c>
    </row>
    <row r="23" spans="1:11" ht="15" customHeight="1" x14ac:dyDescent="0.25">
      <c r="A23" t="s">
        <v>39</v>
      </c>
      <c r="B23">
        <v>62</v>
      </c>
      <c r="C23">
        <v>24</v>
      </c>
      <c r="D23" t="s">
        <v>16</v>
      </c>
      <c r="E23" s="3">
        <v>668</v>
      </c>
      <c r="F23">
        <v>6</v>
      </c>
      <c r="G23">
        <v>13</v>
      </c>
      <c r="H23">
        <v>3.6</v>
      </c>
      <c r="I23" t="s">
        <v>17</v>
      </c>
      <c r="J23" t="s">
        <v>14</v>
      </c>
      <c r="K23" t="str">
        <f t="shared" si="0"/>
        <v>Medium</v>
      </c>
    </row>
    <row r="24" spans="1:11" ht="15" customHeight="1" x14ac:dyDescent="0.25">
      <c r="A24" t="s">
        <v>40</v>
      </c>
      <c r="B24">
        <v>39</v>
      </c>
      <c r="C24">
        <v>29</v>
      </c>
      <c r="D24" t="s">
        <v>26</v>
      </c>
      <c r="E24" s="3">
        <v>1122</v>
      </c>
      <c r="F24">
        <v>7</v>
      </c>
      <c r="G24">
        <v>25</v>
      </c>
      <c r="H24">
        <v>5</v>
      </c>
      <c r="I24" t="s">
        <v>17</v>
      </c>
      <c r="J24" t="s">
        <v>14</v>
      </c>
      <c r="K24" t="str">
        <f t="shared" si="0"/>
        <v>Medium</v>
      </c>
    </row>
    <row r="25" spans="1:11" ht="15" customHeight="1" x14ac:dyDescent="0.25">
      <c r="A25" t="s">
        <v>41</v>
      </c>
      <c r="B25">
        <v>47</v>
      </c>
      <c r="C25">
        <v>47</v>
      </c>
      <c r="D25" t="s">
        <v>26</v>
      </c>
      <c r="E25" s="3">
        <v>1056</v>
      </c>
      <c r="F25">
        <v>1</v>
      </c>
      <c r="G25">
        <v>6</v>
      </c>
      <c r="H25">
        <v>3.4</v>
      </c>
      <c r="I25" t="s">
        <v>17</v>
      </c>
      <c r="J25" t="s">
        <v>14</v>
      </c>
      <c r="K25" t="str">
        <f t="shared" si="0"/>
        <v>Low</v>
      </c>
    </row>
    <row r="26" spans="1:11" ht="15" customHeight="1" x14ac:dyDescent="0.25">
      <c r="A26" t="s">
        <v>42</v>
      </c>
      <c r="B26">
        <v>53</v>
      </c>
      <c r="C26">
        <v>22</v>
      </c>
      <c r="D26" t="s">
        <v>12</v>
      </c>
      <c r="E26" s="3">
        <v>401</v>
      </c>
      <c r="F26">
        <v>0</v>
      </c>
      <c r="G26">
        <v>15</v>
      </c>
      <c r="H26">
        <v>3</v>
      </c>
      <c r="I26" t="s">
        <v>17</v>
      </c>
      <c r="J26" t="s">
        <v>14</v>
      </c>
      <c r="K26" t="str">
        <f t="shared" si="0"/>
        <v>Low</v>
      </c>
    </row>
    <row r="27" spans="1:11" ht="15" customHeight="1" x14ac:dyDescent="0.25">
      <c r="A27" t="s">
        <v>43</v>
      </c>
      <c r="B27">
        <v>56</v>
      </c>
      <c r="C27">
        <v>49</v>
      </c>
      <c r="D27" t="s">
        <v>26</v>
      </c>
      <c r="E27" s="3">
        <v>1176</v>
      </c>
      <c r="F27">
        <v>6</v>
      </c>
      <c r="G27">
        <v>11</v>
      </c>
      <c r="H27">
        <v>2.9</v>
      </c>
      <c r="I27" t="s">
        <v>17</v>
      </c>
      <c r="J27" t="s">
        <v>22</v>
      </c>
      <c r="K27" t="str">
        <f t="shared" si="0"/>
        <v>High</v>
      </c>
    </row>
    <row r="28" spans="1:11" ht="15" customHeight="1" x14ac:dyDescent="0.25">
      <c r="A28" t="s">
        <v>44</v>
      </c>
      <c r="B28">
        <v>39</v>
      </c>
      <c r="C28">
        <v>54</v>
      </c>
      <c r="D28" t="s">
        <v>16</v>
      </c>
      <c r="E28" s="3">
        <v>736</v>
      </c>
      <c r="F28">
        <v>7</v>
      </c>
      <c r="G28">
        <v>9</v>
      </c>
      <c r="H28">
        <v>3.6</v>
      </c>
      <c r="I28" t="s">
        <v>17</v>
      </c>
      <c r="J28" t="s">
        <v>14</v>
      </c>
      <c r="K28" t="str">
        <f t="shared" si="0"/>
        <v>Medium</v>
      </c>
    </row>
    <row r="29" spans="1:11" ht="15" customHeight="1" x14ac:dyDescent="0.25">
      <c r="A29" t="s">
        <v>45</v>
      </c>
      <c r="B29">
        <v>60</v>
      </c>
      <c r="C29">
        <v>31</v>
      </c>
      <c r="D29" t="s">
        <v>12</v>
      </c>
      <c r="E29" s="3">
        <v>420</v>
      </c>
      <c r="F29">
        <v>2</v>
      </c>
      <c r="G29">
        <v>17</v>
      </c>
      <c r="H29">
        <v>3.5</v>
      </c>
      <c r="I29" t="s">
        <v>13</v>
      </c>
      <c r="J29" t="s">
        <v>14</v>
      </c>
      <c r="K29" t="str">
        <f t="shared" si="0"/>
        <v>Low</v>
      </c>
    </row>
    <row r="30" spans="1:11" ht="15" customHeight="1" x14ac:dyDescent="0.25">
      <c r="A30" t="s">
        <v>46</v>
      </c>
      <c r="B30">
        <v>21</v>
      </c>
      <c r="C30">
        <v>8</v>
      </c>
      <c r="D30" t="s">
        <v>16</v>
      </c>
      <c r="E30" s="3">
        <v>484</v>
      </c>
      <c r="F30">
        <v>5</v>
      </c>
      <c r="G30">
        <v>20</v>
      </c>
      <c r="H30">
        <v>2.5</v>
      </c>
      <c r="I30" t="s">
        <v>17</v>
      </c>
      <c r="J30" t="s">
        <v>14</v>
      </c>
      <c r="K30" t="str">
        <f t="shared" si="0"/>
        <v>Medium</v>
      </c>
    </row>
    <row r="31" spans="1:11" ht="15" customHeight="1" x14ac:dyDescent="0.25">
      <c r="A31" t="s">
        <v>47</v>
      </c>
      <c r="B31">
        <v>64</v>
      </c>
      <c r="C31">
        <v>53</v>
      </c>
      <c r="D31" t="s">
        <v>12</v>
      </c>
      <c r="E31" s="3">
        <v>381</v>
      </c>
      <c r="F31">
        <v>4</v>
      </c>
      <c r="G31">
        <v>7</v>
      </c>
      <c r="H31">
        <v>3.6</v>
      </c>
      <c r="I31" t="s">
        <v>17</v>
      </c>
      <c r="J31" t="s">
        <v>22</v>
      </c>
      <c r="K31" t="str">
        <f t="shared" si="0"/>
        <v>High</v>
      </c>
    </row>
    <row r="32" spans="1:11" ht="15" customHeight="1" x14ac:dyDescent="0.25">
      <c r="A32" t="s">
        <v>48</v>
      </c>
      <c r="B32">
        <v>49</v>
      </c>
      <c r="C32">
        <v>57</v>
      </c>
      <c r="D32" t="s">
        <v>16</v>
      </c>
      <c r="E32" s="3">
        <v>533</v>
      </c>
      <c r="F32">
        <v>4</v>
      </c>
      <c r="G32">
        <v>13</v>
      </c>
      <c r="H32">
        <v>1.8</v>
      </c>
      <c r="I32" t="s">
        <v>17</v>
      </c>
      <c r="J32" t="s">
        <v>22</v>
      </c>
      <c r="K32" t="str">
        <f t="shared" si="0"/>
        <v>High</v>
      </c>
    </row>
    <row r="33" spans="1:11" ht="15" customHeight="1" x14ac:dyDescent="0.25">
      <c r="A33" t="s">
        <v>49</v>
      </c>
      <c r="B33">
        <v>53</v>
      </c>
      <c r="C33">
        <v>41</v>
      </c>
      <c r="D33" t="s">
        <v>26</v>
      </c>
      <c r="E33" s="3">
        <v>1142</v>
      </c>
      <c r="F33">
        <v>2</v>
      </c>
      <c r="G33">
        <v>26</v>
      </c>
      <c r="H33">
        <v>4.5</v>
      </c>
      <c r="I33" t="s">
        <v>17</v>
      </c>
      <c r="J33" t="s">
        <v>14</v>
      </c>
      <c r="K33" t="str">
        <f t="shared" si="0"/>
        <v>Low</v>
      </c>
    </row>
    <row r="34" spans="1:11" ht="15" customHeight="1" x14ac:dyDescent="0.25">
      <c r="A34" t="s">
        <v>50</v>
      </c>
      <c r="B34">
        <v>54</v>
      </c>
      <c r="C34">
        <v>21</v>
      </c>
      <c r="D34" t="s">
        <v>26</v>
      </c>
      <c r="E34" s="3">
        <v>888</v>
      </c>
      <c r="F34">
        <v>5</v>
      </c>
      <c r="G34">
        <v>5</v>
      </c>
      <c r="H34">
        <v>2.7</v>
      </c>
      <c r="I34" t="s">
        <v>17</v>
      </c>
      <c r="J34" t="s">
        <v>22</v>
      </c>
      <c r="K34" t="str">
        <f t="shared" si="0"/>
        <v>High</v>
      </c>
    </row>
    <row r="35" spans="1:11" ht="15" customHeight="1" x14ac:dyDescent="0.25">
      <c r="A35" t="s">
        <v>51</v>
      </c>
      <c r="B35">
        <v>38</v>
      </c>
      <c r="C35">
        <v>24</v>
      </c>
      <c r="D35" t="s">
        <v>16</v>
      </c>
      <c r="E35" s="3">
        <v>624</v>
      </c>
      <c r="F35">
        <v>1</v>
      </c>
      <c r="G35">
        <v>8</v>
      </c>
      <c r="H35">
        <v>3.3</v>
      </c>
      <c r="I35" t="s">
        <v>17</v>
      </c>
      <c r="J35" t="s">
        <v>14</v>
      </c>
      <c r="K35" t="str">
        <f t="shared" si="0"/>
        <v>Low</v>
      </c>
    </row>
    <row r="36" spans="1:11" ht="15" customHeight="1" x14ac:dyDescent="0.25">
      <c r="A36" t="s">
        <v>52</v>
      </c>
      <c r="B36">
        <v>32</v>
      </c>
      <c r="C36">
        <v>51</v>
      </c>
      <c r="D36" t="s">
        <v>26</v>
      </c>
      <c r="E36" s="3">
        <v>1183</v>
      </c>
      <c r="F36">
        <v>8</v>
      </c>
      <c r="G36">
        <v>24</v>
      </c>
      <c r="H36">
        <v>2.1</v>
      </c>
      <c r="I36" t="s">
        <v>17</v>
      </c>
      <c r="J36" t="s">
        <v>14</v>
      </c>
      <c r="K36" t="str">
        <f t="shared" si="0"/>
        <v>Medium</v>
      </c>
    </row>
    <row r="37" spans="1:11" ht="15" customHeight="1" x14ac:dyDescent="0.25">
      <c r="A37" t="s">
        <v>53</v>
      </c>
      <c r="B37">
        <v>24</v>
      </c>
      <c r="C37">
        <v>8</v>
      </c>
      <c r="D37" t="s">
        <v>26</v>
      </c>
      <c r="E37" s="3">
        <v>928</v>
      </c>
      <c r="F37">
        <v>4</v>
      </c>
      <c r="G37">
        <v>24</v>
      </c>
      <c r="H37">
        <v>3</v>
      </c>
      <c r="I37" t="s">
        <v>17</v>
      </c>
      <c r="J37" t="s">
        <v>14</v>
      </c>
      <c r="K37" t="str">
        <f t="shared" si="0"/>
        <v>Medium</v>
      </c>
    </row>
    <row r="38" spans="1:11" ht="15" customHeight="1" x14ac:dyDescent="0.25">
      <c r="A38" t="s">
        <v>54</v>
      </c>
      <c r="B38">
        <v>58</v>
      </c>
      <c r="C38">
        <v>34</v>
      </c>
      <c r="D38" t="s">
        <v>16</v>
      </c>
      <c r="E38" s="3">
        <v>538</v>
      </c>
      <c r="F38">
        <v>4</v>
      </c>
      <c r="G38">
        <v>2</v>
      </c>
      <c r="H38">
        <v>3.5</v>
      </c>
      <c r="I38" t="s">
        <v>17</v>
      </c>
      <c r="J38" t="s">
        <v>14</v>
      </c>
      <c r="K38" t="str">
        <f t="shared" si="0"/>
        <v>Low</v>
      </c>
    </row>
    <row r="39" spans="1:11" ht="15" customHeight="1" x14ac:dyDescent="0.25">
      <c r="A39" t="s">
        <v>55</v>
      </c>
      <c r="B39">
        <v>64</v>
      </c>
      <c r="C39">
        <v>15</v>
      </c>
      <c r="D39" t="s">
        <v>12</v>
      </c>
      <c r="E39" s="3">
        <v>303</v>
      </c>
      <c r="F39">
        <v>6</v>
      </c>
      <c r="G39">
        <v>24</v>
      </c>
      <c r="H39">
        <v>3</v>
      </c>
      <c r="I39" t="s">
        <v>13</v>
      </c>
      <c r="J39" t="s">
        <v>22</v>
      </c>
      <c r="K39" t="str">
        <f t="shared" si="0"/>
        <v>High</v>
      </c>
    </row>
    <row r="40" spans="1:11" ht="15" customHeight="1" x14ac:dyDescent="0.25">
      <c r="A40" t="s">
        <v>56</v>
      </c>
      <c r="B40">
        <v>21</v>
      </c>
      <c r="C40">
        <v>50</v>
      </c>
      <c r="D40" t="s">
        <v>16</v>
      </c>
      <c r="E40" s="3">
        <v>471</v>
      </c>
      <c r="F40">
        <v>1</v>
      </c>
      <c r="G40">
        <v>3</v>
      </c>
      <c r="H40">
        <v>3.8</v>
      </c>
      <c r="I40" t="s">
        <v>17</v>
      </c>
      <c r="J40" t="s">
        <v>22</v>
      </c>
      <c r="K40" t="str">
        <f t="shared" si="0"/>
        <v>High</v>
      </c>
    </row>
    <row r="41" spans="1:11" ht="15" customHeight="1" x14ac:dyDescent="0.25">
      <c r="A41" t="s">
        <v>57</v>
      </c>
      <c r="B41">
        <v>36</v>
      </c>
      <c r="C41">
        <v>3</v>
      </c>
      <c r="D41" t="s">
        <v>12</v>
      </c>
      <c r="E41" s="3">
        <v>420</v>
      </c>
      <c r="F41">
        <v>1</v>
      </c>
      <c r="G41">
        <v>27</v>
      </c>
      <c r="H41">
        <v>2.5</v>
      </c>
      <c r="I41" t="s">
        <v>17</v>
      </c>
      <c r="J41" t="s">
        <v>14</v>
      </c>
      <c r="K41" t="str">
        <f t="shared" si="0"/>
        <v>Medium</v>
      </c>
    </row>
    <row r="42" spans="1:11" ht="15" customHeight="1" x14ac:dyDescent="0.25">
      <c r="A42" t="s">
        <v>58</v>
      </c>
      <c r="B42">
        <v>57</v>
      </c>
      <c r="C42">
        <v>58</v>
      </c>
      <c r="D42" t="s">
        <v>12</v>
      </c>
      <c r="E42" s="3">
        <v>421</v>
      </c>
      <c r="F42">
        <v>1</v>
      </c>
      <c r="G42">
        <v>6</v>
      </c>
      <c r="H42">
        <v>4.7</v>
      </c>
      <c r="I42" t="s">
        <v>13</v>
      </c>
      <c r="J42" t="s">
        <v>14</v>
      </c>
      <c r="K42" t="str">
        <f t="shared" si="0"/>
        <v>Low</v>
      </c>
    </row>
    <row r="43" spans="1:11" ht="15" customHeight="1" x14ac:dyDescent="0.25">
      <c r="A43" t="s">
        <v>59</v>
      </c>
      <c r="B43">
        <v>30</v>
      </c>
      <c r="C43">
        <v>55</v>
      </c>
      <c r="D43" t="s">
        <v>16</v>
      </c>
      <c r="E43" s="3">
        <v>573</v>
      </c>
      <c r="F43">
        <v>1</v>
      </c>
      <c r="G43">
        <v>5</v>
      </c>
      <c r="H43">
        <v>1.7</v>
      </c>
      <c r="I43" t="s">
        <v>13</v>
      </c>
      <c r="J43" t="s">
        <v>14</v>
      </c>
      <c r="K43" t="str">
        <f t="shared" si="0"/>
        <v>Medium</v>
      </c>
    </row>
    <row r="44" spans="1:11" ht="15" customHeight="1" x14ac:dyDescent="0.25">
      <c r="A44" t="s">
        <v>60</v>
      </c>
      <c r="B44">
        <v>53</v>
      </c>
      <c r="C44">
        <v>14</v>
      </c>
      <c r="D44" t="s">
        <v>16</v>
      </c>
      <c r="E44" s="3">
        <v>537</v>
      </c>
      <c r="F44">
        <v>8</v>
      </c>
      <c r="G44">
        <v>2</v>
      </c>
      <c r="H44">
        <v>3.9</v>
      </c>
      <c r="I44" t="s">
        <v>17</v>
      </c>
      <c r="J44" t="s">
        <v>14</v>
      </c>
      <c r="K44" t="str">
        <f t="shared" si="0"/>
        <v>Medium</v>
      </c>
    </row>
    <row r="45" spans="1:11" ht="15" customHeight="1" x14ac:dyDescent="0.25">
      <c r="A45" t="s">
        <v>61</v>
      </c>
      <c r="B45">
        <v>65</v>
      </c>
      <c r="C45">
        <v>31</v>
      </c>
      <c r="D45" t="s">
        <v>16</v>
      </c>
      <c r="E45" s="3">
        <v>544</v>
      </c>
      <c r="F45">
        <v>1</v>
      </c>
      <c r="G45">
        <v>7</v>
      </c>
      <c r="H45">
        <v>3.4</v>
      </c>
      <c r="I45" t="s">
        <v>13</v>
      </c>
      <c r="J45" t="s">
        <v>14</v>
      </c>
      <c r="K45" t="str">
        <f t="shared" si="0"/>
        <v>Low</v>
      </c>
    </row>
    <row r="46" spans="1:11" ht="15" customHeight="1" x14ac:dyDescent="0.25">
      <c r="A46" t="s">
        <v>62</v>
      </c>
      <c r="B46">
        <v>47</v>
      </c>
      <c r="C46">
        <v>14</v>
      </c>
      <c r="D46" t="s">
        <v>16</v>
      </c>
      <c r="E46" s="3">
        <v>507</v>
      </c>
      <c r="F46">
        <v>5</v>
      </c>
      <c r="G46">
        <v>5</v>
      </c>
      <c r="H46">
        <v>2.4</v>
      </c>
      <c r="I46" t="s">
        <v>17</v>
      </c>
      <c r="J46" t="s">
        <v>22</v>
      </c>
      <c r="K46" t="str">
        <f t="shared" si="0"/>
        <v>High</v>
      </c>
    </row>
    <row r="47" spans="1:11" ht="15" customHeight="1" x14ac:dyDescent="0.25">
      <c r="A47" t="s">
        <v>63</v>
      </c>
      <c r="B47">
        <v>38</v>
      </c>
      <c r="C47">
        <v>36</v>
      </c>
      <c r="D47" t="s">
        <v>16</v>
      </c>
      <c r="E47" s="3">
        <v>617</v>
      </c>
      <c r="F47">
        <v>1</v>
      </c>
      <c r="G47">
        <v>14</v>
      </c>
      <c r="H47">
        <v>3.7</v>
      </c>
      <c r="I47" t="s">
        <v>17</v>
      </c>
      <c r="J47" t="s">
        <v>14</v>
      </c>
      <c r="K47" t="str">
        <f t="shared" si="0"/>
        <v>Low</v>
      </c>
    </row>
    <row r="48" spans="1:11" ht="15" customHeight="1" x14ac:dyDescent="0.25">
      <c r="A48" t="s">
        <v>64</v>
      </c>
      <c r="B48">
        <v>39</v>
      </c>
      <c r="C48">
        <v>44</v>
      </c>
      <c r="D48" t="s">
        <v>26</v>
      </c>
      <c r="E48" s="3">
        <v>1033</v>
      </c>
      <c r="F48">
        <v>6</v>
      </c>
      <c r="G48">
        <v>11</v>
      </c>
      <c r="H48">
        <v>4.4000000000000004</v>
      </c>
      <c r="I48" t="s">
        <v>13</v>
      </c>
      <c r="J48" t="s">
        <v>14</v>
      </c>
      <c r="K48" t="str">
        <f t="shared" si="0"/>
        <v>Medium</v>
      </c>
    </row>
    <row r="49" spans="1:11" ht="15" customHeight="1" x14ac:dyDescent="0.25">
      <c r="A49" t="s">
        <v>65</v>
      </c>
      <c r="B49">
        <v>50</v>
      </c>
      <c r="C49">
        <v>44</v>
      </c>
      <c r="D49" t="s">
        <v>16</v>
      </c>
      <c r="E49" s="3">
        <v>701</v>
      </c>
      <c r="F49">
        <v>1</v>
      </c>
      <c r="G49">
        <v>14</v>
      </c>
      <c r="H49">
        <v>3.4</v>
      </c>
      <c r="I49" t="s">
        <v>17</v>
      </c>
      <c r="J49" t="s">
        <v>14</v>
      </c>
      <c r="K49" t="str">
        <f t="shared" si="0"/>
        <v>Low</v>
      </c>
    </row>
    <row r="50" spans="1:11" ht="15" customHeight="1" x14ac:dyDescent="0.25">
      <c r="A50" t="s">
        <v>66</v>
      </c>
      <c r="B50">
        <v>25</v>
      </c>
      <c r="C50">
        <v>8</v>
      </c>
      <c r="D50" t="s">
        <v>12</v>
      </c>
      <c r="E50" s="3">
        <v>352</v>
      </c>
      <c r="F50">
        <v>2</v>
      </c>
      <c r="G50">
        <v>4</v>
      </c>
      <c r="H50">
        <v>3.1</v>
      </c>
      <c r="I50" t="s">
        <v>17</v>
      </c>
      <c r="J50" t="s">
        <v>14</v>
      </c>
      <c r="K50" t="str">
        <f t="shared" si="0"/>
        <v>Medium</v>
      </c>
    </row>
    <row r="51" spans="1:11" ht="15" customHeight="1" x14ac:dyDescent="0.25">
      <c r="A51" t="s">
        <v>67</v>
      </c>
      <c r="B51">
        <v>45</v>
      </c>
      <c r="C51">
        <v>8</v>
      </c>
      <c r="D51" t="s">
        <v>12</v>
      </c>
      <c r="E51" s="3">
        <v>358</v>
      </c>
      <c r="F51">
        <v>4</v>
      </c>
      <c r="G51">
        <v>26</v>
      </c>
      <c r="H51">
        <v>4</v>
      </c>
      <c r="I51" t="s">
        <v>13</v>
      </c>
      <c r="J51" t="s">
        <v>14</v>
      </c>
      <c r="K51" t="str">
        <f t="shared" si="0"/>
        <v>Medium</v>
      </c>
    </row>
    <row r="52" spans="1:11" ht="15" customHeight="1" x14ac:dyDescent="0.25">
      <c r="A52" t="s">
        <v>68</v>
      </c>
      <c r="B52">
        <v>45</v>
      </c>
      <c r="C52">
        <v>23</v>
      </c>
      <c r="D52" t="s">
        <v>16</v>
      </c>
      <c r="E52" s="3">
        <v>657</v>
      </c>
      <c r="F52">
        <v>8</v>
      </c>
      <c r="G52">
        <v>10</v>
      </c>
      <c r="H52">
        <v>4.0999999999999996</v>
      </c>
      <c r="I52" t="s">
        <v>17</v>
      </c>
      <c r="J52" t="s">
        <v>14</v>
      </c>
      <c r="K52" t="str">
        <f t="shared" si="0"/>
        <v>Medium</v>
      </c>
    </row>
    <row r="53" spans="1:11" ht="15" customHeight="1" x14ac:dyDescent="0.25">
      <c r="A53" t="s">
        <v>69</v>
      </c>
      <c r="B53">
        <v>34</v>
      </c>
      <c r="C53">
        <v>41</v>
      </c>
      <c r="D53" t="s">
        <v>26</v>
      </c>
      <c r="E53" s="3">
        <v>1127</v>
      </c>
      <c r="F53">
        <v>0</v>
      </c>
      <c r="G53">
        <v>28</v>
      </c>
      <c r="H53">
        <v>4.3</v>
      </c>
      <c r="I53" t="s">
        <v>17</v>
      </c>
      <c r="J53" t="s">
        <v>14</v>
      </c>
      <c r="K53" t="str">
        <f t="shared" si="0"/>
        <v>Low</v>
      </c>
    </row>
    <row r="54" spans="1:11" ht="15" customHeight="1" x14ac:dyDescent="0.25">
      <c r="A54" t="s">
        <v>70</v>
      </c>
      <c r="B54">
        <v>31</v>
      </c>
      <c r="C54">
        <v>25</v>
      </c>
      <c r="D54" t="s">
        <v>16</v>
      </c>
      <c r="E54" s="3">
        <v>528</v>
      </c>
      <c r="F54">
        <v>1</v>
      </c>
      <c r="G54">
        <v>26</v>
      </c>
      <c r="H54">
        <v>4.8</v>
      </c>
      <c r="I54" t="s">
        <v>13</v>
      </c>
      <c r="J54" t="s">
        <v>14</v>
      </c>
      <c r="K54" t="str">
        <f t="shared" si="0"/>
        <v>Low</v>
      </c>
    </row>
    <row r="55" spans="1:11" ht="15" customHeight="1" x14ac:dyDescent="0.25">
      <c r="A55" t="s">
        <v>71</v>
      </c>
      <c r="B55">
        <v>32</v>
      </c>
      <c r="C55">
        <v>19</v>
      </c>
      <c r="D55" t="s">
        <v>16</v>
      </c>
      <c r="E55" s="3">
        <v>708</v>
      </c>
      <c r="F55">
        <v>8</v>
      </c>
      <c r="G55">
        <v>12</v>
      </c>
      <c r="H55">
        <v>4.2</v>
      </c>
      <c r="I55" t="s">
        <v>13</v>
      </c>
      <c r="J55" t="s">
        <v>14</v>
      </c>
      <c r="K55" t="str">
        <f t="shared" si="0"/>
        <v>Medium</v>
      </c>
    </row>
    <row r="56" spans="1:11" ht="15" customHeight="1" x14ac:dyDescent="0.25">
      <c r="A56" t="s">
        <v>72</v>
      </c>
      <c r="B56">
        <v>21</v>
      </c>
      <c r="C56">
        <v>49</v>
      </c>
      <c r="D56" t="s">
        <v>12</v>
      </c>
      <c r="E56" s="3">
        <v>360</v>
      </c>
      <c r="F56">
        <v>7</v>
      </c>
      <c r="G56">
        <v>12</v>
      </c>
      <c r="H56">
        <v>4.0999999999999996</v>
      </c>
      <c r="I56" t="s">
        <v>17</v>
      </c>
      <c r="J56" t="s">
        <v>22</v>
      </c>
      <c r="K56" t="str">
        <f t="shared" si="0"/>
        <v>High</v>
      </c>
    </row>
    <row r="57" spans="1:11" ht="15" customHeight="1" x14ac:dyDescent="0.25">
      <c r="A57" t="s">
        <v>73</v>
      </c>
      <c r="B57">
        <v>62</v>
      </c>
      <c r="C57">
        <v>56</v>
      </c>
      <c r="D57" t="s">
        <v>16</v>
      </c>
      <c r="E57" s="3">
        <v>534</v>
      </c>
      <c r="F57">
        <v>6</v>
      </c>
      <c r="G57">
        <v>6</v>
      </c>
      <c r="H57">
        <v>2.7</v>
      </c>
      <c r="I57" t="s">
        <v>17</v>
      </c>
      <c r="J57" t="s">
        <v>22</v>
      </c>
      <c r="K57" t="str">
        <f t="shared" si="0"/>
        <v>High</v>
      </c>
    </row>
    <row r="58" spans="1:11" ht="15" customHeight="1" x14ac:dyDescent="0.25">
      <c r="A58" t="s">
        <v>74</v>
      </c>
      <c r="B58">
        <v>27</v>
      </c>
      <c r="C58">
        <v>37</v>
      </c>
      <c r="D58" t="s">
        <v>16</v>
      </c>
      <c r="E58" s="3">
        <v>733</v>
      </c>
      <c r="F58">
        <v>8</v>
      </c>
      <c r="G58">
        <v>20</v>
      </c>
      <c r="H58">
        <v>2.4</v>
      </c>
      <c r="I58" t="s">
        <v>17</v>
      </c>
      <c r="J58" t="s">
        <v>22</v>
      </c>
      <c r="K58" t="str">
        <f t="shared" si="0"/>
        <v>High</v>
      </c>
    </row>
    <row r="59" spans="1:11" ht="15" customHeight="1" x14ac:dyDescent="0.25">
      <c r="A59" t="s">
        <v>75</v>
      </c>
      <c r="B59">
        <v>36</v>
      </c>
      <c r="C59">
        <v>32</v>
      </c>
      <c r="D59" t="s">
        <v>16</v>
      </c>
      <c r="E59" s="3">
        <v>630</v>
      </c>
      <c r="F59">
        <v>4</v>
      </c>
      <c r="G59">
        <v>12</v>
      </c>
      <c r="H59">
        <v>3.7</v>
      </c>
      <c r="I59" t="s">
        <v>17</v>
      </c>
      <c r="J59" t="s">
        <v>14</v>
      </c>
      <c r="K59" t="str">
        <f t="shared" si="0"/>
        <v>Low</v>
      </c>
    </row>
    <row r="60" spans="1:11" ht="15" customHeight="1" x14ac:dyDescent="0.25">
      <c r="A60" t="s">
        <v>76</v>
      </c>
      <c r="B60">
        <v>28</v>
      </c>
      <c r="C60">
        <v>54</v>
      </c>
      <c r="D60" t="s">
        <v>16</v>
      </c>
      <c r="E60" s="3">
        <v>748</v>
      </c>
      <c r="F60">
        <v>5</v>
      </c>
      <c r="G60">
        <v>14</v>
      </c>
      <c r="H60">
        <v>4.2</v>
      </c>
      <c r="I60" t="s">
        <v>17</v>
      </c>
      <c r="J60" t="s">
        <v>14</v>
      </c>
      <c r="K60" t="str">
        <f t="shared" si="0"/>
        <v>Medium</v>
      </c>
    </row>
    <row r="61" spans="1:11" ht="15" customHeight="1" x14ac:dyDescent="0.25">
      <c r="A61" t="s">
        <v>77</v>
      </c>
      <c r="B61">
        <v>62</v>
      </c>
      <c r="C61">
        <v>16</v>
      </c>
      <c r="D61" t="s">
        <v>12</v>
      </c>
      <c r="E61" s="3">
        <v>415</v>
      </c>
      <c r="F61">
        <v>1</v>
      </c>
      <c r="G61">
        <v>24</v>
      </c>
      <c r="H61">
        <v>4</v>
      </c>
      <c r="I61" t="s">
        <v>17</v>
      </c>
      <c r="J61" t="s">
        <v>14</v>
      </c>
      <c r="K61" t="str">
        <f t="shared" si="0"/>
        <v>Low</v>
      </c>
    </row>
    <row r="62" spans="1:11" ht="15" customHeight="1" x14ac:dyDescent="0.25">
      <c r="A62" t="s">
        <v>78</v>
      </c>
      <c r="B62">
        <v>41</v>
      </c>
      <c r="C62">
        <v>11</v>
      </c>
      <c r="D62" t="s">
        <v>12</v>
      </c>
      <c r="E62" s="3">
        <v>333</v>
      </c>
      <c r="F62">
        <v>6</v>
      </c>
      <c r="G62">
        <v>20</v>
      </c>
      <c r="H62">
        <v>2.6</v>
      </c>
      <c r="I62" t="s">
        <v>17</v>
      </c>
      <c r="J62" t="s">
        <v>22</v>
      </c>
      <c r="K62" t="str">
        <f t="shared" si="0"/>
        <v>High</v>
      </c>
    </row>
    <row r="63" spans="1:11" ht="15" customHeight="1" x14ac:dyDescent="0.25">
      <c r="A63" t="s">
        <v>79</v>
      </c>
      <c r="B63">
        <v>21</v>
      </c>
      <c r="C63">
        <v>21</v>
      </c>
      <c r="D63" t="s">
        <v>16</v>
      </c>
      <c r="E63" s="3">
        <v>615</v>
      </c>
      <c r="F63">
        <v>1</v>
      </c>
      <c r="G63">
        <v>27</v>
      </c>
      <c r="H63">
        <v>3.4</v>
      </c>
      <c r="I63" t="s">
        <v>17</v>
      </c>
      <c r="J63" t="s">
        <v>14</v>
      </c>
      <c r="K63" t="str">
        <f t="shared" si="0"/>
        <v>Low</v>
      </c>
    </row>
    <row r="64" spans="1:11" ht="15" customHeight="1" x14ac:dyDescent="0.25">
      <c r="A64" t="s">
        <v>80</v>
      </c>
      <c r="B64">
        <v>33</v>
      </c>
      <c r="C64">
        <v>22</v>
      </c>
      <c r="D64" t="s">
        <v>16</v>
      </c>
      <c r="E64" s="3">
        <v>623</v>
      </c>
      <c r="F64">
        <v>4</v>
      </c>
      <c r="G64">
        <v>13</v>
      </c>
      <c r="H64">
        <v>4.0999999999999996</v>
      </c>
      <c r="I64" t="s">
        <v>17</v>
      </c>
      <c r="J64" t="s">
        <v>14</v>
      </c>
      <c r="K64" t="str">
        <f t="shared" si="0"/>
        <v>Low</v>
      </c>
    </row>
    <row r="65" spans="1:11" ht="15" customHeight="1" x14ac:dyDescent="0.25">
      <c r="A65" t="s">
        <v>81</v>
      </c>
      <c r="B65">
        <v>24</v>
      </c>
      <c r="C65">
        <v>54</v>
      </c>
      <c r="D65" t="s">
        <v>26</v>
      </c>
      <c r="E65" s="3">
        <v>885</v>
      </c>
      <c r="F65">
        <v>0</v>
      </c>
      <c r="G65">
        <v>11</v>
      </c>
      <c r="H65">
        <v>3.4</v>
      </c>
      <c r="I65" t="s">
        <v>13</v>
      </c>
      <c r="J65" t="s">
        <v>14</v>
      </c>
      <c r="K65" t="str">
        <f t="shared" si="0"/>
        <v>Low</v>
      </c>
    </row>
    <row r="66" spans="1:11" ht="15" customHeight="1" x14ac:dyDescent="0.25">
      <c r="A66" t="s">
        <v>82</v>
      </c>
      <c r="B66">
        <v>34</v>
      </c>
      <c r="C66">
        <v>40</v>
      </c>
      <c r="D66" t="s">
        <v>16</v>
      </c>
      <c r="E66" s="3">
        <v>746</v>
      </c>
      <c r="F66">
        <v>5</v>
      </c>
      <c r="G66">
        <v>10</v>
      </c>
      <c r="H66">
        <v>5</v>
      </c>
      <c r="I66" t="s">
        <v>17</v>
      </c>
      <c r="J66" t="s">
        <v>22</v>
      </c>
      <c r="K66" t="str">
        <f t="shared" ref="K66:K129" si="1">IF(J66="Yes","High",IF(OR(H66&lt;3,F66&gt;=5,C66&lt;12),"Medium","Low"))</f>
        <v>High</v>
      </c>
    </row>
    <row r="67" spans="1:11" ht="15" customHeight="1" x14ac:dyDescent="0.25">
      <c r="A67" t="s">
        <v>83</v>
      </c>
      <c r="B67">
        <v>24</v>
      </c>
      <c r="C67">
        <v>42</v>
      </c>
      <c r="D67" t="s">
        <v>26</v>
      </c>
      <c r="E67" s="3">
        <v>971</v>
      </c>
      <c r="F67">
        <v>8</v>
      </c>
      <c r="G67">
        <v>12</v>
      </c>
      <c r="H67">
        <v>4.2</v>
      </c>
      <c r="I67" t="s">
        <v>17</v>
      </c>
      <c r="J67" t="s">
        <v>14</v>
      </c>
      <c r="K67" t="str">
        <f t="shared" si="1"/>
        <v>Medium</v>
      </c>
    </row>
    <row r="68" spans="1:11" ht="15" customHeight="1" x14ac:dyDescent="0.25">
      <c r="A68" t="s">
        <v>84</v>
      </c>
      <c r="B68">
        <v>59</v>
      </c>
      <c r="C68">
        <v>33</v>
      </c>
      <c r="D68" t="s">
        <v>16</v>
      </c>
      <c r="E68" s="3">
        <v>730</v>
      </c>
      <c r="F68">
        <v>0</v>
      </c>
      <c r="G68">
        <v>22</v>
      </c>
      <c r="H68">
        <v>3</v>
      </c>
      <c r="I68" t="s">
        <v>17</v>
      </c>
      <c r="J68" t="s">
        <v>14</v>
      </c>
      <c r="K68" t="str">
        <f t="shared" si="1"/>
        <v>Low</v>
      </c>
    </row>
    <row r="69" spans="1:11" ht="15" customHeight="1" x14ac:dyDescent="0.25">
      <c r="A69" t="s">
        <v>85</v>
      </c>
      <c r="B69">
        <v>49</v>
      </c>
      <c r="C69">
        <v>18</v>
      </c>
      <c r="D69" t="s">
        <v>26</v>
      </c>
      <c r="E69" s="3">
        <v>1039</v>
      </c>
      <c r="F69">
        <v>0</v>
      </c>
      <c r="G69">
        <v>18</v>
      </c>
      <c r="H69">
        <v>1.8</v>
      </c>
      <c r="I69" t="s">
        <v>17</v>
      </c>
      <c r="J69" t="s">
        <v>14</v>
      </c>
      <c r="K69" t="str">
        <f t="shared" si="1"/>
        <v>Medium</v>
      </c>
    </row>
    <row r="70" spans="1:11" ht="15" customHeight="1" x14ac:dyDescent="0.25">
      <c r="A70" t="s">
        <v>86</v>
      </c>
      <c r="B70">
        <v>35</v>
      </c>
      <c r="C70">
        <v>10</v>
      </c>
      <c r="D70" t="s">
        <v>16</v>
      </c>
      <c r="E70" s="3">
        <v>603</v>
      </c>
      <c r="F70">
        <v>6</v>
      </c>
      <c r="G70">
        <v>15</v>
      </c>
      <c r="H70">
        <v>2.8</v>
      </c>
      <c r="I70" t="s">
        <v>17</v>
      </c>
      <c r="J70" t="s">
        <v>22</v>
      </c>
      <c r="K70" t="str">
        <f t="shared" si="1"/>
        <v>High</v>
      </c>
    </row>
    <row r="71" spans="1:11" ht="15" customHeight="1" x14ac:dyDescent="0.25">
      <c r="A71" t="s">
        <v>87</v>
      </c>
      <c r="B71">
        <v>46</v>
      </c>
      <c r="C71">
        <v>18</v>
      </c>
      <c r="D71" t="s">
        <v>26</v>
      </c>
      <c r="E71" s="3">
        <v>881</v>
      </c>
      <c r="F71">
        <v>3</v>
      </c>
      <c r="G71">
        <v>14</v>
      </c>
      <c r="H71">
        <v>5</v>
      </c>
      <c r="I71" t="s">
        <v>17</v>
      </c>
      <c r="J71" t="s">
        <v>22</v>
      </c>
      <c r="K71" t="str">
        <f t="shared" si="1"/>
        <v>High</v>
      </c>
    </row>
    <row r="72" spans="1:11" ht="15" customHeight="1" x14ac:dyDescent="0.25">
      <c r="A72" t="s">
        <v>88</v>
      </c>
      <c r="B72">
        <v>21</v>
      </c>
      <c r="C72">
        <v>16</v>
      </c>
      <c r="D72" t="s">
        <v>16</v>
      </c>
      <c r="E72" s="3">
        <v>687</v>
      </c>
      <c r="F72">
        <v>8</v>
      </c>
      <c r="G72">
        <v>15</v>
      </c>
      <c r="H72">
        <v>1.8</v>
      </c>
      <c r="I72" t="s">
        <v>17</v>
      </c>
      <c r="J72" t="s">
        <v>22</v>
      </c>
      <c r="K72" t="str">
        <f t="shared" si="1"/>
        <v>High</v>
      </c>
    </row>
    <row r="73" spans="1:11" ht="15" customHeight="1" x14ac:dyDescent="0.25">
      <c r="A73" t="s">
        <v>89</v>
      </c>
      <c r="B73">
        <v>21</v>
      </c>
      <c r="C73">
        <v>17</v>
      </c>
      <c r="D73" t="s">
        <v>16</v>
      </c>
      <c r="E73" s="3">
        <v>731</v>
      </c>
      <c r="F73">
        <v>0</v>
      </c>
      <c r="G73">
        <v>25</v>
      </c>
      <c r="H73">
        <v>4.4000000000000004</v>
      </c>
      <c r="I73" t="s">
        <v>17</v>
      </c>
      <c r="J73" t="s">
        <v>22</v>
      </c>
      <c r="K73" t="str">
        <f t="shared" si="1"/>
        <v>High</v>
      </c>
    </row>
    <row r="74" spans="1:11" ht="15" customHeight="1" x14ac:dyDescent="0.25">
      <c r="A74" t="s">
        <v>90</v>
      </c>
      <c r="B74">
        <v>25</v>
      </c>
      <c r="C74">
        <v>21</v>
      </c>
      <c r="D74" t="s">
        <v>16</v>
      </c>
      <c r="E74" s="3">
        <v>658</v>
      </c>
      <c r="F74">
        <v>1</v>
      </c>
      <c r="G74">
        <v>14</v>
      </c>
      <c r="H74">
        <v>4.9000000000000004</v>
      </c>
      <c r="I74" t="s">
        <v>17</v>
      </c>
      <c r="J74" t="s">
        <v>22</v>
      </c>
      <c r="K74" t="str">
        <f t="shared" si="1"/>
        <v>High</v>
      </c>
    </row>
    <row r="75" spans="1:11" ht="15" customHeight="1" x14ac:dyDescent="0.25">
      <c r="A75" t="s">
        <v>91</v>
      </c>
      <c r="B75">
        <v>52</v>
      </c>
      <c r="C75">
        <v>60</v>
      </c>
      <c r="D75" t="s">
        <v>12</v>
      </c>
      <c r="E75" s="3">
        <v>420</v>
      </c>
      <c r="F75">
        <v>8</v>
      </c>
      <c r="G75">
        <v>10</v>
      </c>
      <c r="H75">
        <v>3</v>
      </c>
      <c r="I75" t="s">
        <v>17</v>
      </c>
      <c r="J75" t="s">
        <v>22</v>
      </c>
      <c r="K75" t="str">
        <f t="shared" si="1"/>
        <v>High</v>
      </c>
    </row>
    <row r="76" spans="1:11" ht="15" customHeight="1" x14ac:dyDescent="0.25">
      <c r="A76" t="s">
        <v>92</v>
      </c>
      <c r="B76">
        <v>58</v>
      </c>
      <c r="C76">
        <v>8</v>
      </c>
      <c r="D76" t="s">
        <v>16</v>
      </c>
      <c r="E76" s="3">
        <v>618</v>
      </c>
      <c r="F76">
        <v>6</v>
      </c>
      <c r="G76">
        <v>27</v>
      </c>
      <c r="H76">
        <v>3.5</v>
      </c>
      <c r="I76" t="s">
        <v>17</v>
      </c>
      <c r="J76" t="s">
        <v>22</v>
      </c>
      <c r="K76" t="str">
        <f t="shared" si="1"/>
        <v>High</v>
      </c>
    </row>
    <row r="77" spans="1:11" ht="15" customHeight="1" x14ac:dyDescent="0.25">
      <c r="A77" t="s">
        <v>93</v>
      </c>
      <c r="B77">
        <v>31</v>
      </c>
      <c r="C77">
        <v>14</v>
      </c>
      <c r="D77" t="s">
        <v>26</v>
      </c>
      <c r="E77" s="3">
        <v>880</v>
      </c>
      <c r="F77">
        <v>0</v>
      </c>
      <c r="G77">
        <v>17</v>
      </c>
      <c r="H77">
        <v>2.8</v>
      </c>
      <c r="I77" t="s">
        <v>17</v>
      </c>
      <c r="J77" t="s">
        <v>14</v>
      </c>
      <c r="K77" t="str">
        <f t="shared" si="1"/>
        <v>Medium</v>
      </c>
    </row>
    <row r="78" spans="1:11" ht="15" customHeight="1" x14ac:dyDescent="0.25">
      <c r="A78" t="s">
        <v>94</v>
      </c>
      <c r="B78">
        <v>27</v>
      </c>
      <c r="C78">
        <v>21</v>
      </c>
      <c r="D78" t="s">
        <v>16</v>
      </c>
      <c r="E78" s="3">
        <v>576</v>
      </c>
      <c r="F78">
        <v>2</v>
      </c>
      <c r="G78">
        <v>13</v>
      </c>
      <c r="H78">
        <v>2.6</v>
      </c>
      <c r="I78" t="s">
        <v>17</v>
      </c>
      <c r="J78" t="s">
        <v>14</v>
      </c>
      <c r="K78" t="str">
        <f t="shared" si="1"/>
        <v>Medium</v>
      </c>
    </row>
    <row r="79" spans="1:11" ht="15" customHeight="1" x14ac:dyDescent="0.25">
      <c r="A79" t="s">
        <v>95</v>
      </c>
      <c r="B79">
        <v>58</v>
      </c>
      <c r="C79">
        <v>3</v>
      </c>
      <c r="D79" t="s">
        <v>26</v>
      </c>
      <c r="E79" s="3">
        <v>1103</v>
      </c>
      <c r="F79">
        <v>3</v>
      </c>
      <c r="G79">
        <v>10</v>
      </c>
      <c r="H79">
        <v>3.6</v>
      </c>
      <c r="I79" t="s">
        <v>17</v>
      </c>
      <c r="J79" t="s">
        <v>14</v>
      </c>
      <c r="K79" t="str">
        <f t="shared" si="1"/>
        <v>Medium</v>
      </c>
    </row>
    <row r="80" spans="1:11" ht="15" customHeight="1" x14ac:dyDescent="0.25">
      <c r="A80" t="s">
        <v>96</v>
      </c>
      <c r="B80">
        <v>64</v>
      </c>
      <c r="C80">
        <v>24</v>
      </c>
      <c r="D80" t="s">
        <v>26</v>
      </c>
      <c r="E80" s="3">
        <v>1023</v>
      </c>
      <c r="F80">
        <v>3</v>
      </c>
      <c r="G80">
        <v>29</v>
      </c>
      <c r="H80">
        <v>3.4</v>
      </c>
      <c r="I80" t="s">
        <v>13</v>
      </c>
      <c r="J80" t="s">
        <v>14</v>
      </c>
      <c r="K80" t="str">
        <f t="shared" si="1"/>
        <v>Low</v>
      </c>
    </row>
    <row r="81" spans="1:11" ht="15" customHeight="1" x14ac:dyDescent="0.25">
      <c r="A81" t="s">
        <v>97</v>
      </c>
      <c r="B81">
        <v>36</v>
      </c>
      <c r="C81">
        <v>20</v>
      </c>
      <c r="D81" t="s">
        <v>12</v>
      </c>
      <c r="E81" s="3">
        <v>443</v>
      </c>
      <c r="F81">
        <v>3</v>
      </c>
      <c r="G81">
        <v>29</v>
      </c>
      <c r="H81">
        <v>3.5</v>
      </c>
      <c r="I81" t="s">
        <v>13</v>
      </c>
      <c r="J81" t="s">
        <v>14</v>
      </c>
      <c r="K81" t="str">
        <f t="shared" si="1"/>
        <v>Low</v>
      </c>
    </row>
    <row r="82" spans="1:11" ht="15" customHeight="1" x14ac:dyDescent="0.25">
      <c r="A82" t="s">
        <v>98</v>
      </c>
      <c r="B82">
        <v>60</v>
      </c>
      <c r="C82">
        <v>21</v>
      </c>
      <c r="D82" t="s">
        <v>26</v>
      </c>
      <c r="E82" s="3">
        <v>1154</v>
      </c>
      <c r="F82">
        <v>0</v>
      </c>
      <c r="G82">
        <v>10</v>
      </c>
      <c r="H82">
        <v>4.5999999999999996</v>
      </c>
      <c r="I82" t="s">
        <v>13</v>
      </c>
      <c r="J82" t="s">
        <v>14</v>
      </c>
      <c r="K82" t="str">
        <f t="shared" si="1"/>
        <v>Low</v>
      </c>
    </row>
    <row r="83" spans="1:11" ht="15" customHeight="1" x14ac:dyDescent="0.25">
      <c r="A83" t="s">
        <v>99</v>
      </c>
      <c r="B83">
        <v>46</v>
      </c>
      <c r="C83">
        <v>60</v>
      </c>
      <c r="D83" t="s">
        <v>26</v>
      </c>
      <c r="E83" s="3">
        <v>1198</v>
      </c>
      <c r="F83">
        <v>1</v>
      </c>
      <c r="G83">
        <v>28</v>
      </c>
      <c r="H83">
        <v>2.2999999999999998</v>
      </c>
      <c r="I83" t="s">
        <v>17</v>
      </c>
      <c r="J83" t="s">
        <v>22</v>
      </c>
      <c r="K83" t="str">
        <f t="shared" si="1"/>
        <v>High</v>
      </c>
    </row>
    <row r="84" spans="1:11" ht="15" customHeight="1" x14ac:dyDescent="0.25">
      <c r="A84" t="s">
        <v>100</v>
      </c>
      <c r="B84">
        <v>24</v>
      </c>
      <c r="C84">
        <v>23</v>
      </c>
      <c r="D84" t="s">
        <v>16</v>
      </c>
      <c r="E84" s="3">
        <v>730</v>
      </c>
      <c r="F84">
        <v>5</v>
      </c>
      <c r="G84">
        <v>16</v>
      </c>
      <c r="H84">
        <v>3</v>
      </c>
      <c r="I84" t="s">
        <v>17</v>
      </c>
      <c r="J84" t="s">
        <v>22</v>
      </c>
      <c r="K84" t="str">
        <f t="shared" si="1"/>
        <v>High</v>
      </c>
    </row>
    <row r="85" spans="1:11" ht="15" customHeight="1" x14ac:dyDescent="0.25">
      <c r="A85" t="s">
        <v>101</v>
      </c>
      <c r="B85">
        <v>48</v>
      </c>
      <c r="C85">
        <v>51</v>
      </c>
      <c r="D85" t="s">
        <v>16</v>
      </c>
      <c r="E85" s="3">
        <v>655</v>
      </c>
      <c r="F85">
        <v>4</v>
      </c>
      <c r="G85">
        <v>12</v>
      </c>
      <c r="H85">
        <v>2.1</v>
      </c>
      <c r="I85" t="s">
        <v>17</v>
      </c>
      <c r="J85" t="s">
        <v>22</v>
      </c>
      <c r="K85" t="str">
        <f t="shared" si="1"/>
        <v>High</v>
      </c>
    </row>
    <row r="86" spans="1:11" ht="15" customHeight="1" x14ac:dyDescent="0.25">
      <c r="A86" t="s">
        <v>102</v>
      </c>
      <c r="B86">
        <v>35</v>
      </c>
      <c r="C86">
        <v>34</v>
      </c>
      <c r="D86" t="s">
        <v>16</v>
      </c>
      <c r="E86" s="3">
        <v>516</v>
      </c>
      <c r="F86">
        <v>6</v>
      </c>
      <c r="G86">
        <v>27</v>
      </c>
      <c r="H86">
        <v>4.4000000000000004</v>
      </c>
      <c r="I86" t="s">
        <v>13</v>
      </c>
      <c r="J86" t="s">
        <v>22</v>
      </c>
      <c r="K86" t="str">
        <f t="shared" si="1"/>
        <v>High</v>
      </c>
    </row>
    <row r="87" spans="1:11" ht="15" customHeight="1" x14ac:dyDescent="0.25">
      <c r="A87" t="s">
        <v>103</v>
      </c>
      <c r="B87">
        <v>31</v>
      </c>
      <c r="C87">
        <v>44</v>
      </c>
      <c r="D87" t="s">
        <v>16</v>
      </c>
      <c r="E87" s="3">
        <v>594</v>
      </c>
      <c r="F87">
        <v>1</v>
      </c>
      <c r="G87">
        <v>15</v>
      </c>
      <c r="H87">
        <v>3.1</v>
      </c>
      <c r="I87" t="s">
        <v>17</v>
      </c>
      <c r="J87" t="s">
        <v>14</v>
      </c>
      <c r="K87" t="str">
        <f t="shared" si="1"/>
        <v>Low</v>
      </c>
    </row>
    <row r="88" spans="1:11" ht="15" customHeight="1" x14ac:dyDescent="0.25">
      <c r="A88" t="s">
        <v>104</v>
      </c>
      <c r="B88">
        <v>44</v>
      </c>
      <c r="C88">
        <v>54</v>
      </c>
      <c r="D88" t="s">
        <v>26</v>
      </c>
      <c r="E88" s="3">
        <v>761</v>
      </c>
      <c r="F88">
        <v>8</v>
      </c>
      <c r="G88">
        <v>22</v>
      </c>
      <c r="H88">
        <v>3</v>
      </c>
      <c r="I88" t="s">
        <v>17</v>
      </c>
      <c r="J88" t="s">
        <v>14</v>
      </c>
      <c r="K88" t="str">
        <f t="shared" si="1"/>
        <v>Medium</v>
      </c>
    </row>
    <row r="89" spans="1:11" ht="15" customHeight="1" x14ac:dyDescent="0.25">
      <c r="A89" t="s">
        <v>105</v>
      </c>
      <c r="B89">
        <v>36</v>
      </c>
      <c r="C89">
        <v>45</v>
      </c>
      <c r="D89" t="s">
        <v>26</v>
      </c>
      <c r="E89" s="3">
        <v>1066</v>
      </c>
      <c r="F89">
        <v>6</v>
      </c>
      <c r="G89">
        <v>21</v>
      </c>
      <c r="H89">
        <v>3.1</v>
      </c>
      <c r="I89" t="s">
        <v>17</v>
      </c>
      <c r="J89" t="s">
        <v>22</v>
      </c>
      <c r="K89" t="str">
        <f t="shared" si="1"/>
        <v>High</v>
      </c>
    </row>
    <row r="90" spans="1:11" ht="15" customHeight="1" x14ac:dyDescent="0.25">
      <c r="A90" t="s">
        <v>106</v>
      </c>
      <c r="B90">
        <v>43</v>
      </c>
      <c r="C90">
        <v>11</v>
      </c>
      <c r="D90" t="s">
        <v>26</v>
      </c>
      <c r="E90" s="3">
        <v>1117</v>
      </c>
      <c r="F90">
        <v>8</v>
      </c>
      <c r="G90">
        <v>15</v>
      </c>
      <c r="H90">
        <v>3.8</v>
      </c>
      <c r="I90" t="s">
        <v>13</v>
      </c>
      <c r="J90" t="s">
        <v>14</v>
      </c>
      <c r="K90" t="str">
        <f t="shared" si="1"/>
        <v>Medium</v>
      </c>
    </row>
    <row r="91" spans="1:11" ht="15" customHeight="1" x14ac:dyDescent="0.25">
      <c r="A91" t="s">
        <v>107</v>
      </c>
      <c r="B91">
        <v>34</v>
      </c>
      <c r="C91">
        <v>46</v>
      </c>
      <c r="D91" t="s">
        <v>12</v>
      </c>
      <c r="E91" s="3">
        <v>450</v>
      </c>
      <c r="F91">
        <v>7</v>
      </c>
      <c r="G91">
        <v>14</v>
      </c>
      <c r="H91">
        <v>1.5</v>
      </c>
      <c r="I91" t="s">
        <v>17</v>
      </c>
      <c r="J91" t="s">
        <v>14</v>
      </c>
      <c r="K91" t="str">
        <f t="shared" si="1"/>
        <v>Medium</v>
      </c>
    </row>
    <row r="92" spans="1:11" ht="15" customHeight="1" x14ac:dyDescent="0.25">
      <c r="A92" t="s">
        <v>108</v>
      </c>
      <c r="B92">
        <v>58</v>
      </c>
      <c r="C92">
        <v>14</v>
      </c>
      <c r="D92" t="s">
        <v>26</v>
      </c>
      <c r="E92" s="3">
        <v>964</v>
      </c>
      <c r="F92">
        <v>2</v>
      </c>
      <c r="G92">
        <v>15</v>
      </c>
      <c r="H92">
        <v>3.6</v>
      </c>
      <c r="I92" t="s">
        <v>13</v>
      </c>
      <c r="J92" t="s">
        <v>14</v>
      </c>
      <c r="K92" t="str">
        <f t="shared" si="1"/>
        <v>Low</v>
      </c>
    </row>
    <row r="93" spans="1:11" ht="15" customHeight="1" x14ac:dyDescent="0.25">
      <c r="A93" t="s">
        <v>109</v>
      </c>
      <c r="B93">
        <v>48</v>
      </c>
      <c r="C93">
        <v>59</v>
      </c>
      <c r="D93" t="s">
        <v>12</v>
      </c>
      <c r="E93" s="3">
        <v>399</v>
      </c>
      <c r="F93">
        <v>0</v>
      </c>
      <c r="G93">
        <v>17</v>
      </c>
      <c r="H93">
        <v>3.3</v>
      </c>
      <c r="I93" t="s">
        <v>17</v>
      </c>
      <c r="J93" t="s">
        <v>14</v>
      </c>
      <c r="K93" t="str">
        <f t="shared" si="1"/>
        <v>Low</v>
      </c>
    </row>
    <row r="94" spans="1:11" ht="15" customHeight="1" x14ac:dyDescent="0.25">
      <c r="A94" t="s">
        <v>110</v>
      </c>
      <c r="B94">
        <v>64</v>
      </c>
      <c r="C94">
        <v>26</v>
      </c>
      <c r="D94" t="s">
        <v>16</v>
      </c>
      <c r="E94" s="3">
        <v>646</v>
      </c>
      <c r="F94">
        <v>6</v>
      </c>
      <c r="G94">
        <v>25</v>
      </c>
      <c r="H94">
        <v>3.2</v>
      </c>
      <c r="I94" t="s">
        <v>17</v>
      </c>
      <c r="J94" t="s">
        <v>22</v>
      </c>
      <c r="K94" t="str">
        <f t="shared" si="1"/>
        <v>High</v>
      </c>
    </row>
    <row r="95" spans="1:11" ht="15" customHeight="1" x14ac:dyDescent="0.25">
      <c r="A95" t="s">
        <v>111</v>
      </c>
      <c r="B95">
        <v>35</v>
      </c>
      <c r="C95">
        <v>31</v>
      </c>
      <c r="D95" t="s">
        <v>26</v>
      </c>
      <c r="E95" s="3">
        <v>752</v>
      </c>
      <c r="F95">
        <v>4</v>
      </c>
      <c r="G95">
        <v>18</v>
      </c>
      <c r="H95">
        <v>3.3</v>
      </c>
      <c r="I95" t="s">
        <v>17</v>
      </c>
      <c r="J95" t="s">
        <v>14</v>
      </c>
      <c r="K95" t="str">
        <f t="shared" si="1"/>
        <v>Low</v>
      </c>
    </row>
    <row r="96" spans="1:11" ht="15" customHeight="1" x14ac:dyDescent="0.25">
      <c r="A96" t="s">
        <v>112</v>
      </c>
      <c r="B96">
        <v>45</v>
      </c>
      <c r="C96">
        <v>43</v>
      </c>
      <c r="D96" t="s">
        <v>16</v>
      </c>
      <c r="E96" s="3">
        <v>471</v>
      </c>
      <c r="F96">
        <v>2</v>
      </c>
      <c r="G96">
        <v>10</v>
      </c>
      <c r="H96">
        <v>4</v>
      </c>
      <c r="I96" t="s">
        <v>17</v>
      </c>
      <c r="J96" t="s">
        <v>14</v>
      </c>
      <c r="K96" t="str">
        <f t="shared" si="1"/>
        <v>Low</v>
      </c>
    </row>
    <row r="97" spans="1:11" ht="15" customHeight="1" x14ac:dyDescent="0.25">
      <c r="A97" t="s">
        <v>113</v>
      </c>
      <c r="B97">
        <v>25</v>
      </c>
      <c r="C97">
        <v>21</v>
      </c>
      <c r="D97" t="s">
        <v>16</v>
      </c>
      <c r="E97" s="3">
        <v>522</v>
      </c>
      <c r="F97">
        <v>1</v>
      </c>
      <c r="G97">
        <v>12</v>
      </c>
      <c r="H97">
        <v>4.4000000000000004</v>
      </c>
      <c r="I97" t="s">
        <v>17</v>
      </c>
      <c r="J97" t="s">
        <v>22</v>
      </c>
      <c r="K97" t="str">
        <f t="shared" si="1"/>
        <v>High</v>
      </c>
    </row>
    <row r="98" spans="1:11" ht="15" customHeight="1" x14ac:dyDescent="0.25">
      <c r="A98" t="s">
        <v>114</v>
      </c>
      <c r="B98">
        <v>37</v>
      </c>
      <c r="C98">
        <v>48</v>
      </c>
      <c r="D98" t="s">
        <v>16</v>
      </c>
      <c r="E98" s="3">
        <v>594</v>
      </c>
      <c r="F98">
        <v>4</v>
      </c>
      <c r="G98">
        <v>21</v>
      </c>
      <c r="H98">
        <v>4.5</v>
      </c>
      <c r="I98" t="s">
        <v>17</v>
      </c>
      <c r="J98" t="s">
        <v>14</v>
      </c>
      <c r="K98" t="str">
        <f t="shared" si="1"/>
        <v>Low</v>
      </c>
    </row>
    <row r="99" spans="1:11" ht="15" customHeight="1" x14ac:dyDescent="0.25">
      <c r="A99" t="s">
        <v>115</v>
      </c>
      <c r="B99">
        <v>30</v>
      </c>
      <c r="C99">
        <v>21</v>
      </c>
      <c r="D99" t="s">
        <v>16</v>
      </c>
      <c r="E99" s="3">
        <v>527</v>
      </c>
      <c r="F99">
        <v>7</v>
      </c>
      <c r="G99">
        <v>3</v>
      </c>
      <c r="H99">
        <v>1.7</v>
      </c>
      <c r="I99" t="s">
        <v>17</v>
      </c>
      <c r="J99" t="s">
        <v>22</v>
      </c>
      <c r="K99" t="str">
        <f t="shared" si="1"/>
        <v>High</v>
      </c>
    </row>
    <row r="100" spans="1:11" ht="15" customHeight="1" x14ac:dyDescent="0.25">
      <c r="A100" t="s">
        <v>116</v>
      </c>
      <c r="B100">
        <v>31</v>
      </c>
      <c r="C100">
        <v>3</v>
      </c>
      <c r="D100" t="s">
        <v>16</v>
      </c>
      <c r="E100" s="3">
        <v>689</v>
      </c>
      <c r="F100">
        <v>1</v>
      </c>
      <c r="G100">
        <v>30</v>
      </c>
      <c r="H100">
        <v>3.7</v>
      </c>
      <c r="I100" t="s">
        <v>17</v>
      </c>
      <c r="J100" t="s">
        <v>14</v>
      </c>
      <c r="K100" t="str">
        <f t="shared" si="1"/>
        <v>Medium</v>
      </c>
    </row>
    <row r="101" spans="1:11" ht="15" customHeight="1" x14ac:dyDescent="0.25">
      <c r="A101" t="s">
        <v>117</v>
      </c>
      <c r="B101">
        <v>51</v>
      </c>
      <c r="C101">
        <v>30</v>
      </c>
      <c r="D101" t="s">
        <v>16</v>
      </c>
      <c r="E101" s="3">
        <v>525</v>
      </c>
      <c r="F101">
        <v>5</v>
      </c>
      <c r="G101">
        <v>4</v>
      </c>
      <c r="H101">
        <v>3.4</v>
      </c>
      <c r="I101" t="s">
        <v>17</v>
      </c>
      <c r="J101" t="s">
        <v>22</v>
      </c>
      <c r="K101" t="str">
        <f t="shared" si="1"/>
        <v>High</v>
      </c>
    </row>
    <row r="102" spans="1:11" ht="15" customHeight="1" x14ac:dyDescent="0.25">
      <c r="A102" t="s">
        <v>118</v>
      </c>
      <c r="B102">
        <v>30</v>
      </c>
      <c r="C102">
        <v>48</v>
      </c>
      <c r="D102" t="s">
        <v>16</v>
      </c>
      <c r="E102" s="3">
        <v>738</v>
      </c>
      <c r="F102">
        <v>3</v>
      </c>
      <c r="G102">
        <v>20</v>
      </c>
      <c r="H102">
        <v>3.6</v>
      </c>
      <c r="I102" t="s">
        <v>13</v>
      </c>
      <c r="J102" t="s">
        <v>14</v>
      </c>
      <c r="K102" t="str">
        <f t="shared" si="1"/>
        <v>Low</v>
      </c>
    </row>
    <row r="103" spans="1:11" ht="15" customHeight="1" x14ac:dyDescent="0.25">
      <c r="A103" t="s">
        <v>119</v>
      </c>
      <c r="B103">
        <v>24</v>
      </c>
      <c r="C103">
        <v>16</v>
      </c>
      <c r="D103" t="s">
        <v>16</v>
      </c>
      <c r="E103" s="3">
        <v>498</v>
      </c>
      <c r="F103">
        <v>0</v>
      </c>
      <c r="G103">
        <v>11</v>
      </c>
      <c r="H103">
        <v>3.5</v>
      </c>
      <c r="I103" t="s">
        <v>13</v>
      </c>
      <c r="J103" t="s">
        <v>14</v>
      </c>
      <c r="K103" t="str">
        <f t="shared" si="1"/>
        <v>Low</v>
      </c>
    </row>
    <row r="104" spans="1:11" ht="15" customHeight="1" x14ac:dyDescent="0.25">
      <c r="A104" t="s">
        <v>120</v>
      </c>
      <c r="B104">
        <v>45</v>
      </c>
      <c r="C104">
        <v>24</v>
      </c>
      <c r="D104" t="s">
        <v>16</v>
      </c>
      <c r="E104" s="3">
        <v>615</v>
      </c>
      <c r="F104">
        <v>0</v>
      </c>
      <c r="G104">
        <v>4</v>
      </c>
      <c r="H104">
        <v>2.1</v>
      </c>
      <c r="I104" t="s">
        <v>17</v>
      </c>
      <c r="J104" t="s">
        <v>14</v>
      </c>
      <c r="K104" t="str">
        <f t="shared" si="1"/>
        <v>Medium</v>
      </c>
    </row>
    <row r="105" spans="1:11" ht="15" customHeight="1" x14ac:dyDescent="0.25">
      <c r="A105" t="s">
        <v>121</v>
      </c>
      <c r="B105">
        <v>37</v>
      </c>
      <c r="C105">
        <v>39</v>
      </c>
      <c r="D105" t="s">
        <v>16</v>
      </c>
      <c r="E105" s="3">
        <v>472</v>
      </c>
      <c r="F105">
        <v>7</v>
      </c>
      <c r="G105">
        <v>12</v>
      </c>
      <c r="H105">
        <v>3.8</v>
      </c>
      <c r="I105" t="s">
        <v>13</v>
      </c>
      <c r="J105" t="s">
        <v>14</v>
      </c>
      <c r="K105" t="str">
        <f t="shared" si="1"/>
        <v>Medium</v>
      </c>
    </row>
    <row r="106" spans="1:11" ht="15" customHeight="1" x14ac:dyDescent="0.25">
      <c r="A106" t="s">
        <v>122</v>
      </c>
      <c r="B106">
        <v>56</v>
      </c>
      <c r="C106">
        <v>9</v>
      </c>
      <c r="D106" t="s">
        <v>12</v>
      </c>
      <c r="E106" s="3">
        <v>262</v>
      </c>
      <c r="F106">
        <v>0</v>
      </c>
      <c r="G106">
        <v>25</v>
      </c>
      <c r="H106">
        <v>5</v>
      </c>
      <c r="I106" t="s">
        <v>17</v>
      </c>
      <c r="J106" t="s">
        <v>14</v>
      </c>
      <c r="K106" t="str">
        <f t="shared" si="1"/>
        <v>Medium</v>
      </c>
    </row>
    <row r="107" spans="1:11" ht="15" customHeight="1" x14ac:dyDescent="0.25">
      <c r="A107" t="s">
        <v>123</v>
      </c>
      <c r="B107">
        <v>31</v>
      </c>
      <c r="C107">
        <v>16</v>
      </c>
      <c r="D107" t="s">
        <v>26</v>
      </c>
      <c r="E107" s="3">
        <v>760</v>
      </c>
      <c r="F107">
        <v>3</v>
      </c>
      <c r="G107">
        <v>7</v>
      </c>
      <c r="H107">
        <v>4.5</v>
      </c>
      <c r="I107" t="s">
        <v>17</v>
      </c>
      <c r="J107" t="s">
        <v>14</v>
      </c>
      <c r="K107" t="str">
        <f t="shared" si="1"/>
        <v>Low</v>
      </c>
    </row>
    <row r="108" spans="1:11" ht="15" customHeight="1" x14ac:dyDescent="0.25">
      <c r="A108" t="s">
        <v>124</v>
      </c>
      <c r="B108">
        <v>61</v>
      </c>
      <c r="C108">
        <v>49</v>
      </c>
      <c r="D108" t="s">
        <v>26</v>
      </c>
      <c r="E108" s="3">
        <v>902</v>
      </c>
      <c r="F108">
        <v>7</v>
      </c>
      <c r="G108">
        <v>27</v>
      </c>
      <c r="H108">
        <v>2</v>
      </c>
      <c r="I108" t="s">
        <v>17</v>
      </c>
      <c r="J108" t="s">
        <v>14</v>
      </c>
      <c r="K108" t="str">
        <f t="shared" si="1"/>
        <v>Medium</v>
      </c>
    </row>
    <row r="109" spans="1:11" ht="15" customHeight="1" x14ac:dyDescent="0.25">
      <c r="A109" t="s">
        <v>125</v>
      </c>
      <c r="B109">
        <v>28</v>
      </c>
      <c r="C109">
        <v>23</v>
      </c>
      <c r="D109" t="s">
        <v>16</v>
      </c>
      <c r="E109" s="3">
        <v>712</v>
      </c>
      <c r="F109">
        <v>7</v>
      </c>
      <c r="G109">
        <v>16</v>
      </c>
      <c r="H109">
        <v>4.2</v>
      </c>
      <c r="I109" t="s">
        <v>13</v>
      </c>
      <c r="J109" t="s">
        <v>14</v>
      </c>
      <c r="K109" t="str">
        <f t="shared" si="1"/>
        <v>Medium</v>
      </c>
    </row>
    <row r="110" spans="1:11" ht="15" customHeight="1" x14ac:dyDescent="0.25">
      <c r="A110" t="s">
        <v>126</v>
      </c>
      <c r="B110">
        <v>56</v>
      </c>
      <c r="C110">
        <v>39</v>
      </c>
      <c r="D110" t="s">
        <v>16</v>
      </c>
      <c r="E110" s="3">
        <v>666</v>
      </c>
      <c r="F110">
        <v>5</v>
      </c>
      <c r="G110">
        <v>21</v>
      </c>
      <c r="H110">
        <v>4</v>
      </c>
      <c r="I110" t="s">
        <v>17</v>
      </c>
      <c r="J110" t="s">
        <v>14</v>
      </c>
      <c r="K110" t="str">
        <f t="shared" si="1"/>
        <v>Medium</v>
      </c>
    </row>
    <row r="111" spans="1:11" ht="15" customHeight="1" x14ac:dyDescent="0.25">
      <c r="A111" t="s">
        <v>127</v>
      </c>
      <c r="B111">
        <v>49</v>
      </c>
      <c r="C111">
        <v>44</v>
      </c>
      <c r="D111" t="s">
        <v>12</v>
      </c>
      <c r="E111" s="3">
        <v>425</v>
      </c>
      <c r="F111">
        <v>8</v>
      </c>
      <c r="G111">
        <v>22</v>
      </c>
      <c r="H111">
        <v>4.7</v>
      </c>
      <c r="I111" t="s">
        <v>17</v>
      </c>
      <c r="J111" t="s">
        <v>22</v>
      </c>
      <c r="K111" t="str">
        <f t="shared" si="1"/>
        <v>High</v>
      </c>
    </row>
    <row r="112" spans="1:11" ht="15" customHeight="1" x14ac:dyDescent="0.25">
      <c r="A112" t="s">
        <v>128</v>
      </c>
      <c r="B112">
        <v>49</v>
      </c>
      <c r="C112">
        <v>28</v>
      </c>
      <c r="D112" t="s">
        <v>12</v>
      </c>
      <c r="E112" s="3">
        <v>372</v>
      </c>
      <c r="F112">
        <v>2</v>
      </c>
      <c r="G112">
        <v>23</v>
      </c>
      <c r="H112">
        <v>4.9000000000000004</v>
      </c>
      <c r="I112" t="s">
        <v>17</v>
      </c>
      <c r="J112" t="s">
        <v>14</v>
      </c>
      <c r="K112" t="str">
        <f t="shared" si="1"/>
        <v>Low</v>
      </c>
    </row>
    <row r="113" spans="1:11" ht="15" customHeight="1" x14ac:dyDescent="0.25">
      <c r="A113" t="s">
        <v>129</v>
      </c>
      <c r="B113">
        <v>23</v>
      </c>
      <c r="C113">
        <v>36</v>
      </c>
      <c r="D113" t="s">
        <v>12</v>
      </c>
      <c r="E113" s="3">
        <v>261</v>
      </c>
      <c r="F113">
        <v>8</v>
      </c>
      <c r="G113">
        <v>15</v>
      </c>
      <c r="H113">
        <v>2.5</v>
      </c>
      <c r="I113" t="s">
        <v>17</v>
      </c>
      <c r="J113" t="s">
        <v>22</v>
      </c>
      <c r="K113" t="str">
        <f t="shared" si="1"/>
        <v>High</v>
      </c>
    </row>
    <row r="114" spans="1:11" ht="15" customHeight="1" x14ac:dyDescent="0.25">
      <c r="A114" t="s">
        <v>130</v>
      </c>
      <c r="B114">
        <v>56</v>
      </c>
      <c r="C114">
        <v>53</v>
      </c>
      <c r="D114" t="s">
        <v>12</v>
      </c>
      <c r="E114" s="3">
        <v>315</v>
      </c>
      <c r="F114">
        <v>8</v>
      </c>
      <c r="G114">
        <v>2</v>
      </c>
      <c r="H114">
        <v>4.5</v>
      </c>
      <c r="I114" t="s">
        <v>17</v>
      </c>
      <c r="J114" t="s">
        <v>22</v>
      </c>
      <c r="K114" t="str">
        <f t="shared" si="1"/>
        <v>High</v>
      </c>
    </row>
    <row r="115" spans="1:11" ht="15" customHeight="1" x14ac:dyDescent="0.25">
      <c r="A115" t="s">
        <v>131</v>
      </c>
      <c r="B115">
        <v>45</v>
      </c>
      <c r="C115">
        <v>3</v>
      </c>
      <c r="D115" t="s">
        <v>12</v>
      </c>
      <c r="E115" s="3">
        <v>430</v>
      </c>
      <c r="F115">
        <v>7</v>
      </c>
      <c r="G115">
        <v>26</v>
      </c>
      <c r="H115">
        <v>4.4000000000000004</v>
      </c>
      <c r="I115" t="s">
        <v>13</v>
      </c>
      <c r="J115" t="s">
        <v>14</v>
      </c>
      <c r="K115" t="str">
        <f t="shared" si="1"/>
        <v>Medium</v>
      </c>
    </row>
    <row r="116" spans="1:11" ht="15" customHeight="1" x14ac:dyDescent="0.25">
      <c r="A116" t="s">
        <v>132</v>
      </c>
      <c r="B116">
        <v>36</v>
      </c>
      <c r="C116">
        <v>22</v>
      </c>
      <c r="D116" t="s">
        <v>26</v>
      </c>
      <c r="E116" s="3">
        <v>844</v>
      </c>
      <c r="F116">
        <v>1</v>
      </c>
      <c r="G116">
        <v>25</v>
      </c>
      <c r="H116">
        <v>4.2</v>
      </c>
      <c r="I116" t="s">
        <v>13</v>
      </c>
      <c r="J116" t="s">
        <v>14</v>
      </c>
      <c r="K116" t="str">
        <f t="shared" si="1"/>
        <v>Low</v>
      </c>
    </row>
    <row r="117" spans="1:11" ht="15" customHeight="1" x14ac:dyDescent="0.25">
      <c r="A117" t="s">
        <v>133</v>
      </c>
      <c r="B117">
        <v>21</v>
      </c>
      <c r="C117">
        <v>1</v>
      </c>
      <c r="D117" t="s">
        <v>16</v>
      </c>
      <c r="E117" s="3">
        <v>537</v>
      </c>
      <c r="F117">
        <v>7</v>
      </c>
      <c r="G117">
        <v>16</v>
      </c>
      <c r="H117">
        <v>3.4</v>
      </c>
      <c r="I117" t="s">
        <v>13</v>
      </c>
      <c r="J117" t="s">
        <v>14</v>
      </c>
      <c r="K117" t="str">
        <f t="shared" si="1"/>
        <v>Medium</v>
      </c>
    </row>
    <row r="118" spans="1:11" ht="15" customHeight="1" x14ac:dyDescent="0.25">
      <c r="A118" t="s">
        <v>134</v>
      </c>
      <c r="B118">
        <v>58</v>
      </c>
      <c r="C118">
        <v>47</v>
      </c>
      <c r="D118" t="s">
        <v>16</v>
      </c>
      <c r="E118" s="3">
        <v>634</v>
      </c>
      <c r="F118">
        <v>6</v>
      </c>
      <c r="G118">
        <v>27</v>
      </c>
      <c r="H118">
        <v>3.3</v>
      </c>
      <c r="I118" t="s">
        <v>17</v>
      </c>
      <c r="J118" t="s">
        <v>22</v>
      </c>
      <c r="K118" t="str">
        <f t="shared" si="1"/>
        <v>High</v>
      </c>
    </row>
    <row r="119" spans="1:11" ht="15" customHeight="1" x14ac:dyDescent="0.25">
      <c r="A119" t="s">
        <v>135</v>
      </c>
      <c r="B119">
        <v>21</v>
      </c>
      <c r="C119">
        <v>45</v>
      </c>
      <c r="D119" t="s">
        <v>26</v>
      </c>
      <c r="E119" s="3">
        <v>996</v>
      </c>
      <c r="F119">
        <v>2</v>
      </c>
      <c r="G119">
        <v>22</v>
      </c>
      <c r="H119">
        <v>3.9</v>
      </c>
      <c r="I119" t="s">
        <v>17</v>
      </c>
      <c r="J119" t="s">
        <v>14</v>
      </c>
      <c r="K119" t="str">
        <f t="shared" si="1"/>
        <v>Low</v>
      </c>
    </row>
    <row r="120" spans="1:11" ht="15" customHeight="1" x14ac:dyDescent="0.25">
      <c r="A120" t="s">
        <v>136</v>
      </c>
      <c r="B120">
        <v>54</v>
      </c>
      <c r="C120">
        <v>13</v>
      </c>
      <c r="D120" t="s">
        <v>12</v>
      </c>
      <c r="E120" s="3">
        <v>447</v>
      </c>
      <c r="F120">
        <v>7</v>
      </c>
      <c r="G120">
        <v>15</v>
      </c>
      <c r="H120">
        <v>4</v>
      </c>
      <c r="I120" t="s">
        <v>17</v>
      </c>
      <c r="J120" t="s">
        <v>14</v>
      </c>
      <c r="K120" t="str">
        <f t="shared" si="1"/>
        <v>Medium</v>
      </c>
    </row>
    <row r="121" spans="1:11" ht="15" customHeight="1" x14ac:dyDescent="0.25">
      <c r="A121" t="s">
        <v>137</v>
      </c>
      <c r="B121">
        <v>51</v>
      </c>
      <c r="C121">
        <v>31</v>
      </c>
      <c r="D121" t="s">
        <v>12</v>
      </c>
      <c r="E121" s="3">
        <v>365</v>
      </c>
      <c r="F121">
        <v>3</v>
      </c>
      <c r="G121">
        <v>11</v>
      </c>
      <c r="H121">
        <v>3.6</v>
      </c>
      <c r="I121" t="s">
        <v>17</v>
      </c>
      <c r="J121" t="s">
        <v>14</v>
      </c>
      <c r="K121" t="str">
        <f t="shared" si="1"/>
        <v>Low</v>
      </c>
    </row>
    <row r="122" spans="1:11" ht="15" customHeight="1" x14ac:dyDescent="0.25">
      <c r="A122" t="s">
        <v>138</v>
      </c>
      <c r="B122">
        <v>23</v>
      </c>
      <c r="C122">
        <v>22</v>
      </c>
      <c r="D122" t="s">
        <v>12</v>
      </c>
      <c r="E122" s="3">
        <v>411</v>
      </c>
      <c r="F122">
        <v>7</v>
      </c>
      <c r="G122">
        <v>25</v>
      </c>
      <c r="H122">
        <v>2.2000000000000002</v>
      </c>
      <c r="I122" t="s">
        <v>13</v>
      </c>
      <c r="J122" t="s">
        <v>22</v>
      </c>
      <c r="K122" t="str">
        <f t="shared" si="1"/>
        <v>High</v>
      </c>
    </row>
    <row r="123" spans="1:11" ht="15" customHeight="1" x14ac:dyDescent="0.25">
      <c r="A123" t="s">
        <v>139</v>
      </c>
      <c r="B123">
        <v>45</v>
      </c>
      <c r="C123">
        <v>32</v>
      </c>
      <c r="D123" t="s">
        <v>16</v>
      </c>
      <c r="E123" s="3">
        <v>699</v>
      </c>
      <c r="F123">
        <v>0</v>
      </c>
      <c r="G123">
        <v>18</v>
      </c>
      <c r="H123">
        <v>2.8</v>
      </c>
      <c r="I123" t="s">
        <v>17</v>
      </c>
      <c r="J123" t="s">
        <v>14</v>
      </c>
      <c r="K123" t="str">
        <f t="shared" si="1"/>
        <v>Medium</v>
      </c>
    </row>
    <row r="124" spans="1:11" ht="15" customHeight="1" x14ac:dyDescent="0.25">
      <c r="A124" t="s">
        <v>140</v>
      </c>
      <c r="B124">
        <v>55</v>
      </c>
      <c r="C124">
        <v>5</v>
      </c>
      <c r="D124" t="s">
        <v>12</v>
      </c>
      <c r="E124" s="3">
        <v>415</v>
      </c>
      <c r="F124">
        <v>1</v>
      </c>
      <c r="G124">
        <v>17</v>
      </c>
      <c r="H124">
        <v>2.6</v>
      </c>
      <c r="I124" t="s">
        <v>17</v>
      </c>
      <c r="J124" t="s">
        <v>22</v>
      </c>
      <c r="K124" t="str">
        <f t="shared" si="1"/>
        <v>High</v>
      </c>
    </row>
    <row r="125" spans="1:11" ht="15" customHeight="1" x14ac:dyDescent="0.25">
      <c r="A125" t="s">
        <v>141</v>
      </c>
      <c r="B125">
        <v>30</v>
      </c>
      <c r="C125">
        <v>19</v>
      </c>
      <c r="D125" t="s">
        <v>16</v>
      </c>
      <c r="E125" s="3">
        <v>626</v>
      </c>
      <c r="F125">
        <v>3</v>
      </c>
      <c r="G125">
        <v>18</v>
      </c>
      <c r="H125">
        <v>2.6</v>
      </c>
      <c r="I125" t="s">
        <v>17</v>
      </c>
      <c r="J125" t="s">
        <v>14</v>
      </c>
      <c r="K125" t="str">
        <f t="shared" si="1"/>
        <v>Medium</v>
      </c>
    </row>
    <row r="126" spans="1:11" ht="15" customHeight="1" x14ac:dyDescent="0.25">
      <c r="A126" t="s">
        <v>142</v>
      </c>
      <c r="B126">
        <v>41</v>
      </c>
      <c r="C126">
        <v>59</v>
      </c>
      <c r="D126" t="s">
        <v>16</v>
      </c>
      <c r="E126" s="3">
        <v>689</v>
      </c>
      <c r="F126">
        <v>4</v>
      </c>
      <c r="G126">
        <v>25</v>
      </c>
      <c r="H126">
        <v>3</v>
      </c>
      <c r="I126" t="s">
        <v>13</v>
      </c>
      <c r="J126" t="s">
        <v>14</v>
      </c>
      <c r="K126" t="str">
        <f t="shared" si="1"/>
        <v>Low</v>
      </c>
    </row>
    <row r="127" spans="1:11" ht="15" customHeight="1" x14ac:dyDescent="0.25">
      <c r="A127" t="s">
        <v>143</v>
      </c>
      <c r="B127">
        <v>43</v>
      </c>
      <c r="C127">
        <v>51</v>
      </c>
      <c r="D127" t="s">
        <v>16</v>
      </c>
      <c r="E127" s="3">
        <v>556</v>
      </c>
      <c r="F127">
        <v>1</v>
      </c>
      <c r="G127">
        <v>23</v>
      </c>
      <c r="H127">
        <v>1.3</v>
      </c>
      <c r="I127" t="s">
        <v>17</v>
      </c>
      <c r="J127" t="s">
        <v>22</v>
      </c>
      <c r="K127" t="str">
        <f t="shared" si="1"/>
        <v>High</v>
      </c>
    </row>
    <row r="128" spans="1:11" ht="15" customHeight="1" x14ac:dyDescent="0.25">
      <c r="A128" t="s">
        <v>144</v>
      </c>
      <c r="B128">
        <v>30</v>
      </c>
      <c r="C128">
        <v>39</v>
      </c>
      <c r="D128" t="s">
        <v>16</v>
      </c>
      <c r="E128" s="3">
        <v>702</v>
      </c>
      <c r="F128">
        <v>3</v>
      </c>
      <c r="G128">
        <v>8</v>
      </c>
      <c r="H128">
        <v>1</v>
      </c>
      <c r="I128" t="s">
        <v>17</v>
      </c>
      <c r="J128" t="s">
        <v>22</v>
      </c>
      <c r="K128" t="str">
        <f t="shared" si="1"/>
        <v>High</v>
      </c>
    </row>
    <row r="129" spans="1:11" ht="15" customHeight="1" x14ac:dyDescent="0.25">
      <c r="A129" t="s">
        <v>145</v>
      </c>
      <c r="B129">
        <v>63</v>
      </c>
      <c r="C129">
        <v>11</v>
      </c>
      <c r="D129" t="s">
        <v>12</v>
      </c>
      <c r="E129" s="3">
        <v>378</v>
      </c>
      <c r="F129">
        <v>1</v>
      </c>
      <c r="G129">
        <v>12</v>
      </c>
      <c r="H129">
        <v>2.2999999999999998</v>
      </c>
      <c r="I129" t="s">
        <v>17</v>
      </c>
      <c r="J129" t="s">
        <v>14</v>
      </c>
      <c r="K129" t="str">
        <f t="shared" si="1"/>
        <v>Medium</v>
      </c>
    </row>
    <row r="130" spans="1:11" ht="15" customHeight="1" x14ac:dyDescent="0.25">
      <c r="A130" t="s">
        <v>146</v>
      </c>
      <c r="B130">
        <v>27</v>
      </c>
      <c r="C130">
        <v>36</v>
      </c>
      <c r="D130" t="s">
        <v>12</v>
      </c>
      <c r="E130" s="3">
        <v>316</v>
      </c>
      <c r="F130">
        <v>5</v>
      </c>
      <c r="G130">
        <v>26</v>
      </c>
      <c r="H130">
        <v>5</v>
      </c>
      <c r="I130" t="s">
        <v>17</v>
      </c>
      <c r="J130" t="s">
        <v>22</v>
      </c>
      <c r="K130" t="str">
        <f t="shared" ref="K130:K193" si="2">IF(J130="Yes","High",IF(OR(H130&lt;3,F130&gt;=5,C130&lt;12),"Medium","Low"))</f>
        <v>High</v>
      </c>
    </row>
    <row r="131" spans="1:11" ht="15" customHeight="1" x14ac:dyDescent="0.25">
      <c r="A131" t="s">
        <v>147</v>
      </c>
      <c r="B131">
        <v>64</v>
      </c>
      <c r="C131">
        <v>56</v>
      </c>
      <c r="D131" t="s">
        <v>16</v>
      </c>
      <c r="E131" s="3">
        <v>503</v>
      </c>
      <c r="F131">
        <v>0</v>
      </c>
      <c r="G131">
        <v>16</v>
      </c>
      <c r="H131">
        <v>4</v>
      </c>
      <c r="I131" t="s">
        <v>13</v>
      </c>
      <c r="J131" t="s">
        <v>14</v>
      </c>
      <c r="K131" t="str">
        <f t="shared" si="2"/>
        <v>Low</v>
      </c>
    </row>
    <row r="132" spans="1:11" ht="15" customHeight="1" x14ac:dyDescent="0.25">
      <c r="A132" t="s">
        <v>148</v>
      </c>
      <c r="B132">
        <v>27</v>
      </c>
      <c r="C132">
        <v>7</v>
      </c>
      <c r="D132" t="s">
        <v>16</v>
      </c>
      <c r="E132" s="3">
        <v>502</v>
      </c>
      <c r="F132">
        <v>8</v>
      </c>
      <c r="G132">
        <v>3</v>
      </c>
      <c r="H132">
        <v>3</v>
      </c>
      <c r="I132" t="s">
        <v>17</v>
      </c>
      <c r="J132" t="s">
        <v>22</v>
      </c>
      <c r="K132" t="str">
        <f t="shared" si="2"/>
        <v>High</v>
      </c>
    </row>
    <row r="133" spans="1:11" ht="15" customHeight="1" x14ac:dyDescent="0.25">
      <c r="A133" t="s">
        <v>149</v>
      </c>
      <c r="B133">
        <v>43</v>
      </c>
      <c r="C133">
        <v>11</v>
      </c>
      <c r="D133" t="s">
        <v>16</v>
      </c>
      <c r="E133" s="3">
        <v>676</v>
      </c>
      <c r="F133">
        <v>8</v>
      </c>
      <c r="G133">
        <v>17</v>
      </c>
      <c r="H133">
        <v>3.5</v>
      </c>
      <c r="I133" t="s">
        <v>13</v>
      </c>
      <c r="J133" t="s">
        <v>22</v>
      </c>
      <c r="K133" t="str">
        <f t="shared" si="2"/>
        <v>High</v>
      </c>
    </row>
    <row r="134" spans="1:11" ht="15" customHeight="1" x14ac:dyDescent="0.25">
      <c r="A134" t="s">
        <v>150</v>
      </c>
      <c r="B134">
        <v>61</v>
      </c>
      <c r="C134">
        <v>24</v>
      </c>
      <c r="D134" t="s">
        <v>12</v>
      </c>
      <c r="E134" s="3">
        <v>285</v>
      </c>
      <c r="F134">
        <v>3</v>
      </c>
      <c r="G134">
        <v>16</v>
      </c>
      <c r="H134">
        <v>5</v>
      </c>
      <c r="I134" t="s">
        <v>17</v>
      </c>
      <c r="J134" t="s">
        <v>14</v>
      </c>
      <c r="K134" t="str">
        <f t="shared" si="2"/>
        <v>Low</v>
      </c>
    </row>
    <row r="135" spans="1:11" ht="15" customHeight="1" x14ac:dyDescent="0.25">
      <c r="A135" t="s">
        <v>151</v>
      </c>
      <c r="B135">
        <v>50</v>
      </c>
      <c r="C135">
        <v>22</v>
      </c>
      <c r="D135" t="s">
        <v>12</v>
      </c>
      <c r="E135" s="3">
        <v>293</v>
      </c>
      <c r="F135">
        <v>5</v>
      </c>
      <c r="G135">
        <v>24</v>
      </c>
      <c r="H135">
        <v>3.2</v>
      </c>
      <c r="I135" t="s">
        <v>13</v>
      </c>
      <c r="J135" t="s">
        <v>14</v>
      </c>
      <c r="K135" t="str">
        <f t="shared" si="2"/>
        <v>Medium</v>
      </c>
    </row>
    <row r="136" spans="1:11" ht="15" customHeight="1" x14ac:dyDescent="0.25">
      <c r="A136" t="s">
        <v>152</v>
      </c>
      <c r="B136">
        <v>62</v>
      </c>
      <c r="C136">
        <v>16</v>
      </c>
      <c r="D136" t="s">
        <v>12</v>
      </c>
      <c r="E136" s="3">
        <v>442</v>
      </c>
      <c r="F136">
        <v>3</v>
      </c>
      <c r="G136">
        <v>6</v>
      </c>
      <c r="H136">
        <v>3.8</v>
      </c>
      <c r="I136" t="s">
        <v>17</v>
      </c>
      <c r="J136" t="s">
        <v>14</v>
      </c>
      <c r="K136" t="str">
        <f t="shared" si="2"/>
        <v>Low</v>
      </c>
    </row>
    <row r="137" spans="1:11" ht="15" customHeight="1" x14ac:dyDescent="0.25">
      <c r="A137" t="s">
        <v>153</v>
      </c>
      <c r="B137">
        <v>53</v>
      </c>
      <c r="C137">
        <v>51</v>
      </c>
      <c r="D137" t="s">
        <v>16</v>
      </c>
      <c r="E137" s="3">
        <v>676</v>
      </c>
      <c r="F137">
        <v>0</v>
      </c>
      <c r="G137">
        <v>24</v>
      </c>
      <c r="H137">
        <v>2.6</v>
      </c>
      <c r="I137" t="s">
        <v>13</v>
      </c>
      <c r="J137" t="s">
        <v>14</v>
      </c>
      <c r="K137" t="str">
        <f t="shared" si="2"/>
        <v>Medium</v>
      </c>
    </row>
    <row r="138" spans="1:11" ht="15" customHeight="1" x14ac:dyDescent="0.25">
      <c r="A138" t="s">
        <v>154</v>
      </c>
      <c r="B138">
        <v>25</v>
      </c>
      <c r="C138">
        <v>22</v>
      </c>
      <c r="D138" t="s">
        <v>12</v>
      </c>
      <c r="E138" s="3">
        <v>447</v>
      </c>
      <c r="F138">
        <v>0</v>
      </c>
      <c r="G138">
        <v>14</v>
      </c>
      <c r="H138">
        <v>3.6</v>
      </c>
      <c r="I138" t="s">
        <v>17</v>
      </c>
      <c r="J138" t="s">
        <v>14</v>
      </c>
      <c r="K138" t="str">
        <f t="shared" si="2"/>
        <v>Low</v>
      </c>
    </row>
    <row r="139" spans="1:11" ht="15" customHeight="1" x14ac:dyDescent="0.25">
      <c r="A139" t="s">
        <v>155</v>
      </c>
      <c r="B139">
        <v>23</v>
      </c>
      <c r="C139">
        <v>41</v>
      </c>
      <c r="D139" t="s">
        <v>26</v>
      </c>
      <c r="E139" s="3">
        <v>901</v>
      </c>
      <c r="F139">
        <v>6</v>
      </c>
      <c r="G139">
        <v>14</v>
      </c>
      <c r="H139">
        <v>2.2000000000000002</v>
      </c>
      <c r="I139" t="s">
        <v>13</v>
      </c>
      <c r="J139" t="s">
        <v>14</v>
      </c>
      <c r="K139" t="str">
        <f t="shared" si="2"/>
        <v>Medium</v>
      </c>
    </row>
    <row r="140" spans="1:11" ht="15" customHeight="1" x14ac:dyDescent="0.25">
      <c r="A140" t="s">
        <v>156</v>
      </c>
      <c r="B140">
        <v>39</v>
      </c>
      <c r="C140">
        <v>47</v>
      </c>
      <c r="D140" t="s">
        <v>16</v>
      </c>
      <c r="E140" s="3">
        <v>454</v>
      </c>
      <c r="F140">
        <v>4</v>
      </c>
      <c r="G140">
        <v>30</v>
      </c>
      <c r="H140">
        <v>1.5</v>
      </c>
      <c r="I140" t="s">
        <v>13</v>
      </c>
      <c r="J140" t="s">
        <v>14</v>
      </c>
      <c r="K140" t="str">
        <f t="shared" si="2"/>
        <v>Medium</v>
      </c>
    </row>
    <row r="141" spans="1:11" ht="15" customHeight="1" x14ac:dyDescent="0.25">
      <c r="A141" t="s">
        <v>157</v>
      </c>
      <c r="B141">
        <v>33</v>
      </c>
      <c r="C141">
        <v>57</v>
      </c>
      <c r="D141" t="s">
        <v>16</v>
      </c>
      <c r="E141" s="3">
        <v>676</v>
      </c>
      <c r="F141">
        <v>5</v>
      </c>
      <c r="G141">
        <v>30</v>
      </c>
      <c r="H141">
        <v>3.1</v>
      </c>
      <c r="I141" t="s">
        <v>13</v>
      </c>
      <c r="J141" t="s">
        <v>14</v>
      </c>
      <c r="K141" t="str">
        <f t="shared" si="2"/>
        <v>Medium</v>
      </c>
    </row>
    <row r="142" spans="1:11" ht="15" customHeight="1" x14ac:dyDescent="0.25">
      <c r="A142" t="s">
        <v>158</v>
      </c>
      <c r="B142">
        <v>32</v>
      </c>
      <c r="C142">
        <v>57</v>
      </c>
      <c r="D142" t="s">
        <v>12</v>
      </c>
      <c r="E142" s="3">
        <v>259</v>
      </c>
      <c r="F142">
        <v>6</v>
      </c>
      <c r="G142">
        <v>25</v>
      </c>
      <c r="H142">
        <v>3.1</v>
      </c>
      <c r="I142" t="s">
        <v>17</v>
      </c>
      <c r="J142" t="s">
        <v>14</v>
      </c>
      <c r="K142" t="str">
        <f t="shared" si="2"/>
        <v>Medium</v>
      </c>
    </row>
    <row r="143" spans="1:11" ht="15" customHeight="1" x14ac:dyDescent="0.25">
      <c r="A143" t="s">
        <v>159</v>
      </c>
      <c r="B143">
        <v>33</v>
      </c>
      <c r="C143">
        <v>6</v>
      </c>
      <c r="D143" t="s">
        <v>16</v>
      </c>
      <c r="E143" s="3">
        <v>716</v>
      </c>
      <c r="F143">
        <v>2</v>
      </c>
      <c r="G143">
        <v>2</v>
      </c>
      <c r="H143">
        <v>1.7</v>
      </c>
      <c r="I143" t="s">
        <v>17</v>
      </c>
      <c r="J143" t="s">
        <v>14</v>
      </c>
      <c r="K143" t="str">
        <f t="shared" si="2"/>
        <v>Medium</v>
      </c>
    </row>
    <row r="144" spans="1:11" ht="15" customHeight="1" x14ac:dyDescent="0.25">
      <c r="A144" t="s">
        <v>160</v>
      </c>
      <c r="B144">
        <v>57</v>
      </c>
      <c r="C144">
        <v>17</v>
      </c>
      <c r="D144" t="s">
        <v>12</v>
      </c>
      <c r="E144" s="3">
        <v>448</v>
      </c>
      <c r="F144">
        <v>6</v>
      </c>
      <c r="G144">
        <v>18</v>
      </c>
      <c r="H144">
        <v>3.7</v>
      </c>
      <c r="I144" t="s">
        <v>17</v>
      </c>
      <c r="J144" t="s">
        <v>14</v>
      </c>
      <c r="K144" t="str">
        <f t="shared" si="2"/>
        <v>Medium</v>
      </c>
    </row>
    <row r="145" spans="1:11" ht="15" customHeight="1" x14ac:dyDescent="0.25">
      <c r="A145" t="s">
        <v>161</v>
      </c>
      <c r="B145">
        <v>42</v>
      </c>
      <c r="C145">
        <v>8</v>
      </c>
      <c r="D145" t="s">
        <v>12</v>
      </c>
      <c r="E145" s="3">
        <v>416</v>
      </c>
      <c r="F145">
        <v>4</v>
      </c>
      <c r="G145">
        <v>20</v>
      </c>
      <c r="H145">
        <v>3.7</v>
      </c>
      <c r="I145" t="s">
        <v>13</v>
      </c>
      <c r="J145" t="s">
        <v>14</v>
      </c>
      <c r="K145" t="str">
        <f t="shared" si="2"/>
        <v>Medium</v>
      </c>
    </row>
    <row r="146" spans="1:11" ht="15" customHeight="1" x14ac:dyDescent="0.25">
      <c r="A146" t="s">
        <v>162</v>
      </c>
      <c r="B146">
        <v>35</v>
      </c>
      <c r="C146">
        <v>52</v>
      </c>
      <c r="D146" t="s">
        <v>16</v>
      </c>
      <c r="E146" s="3">
        <v>739</v>
      </c>
      <c r="F146">
        <v>8</v>
      </c>
      <c r="G146">
        <v>29</v>
      </c>
      <c r="H146">
        <v>2.8</v>
      </c>
      <c r="I146" t="s">
        <v>17</v>
      </c>
      <c r="J146" t="s">
        <v>14</v>
      </c>
      <c r="K146" t="str">
        <f t="shared" si="2"/>
        <v>Medium</v>
      </c>
    </row>
    <row r="147" spans="1:11" ht="15" customHeight="1" x14ac:dyDescent="0.25">
      <c r="A147" t="s">
        <v>163</v>
      </c>
      <c r="B147">
        <v>65</v>
      </c>
      <c r="C147">
        <v>37</v>
      </c>
      <c r="D147" t="s">
        <v>16</v>
      </c>
      <c r="E147" s="3">
        <v>643</v>
      </c>
      <c r="F147">
        <v>3</v>
      </c>
      <c r="G147">
        <v>5</v>
      </c>
      <c r="H147">
        <v>3</v>
      </c>
      <c r="I147" t="s">
        <v>17</v>
      </c>
      <c r="J147" t="s">
        <v>14</v>
      </c>
      <c r="K147" t="str">
        <f t="shared" si="2"/>
        <v>Low</v>
      </c>
    </row>
    <row r="148" spans="1:11" ht="15" customHeight="1" x14ac:dyDescent="0.25">
      <c r="A148" t="s">
        <v>164</v>
      </c>
      <c r="B148">
        <v>43</v>
      </c>
      <c r="C148">
        <v>30</v>
      </c>
      <c r="D148" t="s">
        <v>12</v>
      </c>
      <c r="E148" s="3">
        <v>432</v>
      </c>
      <c r="F148">
        <v>6</v>
      </c>
      <c r="G148">
        <v>4</v>
      </c>
      <c r="H148">
        <v>4.3</v>
      </c>
      <c r="I148" t="s">
        <v>17</v>
      </c>
      <c r="J148" t="s">
        <v>22</v>
      </c>
      <c r="K148" t="str">
        <f t="shared" si="2"/>
        <v>High</v>
      </c>
    </row>
    <row r="149" spans="1:11" ht="15" customHeight="1" x14ac:dyDescent="0.25">
      <c r="A149" t="s">
        <v>165</v>
      </c>
      <c r="B149">
        <v>24</v>
      </c>
      <c r="C149">
        <v>24</v>
      </c>
      <c r="D149" t="s">
        <v>16</v>
      </c>
      <c r="E149" s="3">
        <v>736</v>
      </c>
      <c r="F149">
        <v>6</v>
      </c>
      <c r="G149">
        <v>29</v>
      </c>
      <c r="H149">
        <v>4</v>
      </c>
      <c r="I149" t="s">
        <v>17</v>
      </c>
      <c r="J149" t="s">
        <v>14</v>
      </c>
      <c r="K149" t="str">
        <f t="shared" si="2"/>
        <v>Medium</v>
      </c>
    </row>
    <row r="150" spans="1:11" ht="15" customHeight="1" x14ac:dyDescent="0.25">
      <c r="A150" t="s">
        <v>166</v>
      </c>
      <c r="B150">
        <v>47</v>
      </c>
      <c r="C150">
        <v>29</v>
      </c>
      <c r="D150" t="s">
        <v>16</v>
      </c>
      <c r="E150" s="3">
        <v>663</v>
      </c>
      <c r="F150">
        <v>2</v>
      </c>
      <c r="G150">
        <v>6</v>
      </c>
      <c r="H150">
        <v>2.5</v>
      </c>
      <c r="I150" t="s">
        <v>17</v>
      </c>
      <c r="J150" t="s">
        <v>14</v>
      </c>
      <c r="K150" t="str">
        <f t="shared" si="2"/>
        <v>Medium</v>
      </c>
    </row>
    <row r="151" spans="1:11" ht="15" customHeight="1" x14ac:dyDescent="0.25">
      <c r="A151" t="s">
        <v>167</v>
      </c>
      <c r="B151">
        <v>52</v>
      </c>
      <c r="C151">
        <v>56</v>
      </c>
      <c r="D151" t="s">
        <v>16</v>
      </c>
      <c r="E151" s="3">
        <v>558</v>
      </c>
      <c r="F151">
        <v>7</v>
      </c>
      <c r="G151">
        <v>3</v>
      </c>
      <c r="H151">
        <v>3.5</v>
      </c>
      <c r="I151" t="s">
        <v>13</v>
      </c>
      <c r="J151" t="s">
        <v>14</v>
      </c>
      <c r="K151" t="str">
        <f t="shared" si="2"/>
        <v>Medium</v>
      </c>
    </row>
    <row r="152" spans="1:11" ht="15" customHeight="1" x14ac:dyDescent="0.25">
      <c r="A152" t="s">
        <v>168</v>
      </c>
      <c r="B152">
        <v>43</v>
      </c>
      <c r="C152">
        <v>59</v>
      </c>
      <c r="D152" t="s">
        <v>26</v>
      </c>
      <c r="E152" s="3">
        <v>806</v>
      </c>
      <c r="F152">
        <v>1</v>
      </c>
      <c r="G152">
        <v>13</v>
      </c>
      <c r="H152">
        <v>3.3</v>
      </c>
      <c r="I152" t="s">
        <v>17</v>
      </c>
      <c r="J152" t="s">
        <v>14</v>
      </c>
      <c r="K152" t="str">
        <f t="shared" si="2"/>
        <v>Low</v>
      </c>
    </row>
    <row r="153" spans="1:11" ht="15" customHeight="1" x14ac:dyDescent="0.25">
      <c r="A153" t="s">
        <v>169</v>
      </c>
      <c r="B153">
        <v>43</v>
      </c>
      <c r="C153">
        <v>20</v>
      </c>
      <c r="D153" t="s">
        <v>12</v>
      </c>
      <c r="E153" s="3">
        <v>257</v>
      </c>
      <c r="F153">
        <v>6</v>
      </c>
      <c r="G153">
        <v>3</v>
      </c>
      <c r="H153">
        <v>3.4</v>
      </c>
      <c r="I153" t="s">
        <v>13</v>
      </c>
      <c r="J153" t="s">
        <v>22</v>
      </c>
      <c r="K153" t="str">
        <f t="shared" si="2"/>
        <v>High</v>
      </c>
    </row>
    <row r="154" spans="1:11" ht="15" customHeight="1" x14ac:dyDescent="0.25">
      <c r="A154" t="s">
        <v>170</v>
      </c>
      <c r="B154">
        <v>38</v>
      </c>
      <c r="C154">
        <v>14</v>
      </c>
      <c r="D154" t="s">
        <v>12</v>
      </c>
      <c r="E154" s="3">
        <v>439</v>
      </c>
      <c r="F154">
        <v>1</v>
      </c>
      <c r="G154">
        <v>19</v>
      </c>
      <c r="H154">
        <v>2.4</v>
      </c>
      <c r="I154" t="s">
        <v>17</v>
      </c>
      <c r="J154" t="s">
        <v>14</v>
      </c>
      <c r="K154" t="str">
        <f t="shared" si="2"/>
        <v>Medium</v>
      </c>
    </row>
    <row r="155" spans="1:11" ht="15" customHeight="1" x14ac:dyDescent="0.25">
      <c r="A155" t="s">
        <v>171</v>
      </c>
      <c r="B155">
        <v>56</v>
      </c>
      <c r="C155">
        <v>29</v>
      </c>
      <c r="D155" t="s">
        <v>26</v>
      </c>
      <c r="E155" s="3">
        <v>993</v>
      </c>
      <c r="F155">
        <v>2</v>
      </c>
      <c r="G155">
        <v>26</v>
      </c>
      <c r="H155">
        <v>5</v>
      </c>
      <c r="I155" t="s">
        <v>17</v>
      </c>
      <c r="J155" t="s">
        <v>14</v>
      </c>
      <c r="K155" t="str">
        <f t="shared" si="2"/>
        <v>Low</v>
      </c>
    </row>
    <row r="156" spans="1:11" ht="15" customHeight="1" x14ac:dyDescent="0.25">
      <c r="A156" t="s">
        <v>172</v>
      </c>
      <c r="B156">
        <v>48</v>
      </c>
      <c r="C156">
        <v>43</v>
      </c>
      <c r="D156" t="s">
        <v>16</v>
      </c>
      <c r="E156" s="3">
        <v>616</v>
      </c>
      <c r="F156">
        <v>6</v>
      </c>
      <c r="G156">
        <v>14</v>
      </c>
      <c r="H156">
        <v>3.6</v>
      </c>
      <c r="I156" t="s">
        <v>17</v>
      </c>
      <c r="J156" t="s">
        <v>14</v>
      </c>
      <c r="K156" t="str">
        <f t="shared" si="2"/>
        <v>Medium</v>
      </c>
    </row>
    <row r="157" spans="1:11" ht="15" customHeight="1" x14ac:dyDescent="0.25">
      <c r="A157" t="s">
        <v>173</v>
      </c>
      <c r="B157">
        <v>48</v>
      </c>
      <c r="C157">
        <v>48</v>
      </c>
      <c r="D157" t="s">
        <v>12</v>
      </c>
      <c r="E157" s="3">
        <v>272</v>
      </c>
      <c r="F157">
        <v>0</v>
      </c>
      <c r="G157">
        <v>20</v>
      </c>
      <c r="H157">
        <v>4.4000000000000004</v>
      </c>
      <c r="I157" t="s">
        <v>17</v>
      </c>
      <c r="J157" t="s">
        <v>14</v>
      </c>
      <c r="K157" t="str">
        <f t="shared" si="2"/>
        <v>Low</v>
      </c>
    </row>
    <row r="158" spans="1:11" ht="15" customHeight="1" x14ac:dyDescent="0.25">
      <c r="A158" t="s">
        <v>174</v>
      </c>
      <c r="B158">
        <v>39</v>
      </c>
      <c r="C158">
        <v>36</v>
      </c>
      <c r="D158" t="s">
        <v>16</v>
      </c>
      <c r="E158" s="3">
        <v>736</v>
      </c>
      <c r="F158">
        <v>3</v>
      </c>
      <c r="G158">
        <v>21</v>
      </c>
      <c r="H158">
        <v>2</v>
      </c>
      <c r="I158" t="s">
        <v>13</v>
      </c>
      <c r="J158" t="s">
        <v>14</v>
      </c>
      <c r="K158" t="str">
        <f t="shared" si="2"/>
        <v>Medium</v>
      </c>
    </row>
    <row r="159" spans="1:11" ht="15" customHeight="1" x14ac:dyDescent="0.25">
      <c r="A159" t="s">
        <v>175</v>
      </c>
      <c r="B159">
        <v>50</v>
      </c>
      <c r="C159">
        <v>33</v>
      </c>
      <c r="D159" t="s">
        <v>26</v>
      </c>
      <c r="E159" s="3">
        <v>842</v>
      </c>
      <c r="F159">
        <v>0</v>
      </c>
      <c r="G159">
        <v>10</v>
      </c>
      <c r="H159">
        <v>3.1</v>
      </c>
      <c r="I159" t="s">
        <v>13</v>
      </c>
      <c r="J159" t="s">
        <v>14</v>
      </c>
      <c r="K159" t="str">
        <f t="shared" si="2"/>
        <v>Low</v>
      </c>
    </row>
    <row r="160" spans="1:11" ht="15" customHeight="1" x14ac:dyDescent="0.25">
      <c r="A160" t="s">
        <v>176</v>
      </c>
      <c r="B160">
        <v>65</v>
      </c>
      <c r="C160">
        <v>54</v>
      </c>
      <c r="D160" t="s">
        <v>26</v>
      </c>
      <c r="E160" s="3">
        <v>1163</v>
      </c>
      <c r="F160">
        <v>8</v>
      </c>
      <c r="G160">
        <v>21</v>
      </c>
      <c r="H160">
        <v>3</v>
      </c>
      <c r="I160" t="s">
        <v>17</v>
      </c>
      <c r="J160" t="s">
        <v>14</v>
      </c>
      <c r="K160" t="str">
        <f t="shared" si="2"/>
        <v>Medium</v>
      </c>
    </row>
    <row r="161" spans="1:11" ht="15" customHeight="1" x14ac:dyDescent="0.25">
      <c r="A161" t="s">
        <v>177</v>
      </c>
      <c r="B161">
        <v>41</v>
      </c>
      <c r="C161">
        <v>28</v>
      </c>
      <c r="D161" t="s">
        <v>12</v>
      </c>
      <c r="E161" s="3">
        <v>256</v>
      </c>
      <c r="F161">
        <v>6</v>
      </c>
      <c r="G161">
        <v>10</v>
      </c>
      <c r="H161">
        <v>4.5999999999999996</v>
      </c>
      <c r="I161" t="s">
        <v>17</v>
      </c>
      <c r="J161" t="s">
        <v>14</v>
      </c>
      <c r="K161" t="str">
        <f t="shared" si="2"/>
        <v>Medium</v>
      </c>
    </row>
    <row r="162" spans="1:11" ht="15" customHeight="1" x14ac:dyDescent="0.25">
      <c r="A162" t="s">
        <v>178</v>
      </c>
      <c r="B162">
        <v>54</v>
      </c>
      <c r="C162">
        <v>11</v>
      </c>
      <c r="D162" t="s">
        <v>12</v>
      </c>
      <c r="E162" s="3">
        <v>296</v>
      </c>
      <c r="F162">
        <v>1</v>
      </c>
      <c r="G162">
        <v>6</v>
      </c>
      <c r="H162">
        <v>3.2</v>
      </c>
      <c r="I162" t="s">
        <v>17</v>
      </c>
      <c r="J162" t="s">
        <v>14</v>
      </c>
      <c r="K162" t="str">
        <f t="shared" si="2"/>
        <v>Medium</v>
      </c>
    </row>
    <row r="163" spans="1:11" ht="15" customHeight="1" x14ac:dyDescent="0.25">
      <c r="A163" t="s">
        <v>179</v>
      </c>
      <c r="B163">
        <v>40</v>
      </c>
      <c r="C163">
        <v>12</v>
      </c>
      <c r="D163" t="s">
        <v>12</v>
      </c>
      <c r="E163" s="3">
        <v>264</v>
      </c>
      <c r="F163">
        <v>1</v>
      </c>
      <c r="G163">
        <v>12</v>
      </c>
      <c r="H163">
        <v>4.4000000000000004</v>
      </c>
      <c r="I163" t="s">
        <v>17</v>
      </c>
      <c r="J163" t="s">
        <v>14</v>
      </c>
      <c r="K163" t="str">
        <f t="shared" si="2"/>
        <v>Low</v>
      </c>
    </row>
    <row r="164" spans="1:11" ht="15" customHeight="1" x14ac:dyDescent="0.25">
      <c r="A164" t="s">
        <v>180</v>
      </c>
      <c r="B164">
        <v>36</v>
      </c>
      <c r="C164">
        <v>25</v>
      </c>
      <c r="D164" t="s">
        <v>26</v>
      </c>
      <c r="E164" s="3">
        <v>853</v>
      </c>
      <c r="F164">
        <v>3</v>
      </c>
      <c r="G164">
        <v>26</v>
      </c>
      <c r="H164">
        <v>3</v>
      </c>
      <c r="I164" t="s">
        <v>17</v>
      </c>
      <c r="J164" t="s">
        <v>14</v>
      </c>
      <c r="K164" t="str">
        <f t="shared" si="2"/>
        <v>Low</v>
      </c>
    </row>
    <row r="165" spans="1:11" ht="15" customHeight="1" x14ac:dyDescent="0.25">
      <c r="A165" t="s">
        <v>181</v>
      </c>
      <c r="B165">
        <v>27</v>
      </c>
      <c r="C165">
        <v>18</v>
      </c>
      <c r="D165" t="s">
        <v>12</v>
      </c>
      <c r="E165" s="3">
        <v>368</v>
      </c>
      <c r="F165">
        <v>1</v>
      </c>
      <c r="G165">
        <v>17</v>
      </c>
      <c r="H165">
        <v>3.1</v>
      </c>
      <c r="I165" t="s">
        <v>17</v>
      </c>
      <c r="J165" t="s">
        <v>14</v>
      </c>
      <c r="K165" t="str">
        <f t="shared" si="2"/>
        <v>Low</v>
      </c>
    </row>
    <row r="166" spans="1:11" ht="15" customHeight="1" x14ac:dyDescent="0.25">
      <c r="A166" t="s">
        <v>182</v>
      </c>
      <c r="B166">
        <v>21</v>
      </c>
      <c r="C166">
        <v>18</v>
      </c>
      <c r="D166" t="s">
        <v>16</v>
      </c>
      <c r="E166" s="3">
        <v>501</v>
      </c>
      <c r="F166">
        <v>8</v>
      </c>
      <c r="G166">
        <v>22</v>
      </c>
      <c r="H166">
        <v>3.7</v>
      </c>
      <c r="I166" t="s">
        <v>17</v>
      </c>
      <c r="J166" t="s">
        <v>22</v>
      </c>
      <c r="K166" t="str">
        <f t="shared" si="2"/>
        <v>High</v>
      </c>
    </row>
    <row r="167" spans="1:11" ht="15" customHeight="1" x14ac:dyDescent="0.25">
      <c r="A167" t="s">
        <v>183</v>
      </c>
      <c r="B167">
        <v>60</v>
      </c>
      <c r="C167">
        <v>33</v>
      </c>
      <c r="D167" t="s">
        <v>12</v>
      </c>
      <c r="E167" s="3">
        <v>286</v>
      </c>
      <c r="F167">
        <v>2</v>
      </c>
      <c r="G167">
        <v>27</v>
      </c>
      <c r="H167">
        <v>2.8</v>
      </c>
      <c r="I167" t="s">
        <v>17</v>
      </c>
      <c r="J167" t="s">
        <v>14</v>
      </c>
      <c r="K167" t="str">
        <f t="shared" si="2"/>
        <v>Medium</v>
      </c>
    </row>
    <row r="168" spans="1:11" ht="15" customHeight="1" x14ac:dyDescent="0.25">
      <c r="A168" t="s">
        <v>184</v>
      </c>
      <c r="B168">
        <v>55</v>
      </c>
      <c r="C168">
        <v>29</v>
      </c>
      <c r="D168" t="s">
        <v>12</v>
      </c>
      <c r="E168" s="3">
        <v>368</v>
      </c>
      <c r="F168">
        <v>2</v>
      </c>
      <c r="G168">
        <v>2</v>
      </c>
      <c r="H168">
        <v>5</v>
      </c>
      <c r="I168" t="s">
        <v>17</v>
      </c>
      <c r="J168" t="s">
        <v>22</v>
      </c>
      <c r="K168" t="str">
        <f t="shared" si="2"/>
        <v>High</v>
      </c>
    </row>
    <row r="169" spans="1:11" ht="15" customHeight="1" x14ac:dyDescent="0.25">
      <c r="A169" t="s">
        <v>185</v>
      </c>
      <c r="B169">
        <v>63</v>
      </c>
      <c r="C169">
        <v>25</v>
      </c>
      <c r="D169" t="s">
        <v>26</v>
      </c>
      <c r="E169" s="3">
        <v>1049</v>
      </c>
      <c r="F169">
        <v>8</v>
      </c>
      <c r="G169">
        <v>11</v>
      </c>
      <c r="H169">
        <v>4.3</v>
      </c>
      <c r="I169" t="s">
        <v>17</v>
      </c>
      <c r="J169" t="s">
        <v>14</v>
      </c>
      <c r="K169" t="str">
        <f t="shared" si="2"/>
        <v>Medium</v>
      </c>
    </row>
    <row r="170" spans="1:11" ht="15" customHeight="1" x14ac:dyDescent="0.25">
      <c r="A170" t="s">
        <v>186</v>
      </c>
      <c r="B170">
        <v>56</v>
      </c>
      <c r="C170">
        <v>5</v>
      </c>
      <c r="D170" t="s">
        <v>12</v>
      </c>
      <c r="E170" s="3">
        <v>351</v>
      </c>
      <c r="F170">
        <v>2</v>
      </c>
      <c r="G170">
        <v>25</v>
      </c>
      <c r="H170">
        <v>2.8</v>
      </c>
      <c r="I170" t="s">
        <v>17</v>
      </c>
      <c r="J170" t="s">
        <v>14</v>
      </c>
      <c r="K170" t="str">
        <f t="shared" si="2"/>
        <v>Medium</v>
      </c>
    </row>
    <row r="171" spans="1:11" ht="15" customHeight="1" x14ac:dyDescent="0.25">
      <c r="A171" t="s">
        <v>187</v>
      </c>
      <c r="B171">
        <v>40</v>
      </c>
      <c r="C171">
        <v>57</v>
      </c>
      <c r="D171" t="s">
        <v>16</v>
      </c>
      <c r="E171" s="3">
        <v>583</v>
      </c>
      <c r="F171">
        <v>7</v>
      </c>
      <c r="G171">
        <v>10</v>
      </c>
      <c r="H171">
        <v>3.2</v>
      </c>
      <c r="I171" t="s">
        <v>17</v>
      </c>
      <c r="J171" t="s">
        <v>14</v>
      </c>
      <c r="K171" t="str">
        <f t="shared" si="2"/>
        <v>Medium</v>
      </c>
    </row>
    <row r="172" spans="1:11" ht="15" customHeight="1" x14ac:dyDescent="0.25">
      <c r="A172" t="s">
        <v>188</v>
      </c>
      <c r="B172">
        <v>41</v>
      </c>
      <c r="C172">
        <v>14</v>
      </c>
      <c r="D172" t="s">
        <v>16</v>
      </c>
      <c r="E172" s="3">
        <v>618</v>
      </c>
      <c r="F172">
        <v>2</v>
      </c>
      <c r="G172">
        <v>22</v>
      </c>
      <c r="H172">
        <v>4.5999999999999996</v>
      </c>
      <c r="I172" t="s">
        <v>17</v>
      </c>
      <c r="J172" t="s">
        <v>22</v>
      </c>
      <c r="K172" t="str">
        <f t="shared" si="2"/>
        <v>High</v>
      </c>
    </row>
    <row r="173" spans="1:11" ht="15" customHeight="1" x14ac:dyDescent="0.25">
      <c r="A173" t="s">
        <v>189</v>
      </c>
      <c r="B173">
        <v>31</v>
      </c>
      <c r="C173">
        <v>27</v>
      </c>
      <c r="D173" t="s">
        <v>16</v>
      </c>
      <c r="E173" s="3">
        <v>700</v>
      </c>
      <c r="F173">
        <v>6</v>
      </c>
      <c r="G173">
        <v>19</v>
      </c>
      <c r="H173">
        <v>2.9</v>
      </c>
      <c r="I173" t="s">
        <v>17</v>
      </c>
      <c r="J173" t="s">
        <v>14</v>
      </c>
      <c r="K173" t="str">
        <f t="shared" si="2"/>
        <v>Medium</v>
      </c>
    </row>
    <row r="174" spans="1:11" ht="15" customHeight="1" x14ac:dyDescent="0.25">
      <c r="A174" t="s">
        <v>190</v>
      </c>
      <c r="B174">
        <v>61</v>
      </c>
      <c r="C174">
        <v>5</v>
      </c>
      <c r="D174" t="s">
        <v>16</v>
      </c>
      <c r="E174" s="3">
        <v>677</v>
      </c>
      <c r="F174">
        <v>1</v>
      </c>
      <c r="G174">
        <v>13</v>
      </c>
      <c r="H174">
        <v>4.4000000000000004</v>
      </c>
      <c r="I174" t="s">
        <v>17</v>
      </c>
      <c r="J174" t="s">
        <v>14</v>
      </c>
      <c r="K174" t="str">
        <f t="shared" si="2"/>
        <v>Medium</v>
      </c>
    </row>
    <row r="175" spans="1:11" ht="15" customHeight="1" x14ac:dyDescent="0.25">
      <c r="A175" t="s">
        <v>191</v>
      </c>
      <c r="B175">
        <v>64</v>
      </c>
      <c r="C175">
        <v>1</v>
      </c>
      <c r="D175" t="s">
        <v>12</v>
      </c>
      <c r="E175" s="3">
        <v>344</v>
      </c>
      <c r="F175">
        <v>0</v>
      </c>
      <c r="G175">
        <v>9</v>
      </c>
      <c r="H175">
        <v>3.3</v>
      </c>
      <c r="I175" t="s">
        <v>13</v>
      </c>
      <c r="J175" t="s">
        <v>14</v>
      </c>
      <c r="K175" t="str">
        <f t="shared" si="2"/>
        <v>Medium</v>
      </c>
    </row>
    <row r="176" spans="1:11" ht="15" customHeight="1" x14ac:dyDescent="0.25">
      <c r="A176" t="s">
        <v>192</v>
      </c>
      <c r="B176">
        <v>63</v>
      </c>
      <c r="C176">
        <v>59</v>
      </c>
      <c r="D176" t="s">
        <v>16</v>
      </c>
      <c r="E176" s="3">
        <v>496</v>
      </c>
      <c r="F176">
        <v>4</v>
      </c>
      <c r="G176">
        <v>27</v>
      </c>
      <c r="H176">
        <v>3.4</v>
      </c>
      <c r="I176" t="s">
        <v>17</v>
      </c>
      <c r="J176" t="s">
        <v>14</v>
      </c>
      <c r="K176" t="str">
        <f t="shared" si="2"/>
        <v>Low</v>
      </c>
    </row>
    <row r="177" spans="1:11" ht="15" customHeight="1" x14ac:dyDescent="0.25">
      <c r="A177" t="s">
        <v>193</v>
      </c>
      <c r="B177">
        <v>37</v>
      </c>
      <c r="C177">
        <v>32</v>
      </c>
      <c r="D177" t="s">
        <v>26</v>
      </c>
      <c r="E177" s="3">
        <v>753</v>
      </c>
      <c r="F177">
        <v>3</v>
      </c>
      <c r="G177">
        <v>28</v>
      </c>
      <c r="H177">
        <v>2.9</v>
      </c>
      <c r="I177" t="s">
        <v>17</v>
      </c>
      <c r="J177" t="s">
        <v>22</v>
      </c>
      <c r="K177" t="str">
        <f t="shared" si="2"/>
        <v>High</v>
      </c>
    </row>
    <row r="178" spans="1:11" ht="15" customHeight="1" x14ac:dyDescent="0.25">
      <c r="A178" t="s">
        <v>194</v>
      </c>
      <c r="B178">
        <v>37</v>
      </c>
      <c r="C178">
        <v>37</v>
      </c>
      <c r="D178" t="s">
        <v>16</v>
      </c>
      <c r="E178" s="3">
        <v>732</v>
      </c>
      <c r="F178">
        <v>2</v>
      </c>
      <c r="G178">
        <v>4</v>
      </c>
      <c r="H178">
        <v>2.2000000000000002</v>
      </c>
      <c r="I178" t="s">
        <v>17</v>
      </c>
      <c r="J178" t="s">
        <v>14</v>
      </c>
      <c r="K178" t="str">
        <f t="shared" si="2"/>
        <v>Medium</v>
      </c>
    </row>
    <row r="179" spans="1:11" ht="15" customHeight="1" x14ac:dyDescent="0.25">
      <c r="A179" t="s">
        <v>195</v>
      </c>
      <c r="B179">
        <v>34</v>
      </c>
      <c r="C179">
        <v>57</v>
      </c>
      <c r="D179" t="s">
        <v>16</v>
      </c>
      <c r="E179" s="3">
        <v>590</v>
      </c>
      <c r="F179">
        <v>0</v>
      </c>
      <c r="G179">
        <v>24</v>
      </c>
      <c r="H179">
        <v>2.7</v>
      </c>
      <c r="I179" t="s">
        <v>13</v>
      </c>
      <c r="J179" t="s">
        <v>14</v>
      </c>
      <c r="K179" t="str">
        <f t="shared" si="2"/>
        <v>Medium</v>
      </c>
    </row>
    <row r="180" spans="1:11" ht="15" customHeight="1" x14ac:dyDescent="0.25">
      <c r="A180" t="s">
        <v>196</v>
      </c>
      <c r="B180">
        <v>63</v>
      </c>
      <c r="C180">
        <v>36</v>
      </c>
      <c r="D180" t="s">
        <v>26</v>
      </c>
      <c r="E180" s="3">
        <v>1078</v>
      </c>
      <c r="F180">
        <v>0</v>
      </c>
      <c r="G180">
        <v>29</v>
      </c>
      <c r="H180">
        <v>4.4000000000000004</v>
      </c>
      <c r="I180" t="s">
        <v>13</v>
      </c>
      <c r="J180" t="s">
        <v>14</v>
      </c>
      <c r="K180" t="str">
        <f t="shared" si="2"/>
        <v>Low</v>
      </c>
    </row>
    <row r="181" spans="1:11" ht="15" customHeight="1" x14ac:dyDescent="0.25">
      <c r="A181" t="s">
        <v>197</v>
      </c>
      <c r="B181">
        <v>63</v>
      </c>
      <c r="C181">
        <v>34</v>
      </c>
      <c r="D181" t="s">
        <v>16</v>
      </c>
      <c r="E181" s="3">
        <v>714</v>
      </c>
      <c r="F181">
        <v>0</v>
      </c>
      <c r="G181">
        <v>30</v>
      </c>
      <c r="H181">
        <v>3.1</v>
      </c>
      <c r="I181" t="s">
        <v>13</v>
      </c>
      <c r="J181" t="s">
        <v>22</v>
      </c>
      <c r="K181" t="str">
        <f t="shared" si="2"/>
        <v>High</v>
      </c>
    </row>
    <row r="182" spans="1:11" ht="15" customHeight="1" x14ac:dyDescent="0.25">
      <c r="A182" t="s">
        <v>198</v>
      </c>
      <c r="B182">
        <v>46</v>
      </c>
      <c r="C182">
        <v>35</v>
      </c>
      <c r="D182" t="s">
        <v>16</v>
      </c>
      <c r="E182" s="3">
        <v>650</v>
      </c>
      <c r="F182">
        <v>5</v>
      </c>
      <c r="G182">
        <v>4</v>
      </c>
      <c r="H182">
        <v>4.7</v>
      </c>
      <c r="I182" t="s">
        <v>13</v>
      </c>
      <c r="J182" t="s">
        <v>22</v>
      </c>
      <c r="K182" t="str">
        <f t="shared" si="2"/>
        <v>High</v>
      </c>
    </row>
    <row r="183" spans="1:11" ht="15" customHeight="1" x14ac:dyDescent="0.25">
      <c r="A183" t="s">
        <v>199</v>
      </c>
      <c r="B183">
        <v>64</v>
      </c>
      <c r="C183">
        <v>28</v>
      </c>
      <c r="D183" t="s">
        <v>26</v>
      </c>
      <c r="E183" s="3">
        <v>834</v>
      </c>
      <c r="F183">
        <v>5</v>
      </c>
      <c r="G183">
        <v>11</v>
      </c>
      <c r="H183">
        <v>2.4</v>
      </c>
      <c r="I183" t="s">
        <v>17</v>
      </c>
      <c r="J183" t="s">
        <v>14</v>
      </c>
      <c r="K183" t="str">
        <f t="shared" si="2"/>
        <v>Medium</v>
      </c>
    </row>
    <row r="184" spans="1:11" ht="15" customHeight="1" x14ac:dyDescent="0.25">
      <c r="A184" t="s">
        <v>200</v>
      </c>
      <c r="B184">
        <v>21</v>
      </c>
      <c r="C184">
        <v>31</v>
      </c>
      <c r="D184" t="s">
        <v>16</v>
      </c>
      <c r="E184" s="3">
        <v>621</v>
      </c>
      <c r="F184">
        <v>4</v>
      </c>
      <c r="G184">
        <v>9</v>
      </c>
      <c r="H184">
        <v>4</v>
      </c>
      <c r="I184" t="s">
        <v>17</v>
      </c>
      <c r="J184" t="s">
        <v>22</v>
      </c>
      <c r="K184" t="str">
        <f t="shared" si="2"/>
        <v>High</v>
      </c>
    </row>
    <row r="185" spans="1:11" ht="15" customHeight="1" x14ac:dyDescent="0.25">
      <c r="A185" t="s">
        <v>201</v>
      </c>
      <c r="B185">
        <v>41</v>
      </c>
      <c r="C185">
        <v>34</v>
      </c>
      <c r="D185" t="s">
        <v>16</v>
      </c>
      <c r="E185" s="3">
        <v>674</v>
      </c>
      <c r="F185">
        <v>1</v>
      </c>
      <c r="G185">
        <v>22</v>
      </c>
      <c r="H185">
        <v>3.9</v>
      </c>
      <c r="I185" t="s">
        <v>17</v>
      </c>
      <c r="J185" t="s">
        <v>22</v>
      </c>
      <c r="K185" t="str">
        <f t="shared" si="2"/>
        <v>High</v>
      </c>
    </row>
    <row r="186" spans="1:11" ht="15" customHeight="1" x14ac:dyDescent="0.25">
      <c r="A186" t="s">
        <v>202</v>
      </c>
      <c r="B186">
        <v>23</v>
      </c>
      <c r="C186">
        <v>59</v>
      </c>
      <c r="D186" t="s">
        <v>12</v>
      </c>
      <c r="E186" s="3">
        <v>330</v>
      </c>
      <c r="F186">
        <v>2</v>
      </c>
      <c r="G186">
        <v>3</v>
      </c>
      <c r="H186">
        <v>4.3</v>
      </c>
      <c r="I186" t="s">
        <v>17</v>
      </c>
      <c r="J186" t="s">
        <v>14</v>
      </c>
      <c r="K186" t="str">
        <f t="shared" si="2"/>
        <v>Low</v>
      </c>
    </row>
    <row r="187" spans="1:11" ht="15" customHeight="1" x14ac:dyDescent="0.25">
      <c r="A187" t="s">
        <v>203</v>
      </c>
      <c r="B187">
        <v>24</v>
      </c>
      <c r="C187">
        <v>7</v>
      </c>
      <c r="D187" t="s">
        <v>16</v>
      </c>
      <c r="E187" s="3">
        <v>476</v>
      </c>
      <c r="F187">
        <v>6</v>
      </c>
      <c r="G187">
        <v>14</v>
      </c>
      <c r="H187">
        <v>3</v>
      </c>
      <c r="I187" t="s">
        <v>17</v>
      </c>
      <c r="J187" t="s">
        <v>14</v>
      </c>
      <c r="K187" t="str">
        <f t="shared" si="2"/>
        <v>Medium</v>
      </c>
    </row>
    <row r="188" spans="1:11" ht="15" customHeight="1" x14ac:dyDescent="0.25">
      <c r="A188" t="s">
        <v>204</v>
      </c>
      <c r="B188">
        <v>34</v>
      </c>
      <c r="C188">
        <v>56</v>
      </c>
      <c r="D188" t="s">
        <v>16</v>
      </c>
      <c r="E188" s="3">
        <v>455</v>
      </c>
      <c r="F188">
        <v>6</v>
      </c>
      <c r="G188">
        <v>16</v>
      </c>
      <c r="H188">
        <v>4</v>
      </c>
      <c r="I188" t="s">
        <v>17</v>
      </c>
      <c r="J188" t="s">
        <v>14</v>
      </c>
      <c r="K188" t="str">
        <f t="shared" si="2"/>
        <v>Medium</v>
      </c>
    </row>
    <row r="189" spans="1:11" ht="15" customHeight="1" x14ac:dyDescent="0.25">
      <c r="A189" t="s">
        <v>205</v>
      </c>
      <c r="B189">
        <v>63</v>
      </c>
      <c r="C189">
        <v>51</v>
      </c>
      <c r="D189" t="s">
        <v>12</v>
      </c>
      <c r="E189" s="3">
        <v>382</v>
      </c>
      <c r="F189">
        <v>3</v>
      </c>
      <c r="G189">
        <v>5</v>
      </c>
      <c r="H189">
        <v>1.7</v>
      </c>
      <c r="I189" t="s">
        <v>17</v>
      </c>
      <c r="J189" t="s">
        <v>14</v>
      </c>
      <c r="K189" t="str">
        <f t="shared" si="2"/>
        <v>Medium</v>
      </c>
    </row>
    <row r="190" spans="1:11" ht="15" customHeight="1" x14ac:dyDescent="0.25">
      <c r="A190" t="s">
        <v>206</v>
      </c>
      <c r="B190">
        <v>24</v>
      </c>
      <c r="C190">
        <v>38</v>
      </c>
      <c r="D190" t="s">
        <v>16</v>
      </c>
      <c r="E190" s="3">
        <v>743</v>
      </c>
      <c r="F190">
        <v>8</v>
      </c>
      <c r="G190">
        <v>10</v>
      </c>
      <c r="H190">
        <v>2.9</v>
      </c>
      <c r="I190" t="s">
        <v>17</v>
      </c>
      <c r="J190" t="s">
        <v>22</v>
      </c>
      <c r="K190" t="str">
        <f t="shared" si="2"/>
        <v>High</v>
      </c>
    </row>
    <row r="191" spans="1:11" ht="15" customHeight="1" x14ac:dyDescent="0.25">
      <c r="A191" t="s">
        <v>207</v>
      </c>
      <c r="B191">
        <v>28</v>
      </c>
      <c r="C191">
        <v>52</v>
      </c>
      <c r="D191" t="s">
        <v>12</v>
      </c>
      <c r="E191" s="3">
        <v>282</v>
      </c>
      <c r="F191">
        <v>6</v>
      </c>
      <c r="G191">
        <v>18</v>
      </c>
      <c r="H191">
        <v>4.3</v>
      </c>
      <c r="I191" t="s">
        <v>13</v>
      </c>
      <c r="J191" t="s">
        <v>14</v>
      </c>
      <c r="K191" t="str">
        <f t="shared" si="2"/>
        <v>Medium</v>
      </c>
    </row>
    <row r="192" spans="1:11" ht="15" customHeight="1" x14ac:dyDescent="0.25">
      <c r="A192" t="s">
        <v>208</v>
      </c>
      <c r="B192">
        <v>39</v>
      </c>
      <c r="C192">
        <v>38</v>
      </c>
      <c r="D192" t="s">
        <v>26</v>
      </c>
      <c r="E192" s="3">
        <v>825</v>
      </c>
      <c r="F192">
        <v>7</v>
      </c>
      <c r="G192">
        <v>11</v>
      </c>
      <c r="H192">
        <v>2.9</v>
      </c>
      <c r="I192" t="s">
        <v>13</v>
      </c>
      <c r="J192" t="s">
        <v>14</v>
      </c>
      <c r="K192" t="str">
        <f t="shared" si="2"/>
        <v>Medium</v>
      </c>
    </row>
    <row r="193" spans="1:11" ht="15" customHeight="1" x14ac:dyDescent="0.25">
      <c r="A193" t="s">
        <v>209</v>
      </c>
      <c r="B193">
        <v>62</v>
      </c>
      <c r="C193">
        <v>44</v>
      </c>
      <c r="D193" t="s">
        <v>12</v>
      </c>
      <c r="E193" s="3">
        <v>310</v>
      </c>
      <c r="F193">
        <v>8</v>
      </c>
      <c r="G193">
        <v>29</v>
      </c>
      <c r="H193">
        <v>3</v>
      </c>
      <c r="I193" t="s">
        <v>17</v>
      </c>
      <c r="J193" t="s">
        <v>14</v>
      </c>
      <c r="K193" t="str">
        <f t="shared" si="2"/>
        <v>Medium</v>
      </c>
    </row>
    <row r="194" spans="1:11" ht="15" customHeight="1" x14ac:dyDescent="0.25">
      <c r="A194" t="s">
        <v>210</v>
      </c>
      <c r="B194">
        <v>32</v>
      </c>
      <c r="C194">
        <v>41</v>
      </c>
      <c r="D194" t="s">
        <v>26</v>
      </c>
      <c r="E194" s="3">
        <v>846</v>
      </c>
      <c r="F194">
        <v>7</v>
      </c>
      <c r="G194">
        <v>24</v>
      </c>
      <c r="H194">
        <v>3.1</v>
      </c>
      <c r="I194" t="s">
        <v>13</v>
      </c>
      <c r="J194" t="s">
        <v>14</v>
      </c>
      <c r="K194" t="str">
        <f t="shared" ref="K194:K257" si="3">IF(J194="Yes","High",IF(OR(H194&lt;3,F194&gt;=5,C194&lt;12),"Medium","Low"))</f>
        <v>Medium</v>
      </c>
    </row>
    <row r="195" spans="1:11" ht="15" customHeight="1" x14ac:dyDescent="0.25">
      <c r="A195" t="s">
        <v>211</v>
      </c>
      <c r="B195">
        <v>56</v>
      </c>
      <c r="C195">
        <v>22</v>
      </c>
      <c r="D195" t="s">
        <v>16</v>
      </c>
      <c r="E195" s="3">
        <v>618</v>
      </c>
      <c r="F195">
        <v>1</v>
      </c>
      <c r="G195">
        <v>16</v>
      </c>
      <c r="H195">
        <v>2.6</v>
      </c>
      <c r="I195" t="s">
        <v>13</v>
      </c>
      <c r="J195" t="s">
        <v>14</v>
      </c>
      <c r="K195" t="str">
        <f t="shared" si="3"/>
        <v>Medium</v>
      </c>
    </row>
    <row r="196" spans="1:11" ht="15" customHeight="1" x14ac:dyDescent="0.25">
      <c r="A196" t="s">
        <v>212</v>
      </c>
      <c r="B196">
        <v>51</v>
      </c>
      <c r="C196">
        <v>15</v>
      </c>
      <c r="D196" t="s">
        <v>26</v>
      </c>
      <c r="E196" s="3">
        <v>1104</v>
      </c>
      <c r="F196">
        <v>3</v>
      </c>
      <c r="G196">
        <v>16</v>
      </c>
      <c r="H196">
        <v>3</v>
      </c>
      <c r="I196" t="s">
        <v>13</v>
      </c>
      <c r="J196" t="s">
        <v>14</v>
      </c>
      <c r="K196" t="str">
        <f t="shared" si="3"/>
        <v>Low</v>
      </c>
    </row>
    <row r="197" spans="1:11" ht="15" customHeight="1" x14ac:dyDescent="0.25">
      <c r="A197" t="s">
        <v>213</v>
      </c>
      <c r="B197">
        <v>41</v>
      </c>
      <c r="C197">
        <v>52</v>
      </c>
      <c r="D197" t="s">
        <v>16</v>
      </c>
      <c r="E197" s="3">
        <v>654</v>
      </c>
      <c r="F197">
        <v>0</v>
      </c>
      <c r="G197">
        <v>13</v>
      </c>
      <c r="H197">
        <v>3</v>
      </c>
      <c r="I197" t="s">
        <v>17</v>
      </c>
      <c r="J197" t="s">
        <v>14</v>
      </c>
      <c r="K197" t="str">
        <f t="shared" si="3"/>
        <v>Low</v>
      </c>
    </row>
    <row r="198" spans="1:11" ht="15" customHeight="1" x14ac:dyDescent="0.25">
      <c r="A198" t="s">
        <v>214</v>
      </c>
      <c r="B198">
        <v>55</v>
      </c>
      <c r="C198">
        <v>8</v>
      </c>
      <c r="D198" t="s">
        <v>12</v>
      </c>
      <c r="E198" s="3">
        <v>362</v>
      </c>
      <c r="F198">
        <v>5</v>
      </c>
      <c r="G198">
        <v>3</v>
      </c>
      <c r="H198">
        <v>4.0999999999999996</v>
      </c>
      <c r="I198" t="s">
        <v>17</v>
      </c>
      <c r="J198" t="s">
        <v>22</v>
      </c>
      <c r="K198" t="str">
        <f t="shared" si="3"/>
        <v>High</v>
      </c>
    </row>
    <row r="199" spans="1:11" ht="15" customHeight="1" x14ac:dyDescent="0.25">
      <c r="A199" t="s">
        <v>215</v>
      </c>
      <c r="B199">
        <v>36</v>
      </c>
      <c r="C199">
        <v>47</v>
      </c>
      <c r="D199" t="s">
        <v>12</v>
      </c>
      <c r="E199" s="3">
        <v>391</v>
      </c>
      <c r="F199">
        <v>3</v>
      </c>
      <c r="G199">
        <v>2</v>
      </c>
      <c r="H199">
        <v>3.4</v>
      </c>
      <c r="I199" t="s">
        <v>17</v>
      </c>
      <c r="J199" t="s">
        <v>22</v>
      </c>
      <c r="K199" t="str">
        <f t="shared" si="3"/>
        <v>High</v>
      </c>
    </row>
    <row r="200" spans="1:11" ht="15" customHeight="1" x14ac:dyDescent="0.25">
      <c r="A200" t="s">
        <v>216</v>
      </c>
      <c r="B200">
        <v>26</v>
      </c>
      <c r="C200">
        <v>2</v>
      </c>
      <c r="D200" t="s">
        <v>26</v>
      </c>
      <c r="E200" s="3">
        <v>1085</v>
      </c>
      <c r="F200">
        <v>1</v>
      </c>
      <c r="G200">
        <v>12</v>
      </c>
      <c r="H200">
        <v>4.2</v>
      </c>
      <c r="I200" t="s">
        <v>17</v>
      </c>
      <c r="J200" t="s">
        <v>14</v>
      </c>
      <c r="K200" t="str">
        <f t="shared" si="3"/>
        <v>Medium</v>
      </c>
    </row>
    <row r="201" spans="1:11" ht="15" customHeight="1" x14ac:dyDescent="0.25">
      <c r="A201" t="s">
        <v>217</v>
      </c>
      <c r="B201">
        <v>62</v>
      </c>
      <c r="C201">
        <v>11</v>
      </c>
      <c r="D201" t="s">
        <v>26</v>
      </c>
      <c r="E201" s="3">
        <v>1199</v>
      </c>
      <c r="F201">
        <v>1</v>
      </c>
      <c r="G201">
        <v>5</v>
      </c>
      <c r="H201">
        <v>3.2</v>
      </c>
      <c r="I201" t="s">
        <v>17</v>
      </c>
      <c r="J201" t="s">
        <v>14</v>
      </c>
      <c r="K201" t="str">
        <f t="shared" si="3"/>
        <v>Medium</v>
      </c>
    </row>
    <row r="202" spans="1:11" ht="15" customHeight="1" x14ac:dyDescent="0.25">
      <c r="A202" t="s">
        <v>218</v>
      </c>
      <c r="B202">
        <v>32</v>
      </c>
      <c r="C202">
        <v>13</v>
      </c>
      <c r="D202" t="s">
        <v>16</v>
      </c>
      <c r="E202" s="3">
        <v>641</v>
      </c>
      <c r="F202">
        <v>6</v>
      </c>
      <c r="G202">
        <v>22</v>
      </c>
      <c r="H202">
        <v>3.5</v>
      </c>
      <c r="I202" t="s">
        <v>17</v>
      </c>
      <c r="J202" t="s">
        <v>22</v>
      </c>
      <c r="K202" t="str">
        <f t="shared" si="3"/>
        <v>High</v>
      </c>
    </row>
    <row r="203" spans="1:11" ht="15" customHeight="1" x14ac:dyDescent="0.25">
      <c r="A203" t="s">
        <v>219</v>
      </c>
      <c r="B203">
        <v>54</v>
      </c>
      <c r="C203">
        <v>19</v>
      </c>
      <c r="D203" t="s">
        <v>16</v>
      </c>
      <c r="E203" s="3">
        <v>576</v>
      </c>
      <c r="F203">
        <v>4</v>
      </c>
      <c r="G203">
        <v>29</v>
      </c>
      <c r="H203">
        <v>3.8</v>
      </c>
      <c r="I203" t="s">
        <v>17</v>
      </c>
      <c r="J203" t="s">
        <v>14</v>
      </c>
      <c r="K203" t="str">
        <f t="shared" si="3"/>
        <v>Low</v>
      </c>
    </row>
    <row r="204" spans="1:11" ht="15" customHeight="1" x14ac:dyDescent="0.25">
      <c r="A204" t="s">
        <v>220</v>
      </c>
      <c r="B204">
        <v>57</v>
      </c>
      <c r="C204">
        <v>57</v>
      </c>
      <c r="D204" t="s">
        <v>16</v>
      </c>
      <c r="E204" s="3">
        <v>491</v>
      </c>
      <c r="F204">
        <v>7</v>
      </c>
      <c r="G204">
        <v>27</v>
      </c>
      <c r="H204">
        <v>3.3</v>
      </c>
      <c r="I204" t="s">
        <v>17</v>
      </c>
      <c r="J204" t="s">
        <v>14</v>
      </c>
      <c r="K204" t="str">
        <f t="shared" si="3"/>
        <v>Medium</v>
      </c>
    </row>
    <row r="205" spans="1:11" ht="15" customHeight="1" x14ac:dyDescent="0.25">
      <c r="A205" t="s">
        <v>221</v>
      </c>
      <c r="B205">
        <v>61</v>
      </c>
      <c r="C205">
        <v>49</v>
      </c>
      <c r="D205" t="s">
        <v>16</v>
      </c>
      <c r="E205" s="3">
        <v>715</v>
      </c>
      <c r="F205">
        <v>2</v>
      </c>
      <c r="G205">
        <v>12</v>
      </c>
      <c r="H205">
        <v>3.2</v>
      </c>
      <c r="I205" t="s">
        <v>13</v>
      </c>
      <c r="J205" t="s">
        <v>14</v>
      </c>
      <c r="K205" t="str">
        <f t="shared" si="3"/>
        <v>Low</v>
      </c>
    </row>
    <row r="206" spans="1:11" ht="15" customHeight="1" x14ac:dyDescent="0.25">
      <c r="A206" t="s">
        <v>222</v>
      </c>
      <c r="B206">
        <v>50</v>
      </c>
      <c r="C206">
        <v>46</v>
      </c>
      <c r="D206" t="s">
        <v>26</v>
      </c>
      <c r="E206" s="3">
        <v>1047</v>
      </c>
      <c r="F206">
        <v>6</v>
      </c>
      <c r="G206">
        <v>22</v>
      </c>
      <c r="H206">
        <v>4.5</v>
      </c>
      <c r="I206" t="s">
        <v>17</v>
      </c>
      <c r="J206" t="s">
        <v>22</v>
      </c>
      <c r="K206" t="str">
        <f t="shared" si="3"/>
        <v>High</v>
      </c>
    </row>
    <row r="207" spans="1:11" ht="15" customHeight="1" x14ac:dyDescent="0.25">
      <c r="A207" t="s">
        <v>223</v>
      </c>
      <c r="B207">
        <v>32</v>
      </c>
      <c r="C207">
        <v>29</v>
      </c>
      <c r="D207" t="s">
        <v>26</v>
      </c>
      <c r="E207" s="3">
        <v>906</v>
      </c>
      <c r="F207">
        <v>6</v>
      </c>
      <c r="G207">
        <v>30</v>
      </c>
      <c r="H207">
        <v>2.9</v>
      </c>
      <c r="I207" t="s">
        <v>17</v>
      </c>
      <c r="J207" t="s">
        <v>22</v>
      </c>
      <c r="K207" t="str">
        <f t="shared" si="3"/>
        <v>High</v>
      </c>
    </row>
    <row r="208" spans="1:11" ht="15" customHeight="1" x14ac:dyDescent="0.25">
      <c r="A208" t="s">
        <v>224</v>
      </c>
      <c r="B208">
        <v>43</v>
      </c>
      <c r="C208">
        <v>17</v>
      </c>
      <c r="D208" t="s">
        <v>16</v>
      </c>
      <c r="E208" s="3">
        <v>493</v>
      </c>
      <c r="F208">
        <v>7</v>
      </c>
      <c r="G208">
        <v>18</v>
      </c>
      <c r="H208">
        <v>2.8</v>
      </c>
      <c r="I208" t="s">
        <v>17</v>
      </c>
      <c r="J208" t="s">
        <v>14</v>
      </c>
      <c r="K208" t="str">
        <f t="shared" si="3"/>
        <v>Medium</v>
      </c>
    </row>
    <row r="209" spans="1:11" ht="15" customHeight="1" x14ac:dyDescent="0.25">
      <c r="A209" t="s">
        <v>225</v>
      </c>
      <c r="B209">
        <v>47</v>
      </c>
      <c r="C209">
        <v>29</v>
      </c>
      <c r="D209" t="s">
        <v>16</v>
      </c>
      <c r="E209" s="3">
        <v>638</v>
      </c>
      <c r="F209">
        <v>7</v>
      </c>
      <c r="G209">
        <v>12</v>
      </c>
      <c r="H209">
        <v>4.5</v>
      </c>
      <c r="I209" t="s">
        <v>17</v>
      </c>
      <c r="J209" t="s">
        <v>22</v>
      </c>
      <c r="K209" t="str">
        <f t="shared" si="3"/>
        <v>High</v>
      </c>
    </row>
    <row r="210" spans="1:11" ht="15" customHeight="1" x14ac:dyDescent="0.25">
      <c r="A210" t="s">
        <v>226</v>
      </c>
      <c r="B210">
        <v>48</v>
      </c>
      <c r="C210">
        <v>15</v>
      </c>
      <c r="D210" t="s">
        <v>12</v>
      </c>
      <c r="E210" s="3">
        <v>269</v>
      </c>
      <c r="F210">
        <v>4</v>
      </c>
      <c r="G210">
        <v>28</v>
      </c>
      <c r="H210">
        <v>2.4</v>
      </c>
      <c r="I210" t="s">
        <v>17</v>
      </c>
      <c r="J210" t="s">
        <v>22</v>
      </c>
      <c r="K210" t="str">
        <f t="shared" si="3"/>
        <v>High</v>
      </c>
    </row>
    <row r="211" spans="1:11" ht="15" customHeight="1" x14ac:dyDescent="0.25">
      <c r="A211" t="s">
        <v>227</v>
      </c>
      <c r="B211">
        <v>34</v>
      </c>
      <c r="C211">
        <v>7</v>
      </c>
      <c r="D211" t="s">
        <v>12</v>
      </c>
      <c r="E211" s="3">
        <v>342</v>
      </c>
      <c r="F211">
        <v>3</v>
      </c>
      <c r="G211">
        <v>12</v>
      </c>
      <c r="H211">
        <v>3.5</v>
      </c>
      <c r="I211" t="s">
        <v>17</v>
      </c>
      <c r="J211" t="s">
        <v>14</v>
      </c>
      <c r="K211" t="str">
        <f t="shared" si="3"/>
        <v>Medium</v>
      </c>
    </row>
    <row r="212" spans="1:11" ht="15" customHeight="1" x14ac:dyDescent="0.25">
      <c r="A212" t="s">
        <v>228</v>
      </c>
      <c r="B212">
        <v>39</v>
      </c>
      <c r="C212">
        <v>48</v>
      </c>
      <c r="D212" t="s">
        <v>26</v>
      </c>
      <c r="E212" s="3">
        <v>847</v>
      </c>
      <c r="F212">
        <v>2</v>
      </c>
      <c r="G212">
        <v>29</v>
      </c>
      <c r="H212">
        <v>3.5</v>
      </c>
      <c r="I212" t="s">
        <v>13</v>
      </c>
      <c r="J212" t="s">
        <v>22</v>
      </c>
      <c r="K212" t="str">
        <f t="shared" si="3"/>
        <v>High</v>
      </c>
    </row>
    <row r="213" spans="1:11" ht="15" customHeight="1" x14ac:dyDescent="0.25">
      <c r="A213" t="s">
        <v>229</v>
      </c>
      <c r="B213">
        <v>39</v>
      </c>
      <c r="C213">
        <v>19</v>
      </c>
      <c r="D213" t="s">
        <v>26</v>
      </c>
      <c r="E213" s="3">
        <v>957</v>
      </c>
      <c r="F213">
        <v>0</v>
      </c>
      <c r="G213">
        <v>17</v>
      </c>
      <c r="H213">
        <v>2</v>
      </c>
      <c r="I213" t="s">
        <v>13</v>
      </c>
      <c r="J213" t="s">
        <v>14</v>
      </c>
      <c r="K213" t="str">
        <f t="shared" si="3"/>
        <v>Medium</v>
      </c>
    </row>
    <row r="214" spans="1:11" ht="15" customHeight="1" x14ac:dyDescent="0.25">
      <c r="A214" t="s">
        <v>230</v>
      </c>
      <c r="B214">
        <v>29</v>
      </c>
      <c r="C214">
        <v>56</v>
      </c>
      <c r="D214" t="s">
        <v>16</v>
      </c>
      <c r="E214" s="3">
        <v>557</v>
      </c>
      <c r="F214">
        <v>3</v>
      </c>
      <c r="G214">
        <v>18</v>
      </c>
      <c r="H214">
        <v>2.5</v>
      </c>
      <c r="I214" t="s">
        <v>17</v>
      </c>
      <c r="J214" t="s">
        <v>14</v>
      </c>
      <c r="K214" t="str">
        <f t="shared" si="3"/>
        <v>Medium</v>
      </c>
    </row>
    <row r="215" spans="1:11" ht="15" customHeight="1" x14ac:dyDescent="0.25">
      <c r="A215" t="s">
        <v>231</v>
      </c>
      <c r="B215">
        <v>41</v>
      </c>
      <c r="C215">
        <v>51</v>
      </c>
      <c r="D215" t="s">
        <v>12</v>
      </c>
      <c r="E215" s="3">
        <v>298</v>
      </c>
      <c r="F215">
        <v>6</v>
      </c>
      <c r="G215">
        <v>8</v>
      </c>
      <c r="H215">
        <v>2.9</v>
      </c>
      <c r="I215" t="s">
        <v>17</v>
      </c>
      <c r="J215" t="s">
        <v>14</v>
      </c>
      <c r="K215" t="str">
        <f t="shared" si="3"/>
        <v>Medium</v>
      </c>
    </row>
    <row r="216" spans="1:11" ht="15" customHeight="1" x14ac:dyDescent="0.25">
      <c r="A216" t="s">
        <v>232</v>
      </c>
      <c r="B216">
        <v>21</v>
      </c>
      <c r="C216">
        <v>24</v>
      </c>
      <c r="D216" t="s">
        <v>12</v>
      </c>
      <c r="E216" s="3">
        <v>282</v>
      </c>
      <c r="F216">
        <v>0</v>
      </c>
      <c r="G216">
        <v>17</v>
      </c>
      <c r="H216">
        <v>4.0999999999999996</v>
      </c>
      <c r="I216" t="s">
        <v>17</v>
      </c>
      <c r="J216" t="s">
        <v>14</v>
      </c>
      <c r="K216" t="str">
        <f t="shared" si="3"/>
        <v>Low</v>
      </c>
    </row>
    <row r="217" spans="1:11" ht="15" customHeight="1" x14ac:dyDescent="0.25">
      <c r="A217" t="s">
        <v>233</v>
      </c>
      <c r="B217">
        <v>63</v>
      </c>
      <c r="C217">
        <v>49</v>
      </c>
      <c r="D217" t="s">
        <v>16</v>
      </c>
      <c r="E217" s="3">
        <v>725</v>
      </c>
      <c r="F217">
        <v>5</v>
      </c>
      <c r="G217">
        <v>20</v>
      </c>
      <c r="H217">
        <v>1.9</v>
      </c>
      <c r="I217" t="s">
        <v>17</v>
      </c>
      <c r="J217" t="s">
        <v>14</v>
      </c>
      <c r="K217" t="str">
        <f t="shared" si="3"/>
        <v>Medium</v>
      </c>
    </row>
    <row r="218" spans="1:11" ht="15" customHeight="1" x14ac:dyDescent="0.25">
      <c r="A218" t="s">
        <v>234</v>
      </c>
      <c r="B218">
        <v>28</v>
      </c>
      <c r="C218">
        <v>10</v>
      </c>
      <c r="D218" t="s">
        <v>26</v>
      </c>
      <c r="E218" s="3">
        <v>1072</v>
      </c>
      <c r="F218">
        <v>6</v>
      </c>
      <c r="G218">
        <v>14</v>
      </c>
      <c r="H218">
        <v>3.8</v>
      </c>
      <c r="I218" t="s">
        <v>17</v>
      </c>
      <c r="J218" t="s">
        <v>22</v>
      </c>
      <c r="K218" t="str">
        <f t="shared" si="3"/>
        <v>High</v>
      </c>
    </row>
    <row r="219" spans="1:11" ht="15" customHeight="1" x14ac:dyDescent="0.25">
      <c r="A219" t="s">
        <v>235</v>
      </c>
      <c r="B219">
        <v>26</v>
      </c>
      <c r="C219">
        <v>22</v>
      </c>
      <c r="D219" t="s">
        <v>16</v>
      </c>
      <c r="E219" s="3">
        <v>605</v>
      </c>
      <c r="F219">
        <v>2</v>
      </c>
      <c r="G219">
        <v>5</v>
      </c>
      <c r="H219">
        <v>4.4000000000000004</v>
      </c>
      <c r="I219" t="s">
        <v>13</v>
      </c>
      <c r="J219" t="s">
        <v>14</v>
      </c>
      <c r="K219" t="str">
        <f t="shared" si="3"/>
        <v>Low</v>
      </c>
    </row>
    <row r="220" spans="1:11" ht="15" customHeight="1" x14ac:dyDescent="0.25">
      <c r="A220" t="s">
        <v>236</v>
      </c>
      <c r="B220">
        <v>64</v>
      </c>
      <c r="C220">
        <v>39</v>
      </c>
      <c r="D220" t="s">
        <v>16</v>
      </c>
      <c r="E220" s="3">
        <v>551</v>
      </c>
      <c r="F220">
        <v>6</v>
      </c>
      <c r="G220">
        <v>11</v>
      </c>
      <c r="H220">
        <v>3.7</v>
      </c>
      <c r="I220" t="s">
        <v>17</v>
      </c>
      <c r="J220" t="s">
        <v>14</v>
      </c>
      <c r="K220" t="str">
        <f t="shared" si="3"/>
        <v>Medium</v>
      </c>
    </row>
    <row r="221" spans="1:11" ht="15" customHeight="1" x14ac:dyDescent="0.25">
      <c r="A221" t="s">
        <v>237</v>
      </c>
      <c r="B221">
        <v>43</v>
      </c>
      <c r="C221">
        <v>34</v>
      </c>
      <c r="D221" t="s">
        <v>12</v>
      </c>
      <c r="E221" s="3">
        <v>333</v>
      </c>
      <c r="F221">
        <v>2</v>
      </c>
      <c r="G221">
        <v>5</v>
      </c>
      <c r="H221">
        <v>4.2</v>
      </c>
      <c r="I221" t="s">
        <v>17</v>
      </c>
      <c r="J221" t="s">
        <v>14</v>
      </c>
      <c r="K221" t="str">
        <f t="shared" si="3"/>
        <v>Low</v>
      </c>
    </row>
    <row r="222" spans="1:11" ht="15" customHeight="1" x14ac:dyDescent="0.25">
      <c r="A222" t="s">
        <v>238</v>
      </c>
      <c r="B222">
        <v>24</v>
      </c>
      <c r="C222">
        <v>25</v>
      </c>
      <c r="D222" t="s">
        <v>26</v>
      </c>
      <c r="E222" s="3">
        <v>1195</v>
      </c>
      <c r="F222">
        <v>3</v>
      </c>
      <c r="G222">
        <v>11</v>
      </c>
      <c r="H222">
        <v>2.2000000000000002</v>
      </c>
      <c r="I222" t="s">
        <v>17</v>
      </c>
      <c r="J222" t="s">
        <v>14</v>
      </c>
      <c r="K222" t="str">
        <f t="shared" si="3"/>
        <v>Medium</v>
      </c>
    </row>
    <row r="223" spans="1:11" ht="15" customHeight="1" x14ac:dyDescent="0.25">
      <c r="A223" t="s">
        <v>239</v>
      </c>
      <c r="B223">
        <v>39</v>
      </c>
      <c r="C223">
        <v>38</v>
      </c>
      <c r="D223" t="s">
        <v>12</v>
      </c>
      <c r="E223" s="3">
        <v>433</v>
      </c>
      <c r="F223">
        <v>3</v>
      </c>
      <c r="G223">
        <v>2</v>
      </c>
      <c r="H223">
        <v>4.0999999999999996</v>
      </c>
      <c r="I223" t="s">
        <v>13</v>
      </c>
      <c r="J223" t="s">
        <v>14</v>
      </c>
      <c r="K223" t="str">
        <f t="shared" si="3"/>
        <v>Low</v>
      </c>
    </row>
    <row r="224" spans="1:11" ht="15" customHeight="1" x14ac:dyDescent="0.25">
      <c r="A224" t="s">
        <v>240</v>
      </c>
      <c r="B224">
        <v>45</v>
      </c>
      <c r="C224">
        <v>39</v>
      </c>
      <c r="D224" t="s">
        <v>26</v>
      </c>
      <c r="E224" s="3">
        <v>1041</v>
      </c>
      <c r="F224">
        <v>7</v>
      </c>
      <c r="G224">
        <v>16</v>
      </c>
      <c r="H224">
        <v>3.3</v>
      </c>
      <c r="I224" t="s">
        <v>17</v>
      </c>
      <c r="J224" t="s">
        <v>14</v>
      </c>
      <c r="K224" t="str">
        <f t="shared" si="3"/>
        <v>Medium</v>
      </c>
    </row>
    <row r="225" spans="1:11" ht="15" customHeight="1" x14ac:dyDescent="0.25">
      <c r="A225" t="s">
        <v>241</v>
      </c>
      <c r="B225">
        <v>49</v>
      </c>
      <c r="C225">
        <v>23</v>
      </c>
      <c r="D225" t="s">
        <v>16</v>
      </c>
      <c r="E225" s="3">
        <v>602</v>
      </c>
      <c r="F225">
        <v>2</v>
      </c>
      <c r="G225">
        <v>15</v>
      </c>
      <c r="H225">
        <v>3.6</v>
      </c>
      <c r="I225" t="s">
        <v>17</v>
      </c>
      <c r="J225" t="s">
        <v>14</v>
      </c>
      <c r="K225" t="str">
        <f t="shared" si="3"/>
        <v>Low</v>
      </c>
    </row>
    <row r="226" spans="1:11" ht="15" customHeight="1" x14ac:dyDescent="0.25">
      <c r="A226" t="s">
        <v>242</v>
      </c>
      <c r="B226">
        <v>47</v>
      </c>
      <c r="C226">
        <v>30</v>
      </c>
      <c r="D226" t="s">
        <v>16</v>
      </c>
      <c r="E226" s="3">
        <v>543</v>
      </c>
      <c r="F226">
        <v>1</v>
      </c>
      <c r="G226">
        <v>14</v>
      </c>
      <c r="H226">
        <v>3.4</v>
      </c>
      <c r="I226" t="s">
        <v>13</v>
      </c>
      <c r="J226" t="s">
        <v>14</v>
      </c>
      <c r="K226" t="str">
        <f t="shared" si="3"/>
        <v>Low</v>
      </c>
    </row>
    <row r="227" spans="1:11" ht="15" customHeight="1" x14ac:dyDescent="0.25">
      <c r="A227" t="s">
        <v>243</v>
      </c>
      <c r="B227">
        <v>60</v>
      </c>
      <c r="C227">
        <v>35</v>
      </c>
      <c r="D227" t="s">
        <v>12</v>
      </c>
      <c r="E227" s="3">
        <v>267</v>
      </c>
      <c r="F227">
        <v>6</v>
      </c>
      <c r="G227">
        <v>26</v>
      </c>
      <c r="H227">
        <v>3.2</v>
      </c>
      <c r="I227" t="s">
        <v>17</v>
      </c>
      <c r="J227" t="s">
        <v>14</v>
      </c>
      <c r="K227" t="str">
        <f t="shared" si="3"/>
        <v>Medium</v>
      </c>
    </row>
    <row r="228" spans="1:11" ht="15" customHeight="1" x14ac:dyDescent="0.25">
      <c r="A228" t="s">
        <v>244</v>
      </c>
      <c r="B228">
        <v>24</v>
      </c>
      <c r="C228">
        <v>49</v>
      </c>
      <c r="D228" t="s">
        <v>12</v>
      </c>
      <c r="E228" s="3">
        <v>446</v>
      </c>
      <c r="F228">
        <v>7</v>
      </c>
      <c r="G228">
        <v>7</v>
      </c>
      <c r="H228">
        <v>3.5</v>
      </c>
      <c r="I228" t="s">
        <v>17</v>
      </c>
      <c r="J228" t="s">
        <v>22</v>
      </c>
      <c r="K228" t="str">
        <f t="shared" si="3"/>
        <v>High</v>
      </c>
    </row>
    <row r="229" spans="1:11" ht="15" customHeight="1" x14ac:dyDescent="0.25">
      <c r="A229" t="s">
        <v>245</v>
      </c>
      <c r="B229">
        <v>64</v>
      </c>
      <c r="C229">
        <v>44</v>
      </c>
      <c r="D229" t="s">
        <v>16</v>
      </c>
      <c r="E229" s="3">
        <v>625</v>
      </c>
      <c r="F229">
        <v>6</v>
      </c>
      <c r="G229">
        <v>29</v>
      </c>
      <c r="H229">
        <v>4.5999999999999996</v>
      </c>
      <c r="I229" t="s">
        <v>17</v>
      </c>
      <c r="J229" t="s">
        <v>22</v>
      </c>
      <c r="K229" t="str">
        <f t="shared" si="3"/>
        <v>High</v>
      </c>
    </row>
    <row r="230" spans="1:11" ht="15" customHeight="1" x14ac:dyDescent="0.25">
      <c r="A230" t="s">
        <v>246</v>
      </c>
      <c r="B230">
        <v>36</v>
      </c>
      <c r="C230">
        <v>8</v>
      </c>
      <c r="D230" t="s">
        <v>16</v>
      </c>
      <c r="E230" s="3">
        <v>617</v>
      </c>
      <c r="F230">
        <v>7</v>
      </c>
      <c r="G230">
        <v>17</v>
      </c>
      <c r="H230">
        <v>3.1</v>
      </c>
      <c r="I230" t="s">
        <v>13</v>
      </c>
      <c r="J230" t="s">
        <v>14</v>
      </c>
      <c r="K230" t="str">
        <f t="shared" si="3"/>
        <v>Medium</v>
      </c>
    </row>
    <row r="231" spans="1:11" ht="15" customHeight="1" x14ac:dyDescent="0.25">
      <c r="A231" t="s">
        <v>247</v>
      </c>
      <c r="B231">
        <v>48</v>
      </c>
      <c r="C231">
        <v>9</v>
      </c>
      <c r="D231" t="s">
        <v>16</v>
      </c>
      <c r="E231" s="3">
        <v>532</v>
      </c>
      <c r="F231">
        <v>0</v>
      </c>
      <c r="G231">
        <v>21</v>
      </c>
      <c r="H231">
        <v>3.6</v>
      </c>
      <c r="I231" t="s">
        <v>17</v>
      </c>
      <c r="J231" t="s">
        <v>14</v>
      </c>
      <c r="K231" t="str">
        <f t="shared" si="3"/>
        <v>Medium</v>
      </c>
    </row>
    <row r="232" spans="1:11" ht="15" customHeight="1" x14ac:dyDescent="0.25">
      <c r="A232" t="s">
        <v>248</v>
      </c>
      <c r="B232">
        <v>54</v>
      </c>
      <c r="C232">
        <v>48</v>
      </c>
      <c r="D232" t="s">
        <v>16</v>
      </c>
      <c r="E232" s="3">
        <v>455</v>
      </c>
      <c r="F232">
        <v>4</v>
      </c>
      <c r="G232">
        <v>6</v>
      </c>
      <c r="H232">
        <v>3</v>
      </c>
      <c r="I232" t="s">
        <v>13</v>
      </c>
      <c r="J232" t="s">
        <v>14</v>
      </c>
      <c r="K232" t="str">
        <f t="shared" si="3"/>
        <v>Low</v>
      </c>
    </row>
    <row r="233" spans="1:11" ht="15" customHeight="1" x14ac:dyDescent="0.25">
      <c r="A233" t="s">
        <v>249</v>
      </c>
      <c r="B233">
        <v>54</v>
      </c>
      <c r="C233">
        <v>14</v>
      </c>
      <c r="D233" t="s">
        <v>16</v>
      </c>
      <c r="E233" s="3">
        <v>717</v>
      </c>
      <c r="F233">
        <v>1</v>
      </c>
      <c r="G233">
        <v>14</v>
      </c>
      <c r="H233">
        <v>3.7</v>
      </c>
      <c r="I233" t="s">
        <v>13</v>
      </c>
      <c r="J233" t="s">
        <v>14</v>
      </c>
      <c r="K233" t="str">
        <f t="shared" si="3"/>
        <v>Low</v>
      </c>
    </row>
    <row r="234" spans="1:11" ht="15" customHeight="1" x14ac:dyDescent="0.25">
      <c r="A234" t="s">
        <v>250</v>
      </c>
      <c r="B234">
        <v>58</v>
      </c>
      <c r="C234">
        <v>1</v>
      </c>
      <c r="D234" t="s">
        <v>12</v>
      </c>
      <c r="E234" s="3">
        <v>346</v>
      </c>
      <c r="F234">
        <v>5</v>
      </c>
      <c r="G234">
        <v>9</v>
      </c>
      <c r="H234">
        <v>3.6</v>
      </c>
      <c r="I234" t="s">
        <v>17</v>
      </c>
      <c r="J234" t="s">
        <v>22</v>
      </c>
      <c r="K234" t="str">
        <f t="shared" si="3"/>
        <v>High</v>
      </c>
    </row>
    <row r="235" spans="1:11" ht="15" customHeight="1" x14ac:dyDescent="0.25">
      <c r="A235" t="s">
        <v>251</v>
      </c>
      <c r="B235">
        <v>32</v>
      </c>
      <c r="C235">
        <v>44</v>
      </c>
      <c r="D235" t="s">
        <v>16</v>
      </c>
      <c r="E235" s="3">
        <v>499</v>
      </c>
      <c r="F235">
        <v>2</v>
      </c>
      <c r="G235">
        <v>25</v>
      </c>
      <c r="H235">
        <v>3.7</v>
      </c>
      <c r="I235" t="s">
        <v>17</v>
      </c>
      <c r="J235" t="s">
        <v>14</v>
      </c>
      <c r="K235" t="str">
        <f t="shared" si="3"/>
        <v>Low</v>
      </c>
    </row>
    <row r="236" spans="1:11" ht="15" customHeight="1" x14ac:dyDescent="0.25">
      <c r="A236" t="s">
        <v>252</v>
      </c>
      <c r="B236">
        <v>26</v>
      </c>
      <c r="C236">
        <v>53</v>
      </c>
      <c r="D236" t="s">
        <v>12</v>
      </c>
      <c r="E236" s="3">
        <v>393</v>
      </c>
      <c r="F236">
        <v>3</v>
      </c>
      <c r="G236">
        <v>19</v>
      </c>
      <c r="H236">
        <v>2.7</v>
      </c>
      <c r="I236" t="s">
        <v>17</v>
      </c>
      <c r="J236" t="s">
        <v>22</v>
      </c>
      <c r="K236" t="str">
        <f t="shared" si="3"/>
        <v>High</v>
      </c>
    </row>
    <row r="237" spans="1:11" ht="15" customHeight="1" x14ac:dyDescent="0.25">
      <c r="A237" t="s">
        <v>253</v>
      </c>
      <c r="B237">
        <v>40</v>
      </c>
      <c r="C237">
        <v>12</v>
      </c>
      <c r="D237" t="s">
        <v>12</v>
      </c>
      <c r="E237" s="3">
        <v>417</v>
      </c>
      <c r="F237">
        <v>6</v>
      </c>
      <c r="G237">
        <v>8</v>
      </c>
      <c r="H237">
        <v>4.0999999999999996</v>
      </c>
      <c r="I237" t="s">
        <v>17</v>
      </c>
      <c r="J237" t="s">
        <v>22</v>
      </c>
      <c r="K237" t="str">
        <f t="shared" si="3"/>
        <v>High</v>
      </c>
    </row>
    <row r="238" spans="1:11" ht="15" customHeight="1" x14ac:dyDescent="0.25">
      <c r="A238" t="s">
        <v>254</v>
      </c>
      <c r="B238">
        <v>37</v>
      </c>
      <c r="C238">
        <v>42</v>
      </c>
      <c r="D238" t="s">
        <v>16</v>
      </c>
      <c r="E238" s="3">
        <v>484</v>
      </c>
      <c r="F238">
        <v>6</v>
      </c>
      <c r="G238">
        <v>11</v>
      </c>
      <c r="H238">
        <v>3.6</v>
      </c>
      <c r="I238" t="s">
        <v>13</v>
      </c>
      <c r="J238" t="s">
        <v>14</v>
      </c>
      <c r="K238" t="str">
        <f t="shared" si="3"/>
        <v>Medium</v>
      </c>
    </row>
    <row r="239" spans="1:11" ht="15" customHeight="1" x14ac:dyDescent="0.25">
      <c r="A239" t="s">
        <v>255</v>
      </c>
      <c r="B239">
        <v>56</v>
      </c>
      <c r="C239">
        <v>11</v>
      </c>
      <c r="D239" t="s">
        <v>12</v>
      </c>
      <c r="E239" s="3">
        <v>274</v>
      </c>
      <c r="F239">
        <v>6</v>
      </c>
      <c r="G239">
        <v>23</v>
      </c>
      <c r="H239">
        <v>2.4</v>
      </c>
      <c r="I239" t="s">
        <v>13</v>
      </c>
      <c r="J239" t="s">
        <v>14</v>
      </c>
      <c r="K239" t="str">
        <f t="shared" si="3"/>
        <v>Medium</v>
      </c>
    </row>
    <row r="240" spans="1:11" ht="15" customHeight="1" x14ac:dyDescent="0.25">
      <c r="A240" t="s">
        <v>256</v>
      </c>
      <c r="B240">
        <v>28</v>
      </c>
      <c r="C240">
        <v>22</v>
      </c>
      <c r="D240" t="s">
        <v>12</v>
      </c>
      <c r="E240" s="3">
        <v>444</v>
      </c>
      <c r="F240">
        <v>7</v>
      </c>
      <c r="G240">
        <v>4</v>
      </c>
      <c r="H240">
        <v>2.9</v>
      </c>
      <c r="I240" t="s">
        <v>17</v>
      </c>
      <c r="J240" t="s">
        <v>22</v>
      </c>
      <c r="K240" t="str">
        <f t="shared" si="3"/>
        <v>High</v>
      </c>
    </row>
    <row r="241" spans="1:11" ht="15" customHeight="1" x14ac:dyDescent="0.25">
      <c r="A241" t="s">
        <v>257</v>
      </c>
      <c r="B241">
        <v>60</v>
      </c>
      <c r="C241">
        <v>48</v>
      </c>
      <c r="D241" t="s">
        <v>12</v>
      </c>
      <c r="E241" s="3">
        <v>400</v>
      </c>
      <c r="F241">
        <v>0</v>
      </c>
      <c r="G241">
        <v>21</v>
      </c>
      <c r="H241">
        <v>4.5999999999999996</v>
      </c>
      <c r="I241" t="s">
        <v>13</v>
      </c>
      <c r="J241" t="s">
        <v>14</v>
      </c>
      <c r="K241" t="str">
        <f t="shared" si="3"/>
        <v>Low</v>
      </c>
    </row>
    <row r="242" spans="1:11" ht="15" customHeight="1" x14ac:dyDescent="0.25">
      <c r="A242" t="s">
        <v>258</v>
      </c>
      <c r="B242">
        <v>35</v>
      </c>
      <c r="C242">
        <v>48</v>
      </c>
      <c r="D242" t="s">
        <v>16</v>
      </c>
      <c r="E242" s="3">
        <v>490</v>
      </c>
      <c r="F242">
        <v>2</v>
      </c>
      <c r="G242">
        <v>13</v>
      </c>
      <c r="H242">
        <v>2.9</v>
      </c>
      <c r="I242" t="s">
        <v>17</v>
      </c>
      <c r="J242" t="s">
        <v>14</v>
      </c>
      <c r="K242" t="str">
        <f t="shared" si="3"/>
        <v>Medium</v>
      </c>
    </row>
    <row r="243" spans="1:11" ht="15" customHeight="1" x14ac:dyDescent="0.25">
      <c r="A243" t="s">
        <v>259</v>
      </c>
      <c r="B243">
        <v>35</v>
      </c>
      <c r="C243">
        <v>60</v>
      </c>
      <c r="D243" t="s">
        <v>16</v>
      </c>
      <c r="E243" s="3">
        <v>618</v>
      </c>
      <c r="F243">
        <v>4</v>
      </c>
      <c r="G243">
        <v>12</v>
      </c>
      <c r="H243">
        <v>3.5</v>
      </c>
      <c r="I243" t="s">
        <v>17</v>
      </c>
      <c r="J243" t="s">
        <v>14</v>
      </c>
      <c r="K243" t="str">
        <f t="shared" si="3"/>
        <v>Low</v>
      </c>
    </row>
    <row r="244" spans="1:11" ht="15" customHeight="1" x14ac:dyDescent="0.25">
      <c r="A244" t="s">
        <v>260</v>
      </c>
      <c r="B244">
        <v>53</v>
      </c>
      <c r="C244">
        <v>51</v>
      </c>
      <c r="D244" t="s">
        <v>26</v>
      </c>
      <c r="E244" s="3">
        <v>1134</v>
      </c>
      <c r="F244">
        <v>0</v>
      </c>
      <c r="G244">
        <v>9</v>
      </c>
      <c r="H244">
        <v>4</v>
      </c>
      <c r="I244" t="s">
        <v>17</v>
      </c>
      <c r="J244" t="s">
        <v>14</v>
      </c>
      <c r="K244" t="str">
        <f t="shared" si="3"/>
        <v>Low</v>
      </c>
    </row>
    <row r="245" spans="1:11" ht="15" customHeight="1" x14ac:dyDescent="0.25">
      <c r="A245" t="s">
        <v>261</v>
      </c>
      <c r="B245">
        <v>62</v>
      </c>
      <c r="C245">
        <v>16</v>
      </c>
      <c r="D245" t="s">
        <v>26</v>
      </c>
      <c r="E245" s="3">
        <v>1061</v>
      </c>
      <c r="F245">
        <v>6</v>
      </c>
      <c r="G245">
        <v>18</v>
      </c>
      <c r="H245">
        <v>2.8</v>
      </c>
      <c r="I245" t="s">
        <v>17</v>
      </c>
      <c r="J245" t="s">
        <v>22</v>
      </c>
      <c r="K245" t="str">
        <f t="shared" si="3"/>
        <v>High</v>
      </c>
    </row>
    <row r="246" spans="1:11" ht="15" customHeight="1" x14ac:dyDescent="0.25">
      <c r="A246" t="s">
        <v>262</v>
      </c>
      <c r="B246">
        <v>20</v>
      </c>
      <c r="C246">
        <v>5</v>
      </c>
      <c r="D246" t="s">
        <v>26</v>
      </c>
      <c r="E246" s="3">
        <v>776</v>
      </c>
      <c r="F246">
        <v>2</v>
      </c>
      <c r="G246">
        <v>8</v>
      </c>
      <c r="H246">
        <v>3.9</v>
      </c>
      <c r="I246" t="s">
        <v>17</v>
      </c>
      <c r="J246" t="s">
        <v>14</v>
      </c>
      <c r="K246" t="str">
        <f t="shared" si="3"/>
        <v>Medium</v>
      </c>
    </row>
    <row r="247" spans="1:11" ht="15" customHeight="1" x14ac:dyDescent="0.25">
      <c r="A247" t="s">
        <v>263</v>
      </c>
      <c r="B247">
        <v>33</v>
      </c>
      <c r="C247">
        <v>16</v>
      </c>
      <c r="D247" t="s">
        <v>16</v>
      </c>
      <c r="E247" s="3">
        <v>689</v>
      </c>
      <c r="F247">
        <v>2</v>
      </c>
      <c r="G247">
        <v>25</v>
      </c>
      <c r="H247">
        <v>3.9</v>
      </c>
      <c r="I247" t="s">
        <v>17</v>
      </c>
      <c r="J247" t="s">
        <v>14</v>
      </c>
      <c r="K247" t="str">
        <f t="shared" si="3"/>
        <v>Low</v>
      </c>
    </row>
    <row r="248" spans="1:11" ht="15" customHeight="1" x14ac:dyDescent="0.25">
      <c r="A248" t="s">
        <v>264</v>
      </c>
      <c r="B248">
        <v>58</v>
      </c>
      <c r="C248">
        <v>16</v>
      </c>
      <c r="D248" t="s">
        <v>12</v>
      </c>
      <c r="E248" s="3">
        <v>397</v>
      </c>
      <c r="F248">
        <v>3</v>
      </c>
      <c r="G248">
        <v>10</v>
      </c>
      <c r="H248">
        <v>4.2</v>
      </c>
      <c r="I248" t="s">
        <v>13</v>
      </c>
      <c r="J248" t="s">
        <v>14</v>
      </c>
      <c r="K248" t="str">
        <f t="shared" si="3"/>
        <v>Low</v>
      </c>
    </row>
    <row r="249" spans="1:11" ht="15" customHeight="1" x14ac:dyDescent="0.25">
      <c r="A249" t="s">
        <v>265</v>
      </c>
      <c r="B249">
        <v>44</v>
      </c>
      <c r="C249">
        <v>11</v>
      </c>
      <c r="D249" t="s">
        <v>16</v>
      </c>
      <c r="E249" s="3">
        <v>708</v>
      </c>
      <c r="F249">
        <v>6</v>
      </c>
      <c r="G249">
        <v>26</v>
      </c>
      <c r="H249">
        <v>2.7</v>
      </c>
      <c r="I249" t="s">
        <v>17</v>
      </c>
      <c r="J249" t="s">
        <v>14</v>
      </c>
      <c r="K249" t="str">
        <f t="shared" si="3"/>
        <v>Medium</v>
      </c>
    </row>
    <row r="250" spans="1:11" ht="15" customHeight="1" x14ac:dyDescent="0.25">
      <c r="A250" t="s">
        <v>266</v>
      </c>
      <c r="B250">
        <v>50</v>
      </c>
      <c r="C250">
        <v>2</v>
      </c>
      <c r="D250" t="s">
        <v>16</v>
      </c>
      <c r="E250" s="3">
        <v>492</v>
      </c>
      <c r="F250">
        <v>4</v>
      </c>
      <c r="G250">
        <v>21</v>
      </c>
      <c r="H250">
        <v>2.4</v>
      </c>
      <c r="I250" t="s">
        <v>17</v>
      </c>
      <c r="J250" t="s">
        <v>22</v>
      </c>
      <c r="K250" t="str">
        <f t="shared" si="3"/>
        <v>High</v>
      </c>
    </row>
    <row r="251" spans="1:11" ht="15" customHeight="1" x14ac:dyDescent="0.25">
      <c r="A251" t="s">
        <v>267</v>
      </c>
      <c r="B251">
        <v>39</v>
      </c>
      <c r="C251">
        <v>30</v>
      </c>
      <c r="D251" t="s">
        <v>12</v>
      </c>
      <c r="E251" s="3">
        <v>393</v>
      </c>
      <c r="F251">
        <v>5</v>
      </c>
      <c r="G251">
        <v>6</v>
      </c>
      <c r="H251">
        <v>3.2</v>
      </c>
      <c r="I251" t="s">
        <v>13</v>
      </c>
      <c r="J251" t="s">
        <v>22</v>
      </c>
      <c r="K251" t="str">
        <f t="shared" si="3"/>
        <v>High</v>
      </c>
    </row>
    <row r="252" spans="1:11" ht="15" customHeight="1" x14ac:dyDescent="0.25">
      <c r="A252" t="s">
        <v>268</v>
      </c>
      <c r="B252">
        <v>32</v>
      </c>
      <c r="C252">
        <v>1</v>
      </c>
      <c r="D252" t="s">
        <v>12</v>
      </c>
      <c r="E252" s="3">
        <v>378</v>
      </c>
      <c r="F252">
        <v>6</v>
      </c>
      <c r="G252">
        <v>15</v>
      </c>
      <c r="H252">
        <v>5</v>
      </c>
      <c r="I252" t="s">
        <v>17</v>
      </c>
      <c r="J252" t="s">
        <v>14</v>
      </c>
      <c r="K252" t="str">
        <f t="shared" si="3"/>
        <v>Medium</v>
      </c>
    </row>
    <row r="253" spans="1:11" ht="15" customHeight="1" x14ac:dyDescent="0.25">
      <c r="A253" t="s">
        <v>269</v>
      </c>
      <c r="B253">
        <v>61</v>
      </c>
      <c r="C253">
        <v>38</v>
      </c>
      <c r="D253" t="s">
        <v>12</v>
      </c>
      <c r="E253" s="3">
        <v>259</v>
      </c>
      <c r="F253">
        <v>2</v>
      </c>
      <c r="G253">
        <v>8</v>
      </c>
      <c r="H253">
        <v>2.6</v>
      </c>
      <c r="I253" t="s">
        <v>13</v>
      </c>
      <c r="J253" t="s">
        <v>14</v>
      </c>
      <c r="K253" t="str">
        <f t="shared" si="3"/>
        <v>Medium</v>
      </c>
    </row>
    <row r="254" spans="1:11" ht="15" customHeight="1" x14ac:dyDescent="0.25">
      <c r="A254" t="s">
        <v>270</v>
      </c>
      <c r="B254">
        <v>42</v>
      </c>
      <c r="C254">
        <v>33</v>
      </c>
      <c r="D254" t="s">
        <v>16</v>
      </c>
      <c r="E254" s="3">
        <v>638</v>
      </c>
      <c r="F254">
        <v>0</v>
      </c>
      <c r="G254">
        <v>22</v>
      </c>
      <c r="H254">
        <v>2.8</v>
      </c>
      <c r="I254" t="s">
        <v>17</v>
      </c>
      <c r="J254" t="s">
        <v>14</v>
      </c>
      <c r="K254" t="str">
        <f t="shared" si="3"/>
        <v>Medium</v>
      </c>
    </row>
    <row r="255" spans="1:11" ht="15" customHeight="1" x14ac:dyDescent="0.25">
      <c r="A255" t="s">
        <v>271</v>
      </c>
      <c r="B255">
        <v>43</v>
      </c>
      <c r="C255">
        <v>41</v>
      </c>
      <c r="D255" t="s">
        <v>16</v>
      </c>
      <c r="E255" s="3">
        <v>525</v>
      </c>
      <c r="F255">
        <v>7</v>
      </c>
      <c r="G255">
        <v>23</v>
      </c>
      <c r="H255">
        <v>4.0999999999999996</v>
      </c>
      <c r="I255" t="s">
        <v>17</v>
      </c>
      <c r="J255" t="s">
        <v>22</v>
      </c>
      <c r="K255" t="str">
        <f t="shared" si="3"/>
        <v>High</v>
      </c>
    </row>
    <row r="256" spans="1:11" ht="15" customHeight="1" x14ac:dyDescent="0.25">
      <c r="A256" t="s">
        <v>272</v>
      </c>
      <c r="B256">
        <v>57</v>
      </c>
      <c r="C256">
        <v>43</v>
      </c>
      <c r="D256" t="s">
        <v>26</v>
      </c>
      <c r="E256" s="3">
        <v>1144</v>
      </c>
      <c r="F256">
        <v>1</v>
      </c>
      <c r="G256">
        <v>22</v>
      </c>
      <c r="H256">
        <v>3.3</v>
      </c>
      <c r="I256" t="s">
        <v>13</v>
      </c>
      <c r="J256" t="s">
        <v>14</v>
      </c>
      <c r="K256" t="str">
        <f t="shared" si="3"/>
        <v>Low</v>
      </c>
    </row>
    <row r="257" spans="1:11" ht="15" customHeight="1" x14ac:dyDescent="0.25">
      <c r="A257" t="s">
        <v>273</v>
      </c>
      <c r="B257">
        <v>25</v>
      </c>
      <c r="C257">
        <v>34</v>
      </c>
      <c r="D257" t="s">
        <v>26</v>
      </c>
      <c r="E257" s="3">
        <v>1174</v>
      </c>
      <c r="F257">
        <v>6</v>
      </c>
      <c r="G257">
        <v>10</v>
      </c>
      <c r="H257">
        <v>2.6</v>
      </c>
      <c r="I257" t="s">
        <v>13</v>
      </c>
      <c r="J257" t="s">
        <v>14</v>
      </c>
      <c r="K257" t="str">
        <f t="shared" si="3"/>
        <v>Medium</v>
      </c>
    </row>
    <row r="258" spans="1:11" ht="15" customHeight="1" x14ac:dyDescent="0.25">
      <c r="A258" t="s">
        <v>274</v>
      </c>
      <c r="B258">
        <v>54</v>
      </c>
      <c r="C258">
        <v>43</v>
      </c>
      <c r="D258" t="s">
        <v>26</v>
      </c>
      <c r="E258" s="3">
        <v>1125</v>
      </c>
      <c r="F258">
        <v>6</v>
      </c>
      <c r="G258">
        <v>26</v>
      </c>
      <c r="H258">
        <v>4.5</v>
      </c>
      <c r="I258" t="s">
        <v>17</v>
      </c>
      <c r="J258" t="s">
        <v>14</v>
      </c>
      <c r="K258" t="str">
        <f t="shared" ref="K258:K321" si="4">IF(J258="Yes","High",IF(OR(H258&lt;3,F258&gt;=5,C258&lt;12),"Medium","Low"))</f>
        <v>Medium</v>
      </c>
    </row>
    <row r="259" spans="1:11" ht="15" customHeight="1" x14ac:dyDescent="0.25">
      <c r="A259" t="s">
        <v>275</v>
      </c>
      <c r="B259">
        <v>42</v>
      </c>
      <c r="C259">
        <v>53</v>
      </c>
      <c r="D259" t="s">
        <v>12</v>
      </c>
      <c r="E259" s="3">
        <v>441</v>
      </c>
      <c r="F259">
        <v>6</v>
      </c>
      <c r="G259">
        <v>24</v>
      </c>
      <c r="H259">
        <v>2.5</v>
      </c>
      <c r="I259" t="s">
        <v>17</v>
      </c>
      <c r="J259" t="s">
        <v>14</v>
      </c>
      <c r="K259" t="str">
        <f t="shared" si="4"/>
        <v>Medium</v>
      </c>
    </row>
    <row r="260" spans="1:11" ht="15" customHeight="1" x14ac:dyDescent="0.25">
      <c r="A260" t="s">
        <v>276</v>
      </c>
      <c r="B260">
        <v>51</v>
      </c>
      <c r="C260">
        <v>1</v>
      </c>
      <c r="D260" t="s">
        <v>12</v>
      </c>
      <c r="E260" s="3">
        <v>448</v>
      </c>
      <c r="F260">
        <v>6</v>
      </c>
      <c r="G260">
        <v>22</v>
      </c>
      <c r="H260">
        <v>3.3</v>
      </c>
      <c r="I260" t="s">
        <v>17</v>
      </c>
      <c r="J260" t="s">
        <v>22</v>
      </c>
      <c r="K260" t="str">
        <f t="shared" si="4"/>
        <v>High</v>
      </c>
    </row>
    <row r="261" spans="1:11" ht="15" customHeight="1" x14ac:dyDescent="0.25">
      <c r="A261" t="s">
        <v>277</v>
      </c>
      <c r="B261">
        <v>28</v>
      </c>
      <c r="C261">
        <v>13</v>
      </c>
      <c r="D261" t="s">
        <v>16</v>
      </c>
      <c r="E261" s="3">
        <v>506</v>
      </c>
      <c r="F261">
        <v>3</v>
      </c>
      <c r="G261">
        <v>7</v>
      </c>
      <c r="H261">
        <v>4.4000000000000004</v>
      </c>
      <c r="I261" t="s">
        <v>17</v>
      </c>
      <c r="J261" t="s">
        <v>14</v>
      </c>
      <c r="K261" t="str">
        <f t="shared" si="4"/>
        <v>Low</v>
      </c>
    </row>
    <row r="262" spans="1:11" ht="15" customHeight="1" x14ac:dyDescent="0.25">
      <c r="A262" t="s">
        <v>278</v>
      </c>
      <c r="B262">
        <v>32</v>
      </c>
      <c r="C262">
        <v>17</v>
      </c>
      <c r="D262" t="s">
        <v>26</v>
      </c>
      <c r="E262" s="3">
        <v>1070</v>
      </c>
      <c r="F262">
        <v>1</v>
      </c>
      <c r="G262">
        <v>29</v>
      </c>
      <c r="H262">
        <v>3.3</v>
      </c>
      <c r="I262" t="s">
        <v>17</v>
      </c>
      <c r="J262" t="s">
        <v>22</v>
      </c>
      <c r="K262" t="str">
        <f t="shared" si="4"/>
        <v>High</v>
      </c>
    </row>
    <row r="263" spans="1:11" ht="15" customHeight="1" x14ac:dyDescent="0.25">
      <c r="A263" t="s">
        <v>279</v>
      </c>
      <c r="B263">
        <v>24</v>
      </c>
      <c r="C263">
        <v>22</v>
      </c>
      <c r="D263" t="s">
        <v>12</v>
      </c>
      <c r="E263" s="3">
        <v>310</v>
      </c>
      <c r="F263">
        <v>1</v>
      </c>
      <c r="G263">
        <v>2</v>
      </c>
      <c r="H263">
        <v>3.2</v>
      </c>
      <c r="I263" t="s">
        <v>17</v>
      </c>
      <c r="J263" t="s">
        <v>14</v>
      </c>
      <c r="K263" t="str">
        <f t="shared" si="4"/>
        <v>Low</v>
      </c>
    </row>
    <row r="264" spans="1:11" ht="15" customHeight="1" x14ac:dyDescent="0.25">
      <c r="A264" t="s">
        <v>280</v>
      </c>
      <c r="B264">
        <v>20</v>
      </c>
      <c r="C264">
        <v>43</v>
      </c>
      <c r="D264" t="s">
        <v>16</v>
      </c>
      <c r="E264" s="3">
        <v>499</v>
      </c>
      <c r="F264">
        <v>8</v>
      </c>
      <c r="G264">
        <v>27</v>
      </c>
      <c r="H264">
        <v>4.7</v>
      </c>
      <c r="I264" t="s">
        <v>13</v>
      </c>
      <c r="J264" t="s">
        <v>14</v>
      </c>
      <c r="K264" t="str">
        <f t="shared" si="4"/>
        <v>Medium</v>
      </c>
    </row>
    <row r="265" spans="1:11" ht="15" customHeight="1" x14ac:dyDescent="0.25">
      <c r="A265" t="s">
        <v>281</v>
      </c>
      <c r="B265">
        <v>51</v>
      </c>
      <c r="C265">
        <v>31</v>
      </c>
      <c r="D265" t="s">
        <v>16</v>
      </c>
      <c r="E265" s="3">
        <v>669</v>
      </c>
      <c r="F265">
        <v>5</v>
      </c>
      <c r="G265">
        <v>23</v>
      </c>
      <c r="H265">
        <v>3.6</v>
      </c>
      <c r="I265" t="s">
        <v>13</v>
      </c>
      <c r="J265" t="s">
        <v>14</v>
      </c>
      <c r="K265" t="str">
        <f t="shared" si="4"/>
        <v>Medium</v>
      </c>
    </row>
    <row r="266" spans="1:11" ht="15" customHeight="1" x14ac:dyDescent="0.25">
      <c r="A266" t="s">
        <v>282</v>
      </c>
      <c r="B266">
        <v>35</v>
      </c>
      <c r="C266">
        <v>24</v>
      </c>
      <c r="D266" t="s">
        <v>16</v>
      </c>
      <c r="E266" s="3">
        <v>479</v>
      </c>
      <c r="F266">
        <v>5</v>
      </c>
      <c r="G266">
        <v>27</v>
      </c>
      <c r="H266">
        <v>4.3</v>
      </c>
      <c r="I266" t="s">
        <v>13</v>
      </c>
      <c r="J266" t="s">
        <v>14</v>
      </c>
      <c r="K266" t="str">
        <f t="shared" si="4"/>
        <v>Medium</v>
      </c>
    </row>
    <row r="267" spans="1:11" ht="15" customHeight="1" x14ac:dyDescent="0.25">
      <c r="A267" t="s">
        <v>283</v>
      </c>
      <c r="B267">
        <v>28</v>
      </c>
      <c r="C267">
        <v>2</v>
      </c>
      <c r="D267" t="s">
        <v>16</v>
      </c>
      <c r="E267" s="3">
        <v>593</v>
      </c>
      <c r="F267">
        <v>3</v>
      </c>
      <c r="G267">
        <v>13</v>
      </c>
      <c r="H267">
        <v>4.0999999999999996</v>
      </c>
      <c r="I267" t="s">
        <v>17</v>
      </c>
      <c r="J267" t="s">
        <v>14</v>
      </c>
      <c r="K267" t="str">
        <f t="shared" si="4"/>
        <v>Medium</v>
      </c>
    </row>
    <row r="268" spans="1:11" ht="15" customHeight="1" x14ac:dyDescent="0.25">
      <c r="A268" t="s">
        <v>284</v>
      </c>
      <c r="B268">
        <v>50</v>
      </c>
      <c r="C268">
        <v>33</v>
      </c>
      <c r="D268" t="s">
        <v>16</v>
      </c>
      <c r="E268" s="3">
        <v>451</v>
      </c>
      <c r="F268">
        <v>5</v>
      </c>
      <c r="G268">
        <v>2</v>
      </c>
      <c r="H268">
        <v>2.2999999999999998</v>
      </c>
      <c r="I268" t="s">
        <v>13</v>
      </c>
      <c r="J268" t="s">
        <v>14</v>
      </c>
      <c r="K268" t="str">
        <f t="shared" si="4"/>
        <v>Medium</v>
      </c>
    </row>
    <row r="269" spans="1:11" ht="15" customHeight="1" x14ac:dyDescent="0.25">
      <c r="A269" t="s">
        <v>285</v>
      </c>
      <c r="B269">
        <v>63</v>
      </c>
      <c r="C269">
        <v>29</v>
      </c>
      <c r="D269" t="s">
        <v>12</v>
      </c>
      <c r="E269" s="3">
        <v>374</v>
      </c>
      <c r="F269">
        <v>1</v>
      </c>
      <c r="G269">
        <v>13</v>
      </c>
      <c r="H269">
        <v>2.1</v>
      </c>
      <c r="I269" t="s">
        <v>17</v>
      </c>
      <c r="J269" t="s">
        <v>14</v>
      </c>
      <c r="K269" t="str">
        <f t="shared" si="4"/>
        <v>Medium</v>
      </c>
    </row>
    <row r="270" spans="1:11" ht="15" customHeight="1" x14ac:dyDescent="0.25">
      <c r="A270" t="s">
        <v>286</v>
      </c>
      <c r="B270">
        <v>50</v>
      </c>
      <c r="C270">
        <v>43</v>
      </c>
      <c r="D270" t="s">
        <v>26</v>
      </c>
      <c r="E270" s="3">
        <v>900</v>
      </c>
      <c r="F270">
        <v>3</v>
      </c>
      <c r="G270">
        <v>24</v>
      </c>
      <c r="H270">
        <v>4.2</v>
      </c>
      <c r="I270" t="s">
        <v>17</v>
      </c>
      <c r="J270" t="s">
        <v>14</v>
      </c>
      <c r="K270" t="str">
        <f t="shared" si="4"/>
        <v>Low</v>
      </c>
    </row>
    <row r="271" spans="1:11" ht="15" customHeight="1" x14ac:dyDescent="0.25">
      <c r="A271" t="s">
        <v>287</v>
      </c>
      <c r="B271">
        <v>52</v>
      </c>
      <c r="C271">
        <v>3</v>
      </c>
      <c r="D271" t="s">
        <v>12</v>
      </c>
      <c r="E271" s="3">
        <v>272</v>
      </c>
      <c r="F271">
        <v>8</v>
      </c>
      <c r="G271">
        <v>29</v>
      </c>
      <c r="H271">
        <v>4.4000000000000004</v>
      </c>
      <c r="I271" t="s">
        <v>17</v>
      </c>
      <c r="J271" t="s">
        <v>14</v>
      </c>
      <c r="K271" t="str">
        <f t="shared" si="4"/>
        <v>Medium</v>
      </c>
    </row>
    <row r="272" spans="1:11" ht="15" customHeight="1" x14ac:dyDescent="0.25">
      <c r="A272" t="s">
        <v>288</v>
      </c>
      <c r="B272">
        <v>27</v>
      </c>
      <c r="C272">
        <v>31</v>
      </c>
      <c r="D272" t="s">
        <v>16</v>
      </c>
      <c r="E272" s="3">
        <v>574</v>
      </c>
      <c r="F272">
        <v>2</v>
      </c>
      <c r="G272">
        <v>26</v>
      </c>
      <c r="H272">
        <v>4.8</v>
      </c>
      <c r="I272" t="s">
        <v>17</v>
      </c>
      <c r="J272" t="s">
        <v>14</v>
      </c>
      <c r="K272" t="str">
        <f t="shared" si="4"/>
        <v>Low</v>
      </c>
    </row>
    <row r="273" spans="1:11" ht="15" customHeight="1" x14ac:dyDescent="0.25">
      <c r="A273" t="s">
        <v>289</v>
      </c>
      <c r="B273">
        <v>21</v>
      </c>
      <c r="C273">
        <v>11</v>
      </c>
      <c r="D273" t="s">
        <v>26</v>
      </c>
      <c r="E273" s="3">
        <v>1142</v>
      </c>
      <c r="F273">
        <v>4</v>
      </c>
      <c r="G273">
        <v>9</v>
      </c>
      <c r="H273">
        <v>3</v>
      </c>
      <c r="I273" t="s">
        <v>13</v>
      </c>
      <c r="J273" t="s">
        <v>14</v>
      </c>
      <c r="K273" t="str">
        <f t="shared" si="4"/>
        <v>Medium</v>
      </c>
    </row>
    <row r="274" spans="1:11" ht="15" customHeight="1" x14ac:dyDescent="0.25">
      <c r="A274" t="s">
        <v>290</v>
      </c>
      <c r="B274">
        <v>62</v>
      </c>
      <c r="C274">
        <v>8</v>
      </c>
      <c r="D274" t="s">
        <v>16</v>
      </c>
      <c r="E274" s="3">
        <v>701</v>
      </c>
      <c r="F274">
        <v>5</v>
      </c>
      <c r="G274">
        <v>29</v>
      </c>
      <c r="H274">
        <v>3.7</v>
      </c>
      <c r="I274" t="s">
        <v>13</v>
      </c>
      <c r="J274" t="s">
        <v>22</v>
      </c>
      <c r="K274" t="str">
        <f t="shared" si="4"/>
        <v>High</v>
      </c>
    </row>
    <row r="275" spans="1:11" ht="15" customHeight="1" x14ac:dyDescent="0.25">
      <c r="A275" t="s">
        <v>291</v>
      </c>
      <c r="B275">
        <v>41</v>
      </c>
      <c r="C275">
        <v>25</v>
      </c>
      <c r="D275" t="s">
        <v>26</v>
      </c>
      <c r="E275" s="3">
        <v>1084</v>
      </c>
      <c r="F275">
        <v>8</v>
      </c>
      <c r="G275">
        <v>29</v>
      </c>
      <c r="H275">
        <v>4.7</v>
      </c>
      <c r="I275" t="s">
        <v>17</v>
      </c>
      <c r="J275" t="s">
        <v>22</v>
      </c>
      <c r="K275" t="str">
        <f t="shared" si="4"/>
        <v>High</v>
      </c>
    </row>
    <row r="276" spans="1:11" ht="15" customHeight="1" x14ac:dyDescent="0.25">
      <c r="A276" t="s">
        <v>292</v>
      </c>
      <c r="B276">
        <v>36</v>
      </c>
      <c r="C276">
        <v>8</v>
      </c>
      <c r="D276" t="s">
        <v>12</v>
      </c>
      <c r="E276" s="3">
        <v>278</v>
      </c>
      <c r="F276">
        <v>3</v>
      </c>
      <c r="G276">
        <v>25</v>
      </c>
      <c r="H276">
        <v>4.5999999999999996</v>
      </c>
      <c r="I276" t="s">
        <v>17</v>
      </c>
      <c r="J276" t="s">
        <v>22</v>
      </c>
      <c r="K276" t="str">
        <f t="shared" si="4"/>
        <v>High</v>
      </c>
    </row>
    <row r="277" spans="1:11" ht="15" customHeight="1" x14ac:dyDescent="0.25">
      <c r="A277" t="s">
        <v>293</v>
      </c>
      <c r="B277">
        <v>44</v>
      </c>
      <c r="C277">
        <v>37</v>
      </c>
      <c r="D277" t="s">
        <v>16</v>
      </c>
      <c r="E277" s="3">
        <v>481</v>
      </c>
      <c r="F277">
        <v>8</v>
      </c>
      <c r="G277">
        <v>8</v>
      </c>
      <c r="H277">
        <v>3.1</v>
      </c>
      <c r="I277" t="s">
        <v>13</v>
      </c>
      <c r="J277" t="s">
        <v>14</v>
      </c>
      <c r="K277" t="str">
        <f t="shared" si="4"/>
        <v>Medium</v>
      </c>
    </row>
    <row r="278" spans="1:11" ht="15" customHeight="1" x14ac:dyDescent="0.25">
      <c r="A278" t="s">
        <v>294</v>
      </c>
      <c r="B278">
        <v>40</v>
      </c>
      <c r="C278">
        <v>50</v>
      </c>
      <c r="D278" t="s">
        <v>16</v>
      </c>
      <c r="E278" s="3">
        <v>514</v>
      </c>
      <c r="F278">
        <v>3</v>
      </c>
      <c r="G278">
        <v>5</v>
      </c>
      <c r="H278">
        <v>2.6</v>
      </c>
      <c r="I278" t="s">
        <v>17</v>
      </c>
      <c r="J278" t="s">
        <v>22</v>
      </c>
      <c r="K278" t="str">
        <f t="shared" si="4"/>
        <v>High</v>
      </c>
    </row>
    <row r="279" spans="1:11" ht="15" customHeight="1" x14ac:dyDescent="0.25">
      <c r="A279" t="s">
        <v>295</v>
      </c>
      <c r="B279">
        <v>38</v>
      </c>
      <c r="C279">
        <v>54</v>
      </c>
      <c r="D279" t="s">
        <v>12</v>
      </c>
      <c r="E279" s="3">
        <v>424</v>
      </c>
      <c r="F279">
        <v>4</v>
      </c>
      <c r="G279">
        <v>6</v>
      </c>
      <c r="H279">
        <v>4.2</v>
      </c>
      <c r="I279" t="s">
        <v>13</v>
      </c>
      <c r="J279" t="s">
        <v>14</v>
      </c>
      <c r="K279" t="str">
        <f t="shared" si="4"/>
        <v>Low</v>
      </c>
    </row>
    <row r="280" spans="1:11" ht="15" customHeight="1" x14ac:dyDescent="0.25">
      <c r="A280" t="s">
        <v>296</v>
      </c>
      <c r="B280">
        <v>64</v>
      </c>
      <c r="C280">
        <v>3</v>
      </c>
      <c r="D280" t="s">
        <v>16</v>
      </c>
      <c r="E280" s="3">
        <v>707</v>
      </c>
      <c r="F280">
        <v>1</v>
      </c>
      <c r="G280">
        <v>10</v>
      </c>
      <c r="H280">
        <v>4.9000000000000004</v>
      </c>
      <c r="I280" t="s">
        <v>17</v>
      </c>
      <c r="J280" t="s">
        <v>14</v>
      </c>
      <c r="K280" t="str">
        <f t="shared" si="4"/>
        <v>Medium</v>
      </c>
    </row>
    <row r="281" spans="1:11" ht="15" customHeight="1" x14ac:dyDescent="0.25">
      <c r="A281" t="s">
        <v>297</v>
      </c>
      <c r="B281">
        <v>51</v>
      </c>
      <c r="C281">
        <v>19</v>
      </c>
      <c r="D281" t="s">
        <v>16</v>
      </c>
      <c r="E281" s="3">
        <v>480</v>
      </c>
      <c r="F281">
        <v>5</v>
      </c>
      <c r="G281">
        <v>6</v>
      </c>
      <c r="H281">
        <v>3.5</v>
      </c>
      <c r="I281" t="s">
        <v>13</v>
      </c>
      <c r="J281" t="s">
        <v>22</v>
      </c>
      <c r="K281" t="str">
        <f t="shared" si="4"/>
        <v>High</v>
      </c>
    </row>
    <row r="282" spans="1:11" ht="15" customHeight="1" x14ac:dyDescent="0.25">
      <c r="A282" t="s">
        <v>298</v>
      </c>
      <c r="B282">
        <v>34</v>
      </c>
      <c r="C282">
        <v>45</v>
      </c>
      <c r="D282" t="s">
        <v>16</v>
      </c>
      <c r="E282" s="3">
        <v>541</v>
      </c>
      <c r="F282">
        <v>7</v>
      </c>
      <c r="G282">
        <v>25</v>
      </c>
      <c r="H282">
        <v>1.5</v>
      </c>
      <c r="I282" t="s">
        <v>13</v>
      </c>
      <c r="J282" t="s">
        <v>14</v>
      </c>
      <c r="K282" t="str">
        <f t="shared" si="4"/>
        <v>Medium</v>
      </c>
    </row>
    <row r="283" spans="1:11" ht="15" customHeight="1" x14ac:dyDescent="0.25">
      <c r="A283" t="s">
        <v>299</v>
      </c>
      <c r="B283">
        <v>21</v>
      </c>
      <c r="C283">
        <v>36</v>
      </c>
      <c r="D283" t="s">
        <v>16</v>
      </c>
      <c r="E283" s="3">
        <v>692</v>
      </c>
      <c r="F283">
        <v>6</v>
      </c>
      <c r="G283">
        <v>14</v>
      </c>
      <c r="H283">
        <v>5</v>
      </c>
      <c r="I283" t="s">
        <v>17</v>
      </c>
      <c r="J283" t="s">
        <v>14</v>
      </c>
      <c r="K283" t="str">
        <f t="shared" si="4"/>
        <v>Medium</v>
      </c>
    </row>
    <row r="284" spans="1:11" ht="15" customHeight="1" x14ac:dyDescent="0.25">
      <c r="A284" t="s">
        <v>300</v>
      </c>
      <c r="B284">
        <v>38</v>
      </c>
      <c r="C284">
        <v>45</v>
      </c>
      <c r="D284" t="s">
        <v>26</v>
      </c>
      <c r="E284" s="3">
        <v>951</v>
      </c>
      <c r="F284">
        <v>1</v>
      </c>
      <c r="G284">
        <v>6</v>
      </c>
      <c r="H284">
        <v>2.8</v>
      </c>
      <c r="I284" t="s">
        <v>13</v>
      </c>
      <c r="J284" t="s">
        <v>22</v>
      </c>
      <c r="K284" t="str">
        <f t="shared" si="4"/>
        <v>High</v>
      </c>
    </row>
    <row r="285" spans="1:11" ht="15" customHeight="1" x14ac:dyDescent="0.25">
      <c r="A285" t="s">
        <v>301</v>
      </c>
      <c r="B285">
        <v>65</v>
      </c>
      <c r="C285">
        <v>20</v>
      </c>
      <c r="D285" t="s">
        <v>16</v>
      </c>
      <c r="E285" s="3">
        <v>745</v>
      </c>
      <c r="F285">
        <v>7</v>
      </c>
      <c r="G285">
        <v>24</v>
      </c>
      <c r="H285">
        <v>4.9000000000000004</v>
      </c>
      <c r="I285" t="s">
        <v>17</v>
      </c>
      <c r="J285" t="s">
        <v>14</v>
      </c>
      <c r="K285" t="str">
        <f t="shared" si="4"/>
        <v>Medium</v>
      </c>
    </row>
    <row r="286" spans="1:11" ht="15" customHeight="1" x14ac:dyDescent="0.25">
      <c r="A286" t="s">
        <v>302</v>
      </c>
      <c r="B286">
        <v>33</v>
      </c>
      <c r="C286">
        <v>14</v>
      </c>
      <c r="D286" t="s">
        <v>26</v>
      </c>
      <c r="E286" s="3">
        <v>935</v>
      </c>
      <c r="F286">
        <v>1</v>
      </c>
      <c r="G286">
        <v>23</v>
      </c>
      <c r="H286">
        <v>3.9</v>
      </c>
      <c r="I286" t="s">
        <v>17</v>
      </c>
      <c r="J286" t="s">
        <v>14</v>
      </c>
      <c r="K286" t="str">
        <f t="shared" si="4"/>
        <v>Low</v>
      </c>
    </row>
    <row r="287" spans="1:11" ht="15" customHeight="1" x14ac:dyDescent="0.25">
      <c r="A287" t="s">
        <v>303</v>
      </c>
      <c r="B287">
        <v>63</v>
      </c>
      <c r="C287">
        <v>54</v>
      </c>
      <c r="D287" t="s">
        <v>12</v>
      </c>
      <c r="E287" s="3">
        <v>264</v>
      </c>
      <c r="F287">
        <v>7</v>
      </c>
      <c r="G287">
        <v>7</v>
      </c>
      <c r="H287">
        <v>1.8</v>
      </c>
      <c r="I287" t="s">
        <v>13</v>
      </c>
      <c r="J287" t="s">
        <v>22</v>
      </c>
      <c r="K287" t="str">
        <f t="shared" si="4"/>
        <v>High</v>
      </c>
    </row>
    <row r="288" spans="1:11" ht="15" customHeight="1" x14ac:dyDescent="0.25">
      <c r="A288" t="s">
        <v>304</v>
      </c>
      <c r="B288">
        <v>52</v>
      </c>
      <c r="C288">
        <v>42</v>
      </c>
      <c r="D288" t="s">
        <v>12</v>
      </c>
      <c r="E288" s="3">
        <v>361</v>
      </c>
      <c r="F288">
        <v>6</v>
      </c>
      <c r="G288">
        <v>9</v>
      </c>
      <c r="H288">
        <v>4.2</v>
      </c>
      <c r="I288" t="s">
        <v>17</v>
      </c>
      <c r="J288" t="s">
        <v>14</v>
      </c>
      <c r="K288" t="str">
        <f t="shared" si="4"/>
        <v>Medium</v>
      </c>
    </row>
    <row r="289" spans="1:11" ht="15" customHeight="1" x14ac:dyDescent="0.25">
      <c r="A289" t="s">
        <v>305</v>
      </c>
      <c r="B289">
        <v>31</v>
      </c>
      <c r="C289">
        <v>42</v>
      </c>
      <c r="D289" t="s">
        <v>16</v>
      </c>
      <c r="E289" s="3">
        <v>495</v>
      </c>
      <c r="F289">
        <v>7</v>
      </c>
      <c r="G289">
        <v>29</v>
      </c>
      <c r="H289">
        <v>3.6</v>
      </c>
      <c r="I289" t="s">
        <v>13</v>
      </c>
      <c r="J289" t="s">
        <v>14</v>
      </c>
      <c r="K289" t="str">
        <f t="shared" si="4"/>
        <v>Medium</v>
      </c>
    </row>
    <row r="290" spans="1:11" ht="15" customHeight="1" x14ac:dyDescent="0.25">
      <c r="A290" t="s">
        <v>306</v>
      </c>
      <c r="B290">
        <v>60</v>
      </c>
      <c r="C290">
        <v>42</v>
      </c>
      <c r="D290" t="s">
        <v>16</v>
      </c>
      <c r="E290" s="3">
        <v>511</v>
      </c>
      <c r="F290">
        <v>1</v>
      </c>
      <c r="G290">
        <v>5</v>
      </c>
      <c r="H290">
        <v>2.2000000000000002</v>
      </c>
      <c r="I290" t="s">
        <v>17</v>
      </c>
      <c r="J290" t="s">
        <v>22</v>
      </c>
      <c r="K290" t="str">
        <f t="shared" si="4"/>
        <v>High</v>
      </c>
    </row>
    <row r="291" spans="1:11" ht="15" customHeight="1" x14ac:dyDescent="0.25">
      <c r="A291" t="s">
        <v>307</v>
      </c>
      <c r="B291">
        <v>56</v>
      </c>
      <c r="C291">
        <v>37</v>
      </c>
      <c r="D291" t="s">
        <v>16</v>
      </c>
      <c r="E291" s="3">
        <v>498</v>
      </c>
      <c r="F291">
        <v>2</v>
      </c>
      <c r="G291">
        <v>14</v>
      </c>
      <c r="H291">
        <v>3.6</v>
      </c>
      <c r="I291" t="s">
        <v>17</v>
      </c>
      <c r="J291" t="s">
        <v>14</v>
      </c>
      <c r="K291" t="str">
        <f t="shared" si="4"/>
        <v>Low</v>
      </c>
    </row>
    <row r="292" spans="1:11" ht="15" customHeight="1" x14ac:dyDescent="0.25">
      <c r="A292" t="s">
        <v>308</v>
      </c>
      <c r="B292">
        <v>47</v>
      </c>
      <c r="C292">
        <v>20</v>
      </c>
      <c r="D292" t="s">
        <v>16</v>
      </c>
      <c r="E292" s="3">
        <v>616</v>
      </c>
      <c r="F292">
        <v>8</v>
      </c>
      <c r="G292">
        <v>7</v>
      </c>
      <c r="H292">
        <v>2.2999999999999998</v>
      </c>
      <c r="I292" t="s">
        <v>17</v>
      </c>
      <c r="J292" t="s">
        <v>14</v>
      </c>
      <c r="K292" t="str">
        <f t="shared" si="4"/>
        <v>Medium</v>
      </c>
    </row>
    <row r="293" spans="1:11" ht="15" customHeight="1" x14ac:dyDescent="0.25">
      <c r="A293" t="s">
        <v>309</v>
      </c>
      <c r="B293">
        <v>53</v>
      </c>
      <c r="C293">
        <v>32</v>
      </c>
      <c r="D293" t="s">
        <v>12</v>
      </c>
      <c r="E293" s="3">
        <v>399</v>
      </c>
      <c r="F293">
        <v>1</v>
      </c>
      <c r="G293">
        <v>26</v>
      </c>
      <c r="H293">
        <v>4.3</v>
      </c>
      <c r="I293" t="s">
        <v>13</v>
      </c>
      <c r="J293" t="s">
        <v>14</v>
      </c>
      <c r="K293" t="str">
        <f t="shared" si="4"/>
        <v>Low</v>
      </c>
    </row>
    <row r="294" spans="1:11" ht="15" customHeight="1" x14ac:dyDescent="0.25">
      <c r="A294" t="s">
        <v>310</v>
      </c>
      <c r="B294">
        <v>27</v>
      </c>
      <c r="C294">
        <v>12</v>
      </c>
      <c r="D294" t="s">
        <v>26</v>
      </c>
      <c r="E294" s="3">
        <v>752</v>
      </c>
      <c r="F294">
        <v>8</v>
      </c>
      <c r="G294">
        <v>16</v>
      </c>
      <c r="H294">
        <v>3.6</v>
      </c>
      <c r="I294" t="s">
        <v>17</v>
      </c>
      <c r="J294" t="s">
        <v>22</v>
      </c>
      <c r="K294" t="str">
        <f t="shared" si="4"/>
        <v>High</v>
      </c>
    </row>
    <row r="295" spans="1:11" ht="15" customHeight="1" x14ac:dyDescent="0.25">
      <c r="A295" t="s">
        <v>311</v>
      </c>
      <c r="B295">
        <v>30</v>
      </c>
      <c r="C295">
        <v>6</v>
      </c>
      <c r="D295" t="s">
        <v>16</v>
      </c>
      <c r="E295" s="3">
        <v>467</v>
      </c>
      <c r="F295">
        <v>1</v>
      </c>
      <c r="G295">
        <v>18</v>
      </c>
      <c r="H295">
        <v>3.1</v>
      </c>
      <c r="I295" t="s">
        <v>17</v>
      </c>
      <c r="J295" t="s">
        <v>14</v>
      </c>
      <c r="K295" t="str">
        <f t="shared" si="4"/>
        <v>Medium</v>
      </c>
    </row>
    <row r="296" spans="1:11" ht="15" customHeight="1" x14ac:dyDescent="0.25">
      <c r="A296" t="s">
        <v>312</v>
      </c>
      <c r="B296">
        <v>30</v>
      </c>
      <c r="C296">
        <v>28</v>
      </c>
      <c r="D296" t="s">
        <v>26</v>
      </c>
      <c r="E296" s="3">
        <v>877</v>
      </c>
      <c r="F296">
        <v>4</v>
      </c>
      <c r="G296">
        <v>3</v>
      </c>
      <c r="H296">
        <v>4.5</v>
      </c>
      <c r="I296" t="s">
        <v>13</v>
      </c>
      <c r="J296" t="s">
        <v>14</v>
      </c>
      <c r="K296" t="str">
        <f t="shared" si="4"/>
        <v>Low</v>
      </c>
    </row>
    <row r="297" spans="1:11" ht="15" customHeight="1" x14ac:dyDescent="0.25">
      <c r="A297" t="s">
        <v>313</v>
      </c>
      <c r="B297">
        <v>48</v>
      </c>
      <c r="C297">
        <v>9</v>
      </c>
      <c r="D297" t="s">
        <v>16</v>
      </c>
      <c r="E297" s="3">
        <v>610</v>
      </c>
      <c r="F297">
        <v>5</v>
      </c>
      <c r="G297">
        <v>21</v>
      </c>
      <c r="H297">
        <v>3.1</v>
      </c>
      <c r="I297" t="s">
        <v>17</v>
      </c>
      <c r="J297" t="s">
        <v>22</v>
      </c>
      <c r="K297" t="str">
        <f t="shared" si="4"/>
        <v>High</v>
      </c>
    </row>
    <row r="298" spans="1:11" ht="15" customHeight="1" x14ac:dyDescent="0.25">
      <c r="A298" t="s">
        <v>314</v>
      </c>
      <c r="B298">
        <v>26</v>
      </c>
      <c r="C298">
        <v>43</v>
      </c>
      <c r="D298" t="s">
        <v>26</v>
      </c>
      <c r="E298" s="3">
        <v>846</v>
      </c>
      <c r="F298">
        <v>2</v>
      </c>
      <c r="G298">
        <v>11</v>
      </c>
      <c r="H298">
        <v>3.9</v>
      </c>
      <c r="I298" t="s">
        <v>17</v>
      </c>
      <c r="J298" t="s">
        <v>14</v>
      </c>
      <c r="K298" t="str">
        <f t="shared" si="4"/>
        <v>Low</v>
      </c>
    </row>
    <row r="299" spans="1:11" ht="15" customHeight="1" x14ac:dyDescent="0.25">
      <c r="A299" t="s">
        <v>315</v>
      </c>
      <c r="B299">
        <v>57</v>
      </c>
      <c r="C299">
        <v>23</v>
      </c>
      <c r="D299" t="s">
        <v>12</v>
      </c>
      <c r="E299" s="3">
        <v>436</v>
      </c>
      <c r="F299">
        <v>8</v>
      </c>
      <c r="G299">
        <v>10</v>
      </c>
      <c r="H299">
        <v>3</v>
      </c>
      <c r="I299" t="s">
        <v>17</v>
      </c>
      <c r="J299" t="s">
        <v>14</v>
      </c>
      <c r="K299" t="str">
        <f t="shared" si="4"/>
        <v>Medium</v>
      </c>
    </row>
    <row r="300" spans="1:11" ht="15" customHeight="1" x14ac:dyDescent="0.25">
      <c r="A300" t="s">
        <v>316</v>
      </c>
      <c r="B300">
        <v>30</v>
      </c>
      <c r="C300">
        <v>26</v>
      </c>
      <c r="D300" t="s">
        <v>16</v>
      </c>
      <c r="E300" s="3">
        <v>667</v>
      </c>
      <c r="F300">
        <v>2</v>
      </c>
      <c r="G300">
        <v>19</v>
      </c>
      <c r="H300">
        <v>3.9</v>
      </c>
      <c r="I300" t="s">
        <v>17</v>
      </c>
      <c r="J300" t="s">
        <v>14</v>
      </c>
      <c r="K300" t="str">
        <f t="shared" si="4"/>
        <v>Low</v>
      </c>
    </row>
    <row r="301" spans="1:11" ht="15" customHeight="1" x14ac:dyDescent="0.25">
      <c r="A301" t="s">
        <v>317</v>
      </c>
      <c r="B301">
        <v>61</v>
      </c>
      <c r="C301">
        <v>13</v>
      </c>
      <c r="D301" t="s">
        <v>16</v>
      </c>
      <c r="E301" s="3">
        <v>711</v>
      </c>
      <c r="F301">
        <v>2</v>
      </c>
      <c r="G301">
        <v>15</v>
      </c>
      <c r="H301">
        <v>4.7</v>
      </c>
      <c r="I301" t="s">
        <v>13</v>
      </c>
      <c r="J301" t="s">
        <v>14</v>
      </c>
      <c r="K301" t="str">
        <f t="shared" si="4"/>
        <v>Low</v>
      </c>
    </row>
    <row r="302" spans="1:11" ht="15" customHeight="1" x14ac:dyDescent="0.25">
      <c r="A302" t="s">
        <v>318</v>
      </c>
      <c r="B302">
        <v>47</v>
      </c>
      <c r="C302">
        <v>25</v>
      </c>
      <c r="D302" t="s">
        <v>12</v>
      </c>
      <c r="E302" s="3">
        <v>404</v>
      </c>
      <c r="F302">
        <v>4</v>
      </c>
      <c r="G302">
        <v>5</v>
      </c>
      <c r="H302">
        <v>2.2000000000000002</v>
      </c>
      <c r="I302" t="s">
        <v>17</v>
      </c>
      <c r="J302" t="s">
        <v>22</v>
      </c>
      <c r="K302" t="str">
        <f t="shared" si="4"/>
        <v>High</v>
      </c>
    </row>
    <row r="303" spans="1:11" ht="15" customHeight="1" x14ac:dyDescent="0.25">
      <c r="A303" t="s">
        <v>319</v>
      </c>
      <c r="B303">
        <v>25</v>
      </c>
      <c r="C303">
        <v>24</v>
      </c>
      <c r="D303" t="s">
        <v>26</v>
      </c>
      <c r="E303" s="3">
        <v>824</v>
      </c>
      <c r="F303">
        <v>3</v>
      </c>
      <c r="G303">
        <v>10</v>
      </c>
      <c r="H303">
        <v>3.2</v>
      </c>
      <c r="I303" t="s">
        <v>17</v>
      </c>
      <c r="J303" t="s">
        <v>14</v>
      </c>
      <c r="K303" t="str">
        <f t="shared" si="4"/>
        <v>Low</v>
      </c>
    </row>
    <row r="304" spans="1:11" ht="15" customHeight="1" x14ac:dyDescent="0.25">
      <c r="A304" t="s">
        <v>320</v>
      </c>
      <c r="B304">
        <v>34</v>
      </c>
      <c r="C304">
        <v>25</v>
      </c>
      <c r="D304" t="s">
        <v>26</v>
      </c>
      <c r="E304" s="3">
        <v>839</v>
      </c>
      <c r="F304">
        <v>8</v>
      </c>
      <c r="G304">
        <v>25</v>
      </c>
      <c r="H304">
        <v>4.4000000000000004</v>
      </c>
      <c r="I304" t="s">
        <v>13</v>
      </c>
      <c r="J304" t="s">
        <v>22</v>
      </c>
      <c r="K304" t="str">
        <f t="shared" si="4"/>
        <v>High</v>
      </c>
    </row>
    <row r="305" spans="1:11" ht="15" customHeight="1" x14ac:dyDescent="0.25">
      <c r="A305" t="s">
        <v>321</v>
      </c>
      <c r="B305">
        <v>42</v>
      </c>
      <c r="C305">
        <v>45</v>
      </c>
      <c r="D305" t="s">
        <v>16</v>
      </c>
      <c r="E305" s="3">
        <v>732</v>
      </c>
      <c r="F305">
        <v>1</v>
      </c>
      <c r="G305">
        <v>30</v>
      </c>
      <c r="H305">
        <v>2.7</v>
      </c>
      <c r="I305" t="s">
        <v>17</v>
      </c>
      <c r="J305" t="s">
        <v>22</v>
      </c>
      <c r="K305" t="str">
        <f t="shared" si="4"/>
        <v>High</v>
      </c>
    </row>
    <row r="306" spans="1:11" ht="15" customHeight="1" x14ac:dyDescent="0.25">
      <c r="A306" t="s">
        <v>322</v>
      </c>
      <c r="B306">
        <v>44</v>
      </c>
      <c r="C306">
        <v>12</v>
      </c>
      <c r="D306" t="s">
        <v>12</v>
      </c>
      <c r="E306" s="3">
        <v>439</v>
      </c>
      <c r="F306">
        <v>6</v>
      </c>
      <c r="G306">
        <v>17</v>
      </c>
      <c r="H306">
        <v>2.9</v>
      </c>
      <c r="I306" t="s">
        <v>13</v>
      </c>
      <c r="J306" t="s">
        <v>14</v>
      </c>
      <c r="K306" t="str">
        <f t="shared" si="4"/>
        <v>Medium</v>
      </c>
    </row>
    <row r="307" spans="1:11" ht="15" customHeight="1" x14ac:dyDescent="0.25">
      <c r="A307" t="s">
        <v>323</v>
      </c>
      <c r="B307">
        <v>62</v>
      </c>
      <c r="C307">
        <v>9</v>
      </c>
      <c r="D307" t="s">
        <v>12</v>
      </c>
      <c r="E307" s="3">
        <v>395</v>
      </c>
      <c r="F307">
        <v>5</v>
      </c>
      <c r="G307">
        <v>24</v>
      </c>
      <c r="H307">
        <v>3.1</v>
      </c>
      <c r="I307" t="s">
        <v>13</v>
      </c>
      <c r="J307" t="s">
        <v>14</v>
      </c>
      <c r="K307" t="str">
        <f t="shared" si="4"/>
        <v>Medium</v>
      </c>
    </row>
    <row r="308" spans="1:11" ht="15" customHeight="1" x14ac:dyDescent="0.25">
      <c r="A308" t="s">
        <v>324</v>
      </c>
      <c r="B308">
        <v>46</v>
      </c>
      <c r="C308">
        <v>46</v>
      </c>
      <c r="D308" t="s">
        <v>16</v>
      </c>
      <c r="E308" s="3">
        <v>631</v>
      </c>
      <c r="F308">
        <v>7</v>
      </c>
      <c r="G308">
        <v>18</v>
      </c>
      <c r="H308">
        <v>3</v>
      </c>
      <c r="I308" t="s">
        <v>17</v>
      </c>
      <c r="J308" t="s">
        <v>14</v>
      </c>
      <c r="K308" t="str">
        <f t="shared" si="4"/>
        <v>Medium</v>
      </c>
    </row>
    <row r="309" spans="1:11" ht="15" customHeight="1" x14ac:dyDescent="0.25">
      <c r="A309" t="s">
        <v>325</v>
      </c>
      <c r="B309">
        <v>34</v>
      </c>
      <c r="C309">
        <v>20</v>
      </c>
      <c r="D309" t="s">
        <v>16</v>
      </c>
      <c r="E309" s="3">
        <v>606</v>
      </c>
      <c r="F309">
        <v>5</v>
      </c>
      <c r="G309">
        <v>29</v>
      </c>
      <c r="H309">
        <v>5</v>
      </c>
      <c r="I309" t="s">
        <v>17</v>
      </c>
      <c r="J309" t="s">
        <v>22</v>
      </c>
      <c r="K309" t="str">
        <f t="shared" si="4"/>
        <v>High</v>
      </c>
    </row>
    <row r="310" spans="1:11" ht="15" customHeight="1" x14ac:dyDescent="0.25">
      <c r="A310" t="s">
        <v>326</v>
      </c>
      <c r="B310">
        <v>35</v>
      </c>
      <c r="C310">
        <v>6</v>
      </c>
      <c r="D310" t="s">
        <v>12</v>
      </c>
      <c r="E310" s="3">
        <v>264</v>
      </c>
      <c r="F310">
        <v>4</v>
      </c>
      <c r="G310">
        <v>19</v>
      </c>
      <c r="H310">
        <v>5</v>
      </c>
      <c r="I310" t="s">
        <v>17</v>
      </c>
      <c r="J310" t="s">
        <v>14</v>
      </c>
      <c r="K310" t="str">
        <f t="shared" si="4"/>
        <v>Medium</v>
      </c>
    </row>
    <row r="311" spans="1:11" ht="15" customHeight="1" x14ac:dyDescent="0.25">
      <c r="A311" t="s">
        <v>327</v>
      </c>
      <c r="B311">
        <v>63</v>
      </c>
      <c r="C311">
        <v>33</v>
      </c>
      <c r="D311" t="s">
        <v>26</v>
      </c>
      <c r="E311" s="3">
        <v>1004</v>
      </c>
      <c r="F311">
        <v>8</v>
      </c>
      <c r="G311">
        <v>23</v>
      </c>
      <c r="H311">
        <v>2.8</v>
      </c>
      <c r="I311" t="s">
        <v>13</v>
      </c>
      <c r="J311" t="s">
        <v>14</v>
      </c>
      <c r="K311" t="str">
        <f t="shared" si="4"/>
        <v>Medium</v>
      </c>
    </row>
    <row r="312" spans="1:11" ht="15" customHeight="1" x14ac:dyDescent="0.25">
      <c r="A312" t="s">
        <v>328</v>
      </c>
      <c r="B312">
        <v>64</v>
      </c>
      <c r="C312">
        <v>8</v>
      </c>
      <c r="D312" t="s">
        <v>16</v>
      </c>
      <c r="E312" s="3">
        <v>547</v>
      </c>
      <c r="F312">
        <v>0</v>
      </c>
      <c r="G312">
        <v>24</v>
      </c>
      <c r="H312">
        <v>2.5</v>
      </c>
      <c r="I312" t="s">
        <v>17</v>
      </c>
      <c r="J312" t="s">
        <v>14</v>
      </c>
      <c r="K312" t="str">
        <f t="shared" si="4"/>
        <v>Medium</v>
      </c>
    </row>
    <row r="313" spans="1:11" ht="15" customHeight="1" x14ac:dyDescent="0.25">
      <c r="A313" t="s">
        <v>329</v>
      </c>
      <c r="B313">
        <v>62</v>
      </c>
      <c r="C313">
        <v>59</v>
      </c>
      <c r="D313" t="s">
        <v>26</v>
      </c>
      <c r="E313" s="3">
        <v>1060</v>
      </c>
      <c r="F313">
        <v>7</v>
      </c>
      <c r="G313">
        <v>7</v>
      </c>
      <c r="H313">
        <v>4</v>
      </c>
      <c r="I313" t="s">
        <v>13</v>
      </c>
      <c r="J313" t="s">
        <v>14</v>
      </c>
      <c r="K313" t="str">
        <f t="shared" si="4"/>
        <v>Medium</v>
      </c>
    </row>
    <row r="314" spans="1:11" ht="15" customHeight="1" x14ac:dyDescent="0.25">
      <c r="A314" t="s">
        <v>330</v>
      </c>
      <c r="B314">
        <v>53</v>
      </c>
      <c r="C314">
        <v>58</v>
      </c>
      <c r="D314" t="s">
        <v>12</v>
      </c>
      <c r="E314" s="3">
        <v>269</v>
      </c>
      <c r="F314">
        <v>2</v>
      </c>
      <c r="G314">
        <v>18</v>
      </c>
      <c r="H314">
        <v>3.3</v>
      </c>
      <c r="I314" t="s">
        <v>17</v>
      </c>
      <c r="J314" t="s">
        <v>22</v>
      </c>
      <c r="K314" t="str">
        <f t="shared" si="4"/>
        <v>High</v>
      </c>
    </row>
    <row r="315" spans="1:11" ht="15" customHeight="1" x14ac:dyDescent="0.25">
      <c r="A315" t="s">
        <v>331</v>
      </c>
      <c r="B315">
        <v>27</v>
      </c>
      <c r="C315">
        <v>22</v>
      </c>
      <c r="D315" t="s">
        <v>26</v>
      </c>
      <c r="E315" s="3">
        <v>1185</v>
      </c>
      <c r="F315">
        <v>1</v>
      </c>
      <c r="G315">
        <v>11</v>
      </c>
      <c r="H315">
        <v>3.7</v>
      </c>
      <c r="I315" t="s">
        <v>17</v>
      </c>
      <c r="J315" t="s">
        <v>14</v>
      </c>
      <c r="K315" t="str">
        <f t="shared" si="4"/>
        <v>Low</v>
      </c>
    </row>
    <row r="316" spans="1:11" ht="15" customHeight="1" x14ac:dyDescent="0.25">
      <c r="A316" t="s">
        <v>332</v>
      </c>
      <c r="B316">
        <v>33</v>
      </c>
      <c r="C316">
        <v>1</v>
      </c>
      <c r="D316" t="s">
        <v>16</v>
      </c>
      <c r="E316" s="3">
        <v>651</v>
      </c>
      <c r="F316">
        <v>4</v>
      </c>
      <c r="G316">
        <v>22</v>
      </c>
      <c r="H316">
        <v>1.6</v>
      </c>
      <c r="I316" t="s">
        <v>13</v>
      </c>
      <c r="J316" t="s">
        <v>14</v>
      </c>
      <c r="K316" t="str">
        <f t="shared" si="4"/>
        <v>Medium</v>
      </c>
    </row>
    <row r="317" spans="1:11" ht="15" customHeight="1" x14ac:dyDescent="0.25">
      <c r="A317" t="s">
        <v>333</v>
      </c>
      <c r="B317">
        <v>51</v>
      </c>
      <c r="C317">
        <v>4</v>
      </c>
      <c r="D317" t="s">
        <v>16</v>
      </c>
      <c r="E317" s="3">
        <v>685</v>
      </c>
      <c r="F317">
        <v>4</v>
      </c>
      <c r="G317">
        <v>13</v>
      </c>
      <c r="H317">
        <v>3.3</v>
      </c>
      <c r="I317" t="s">
        <v>17</v>
      </c>
      <c r="J317" t="s">
        <v>14</v>
      </c>
      <c r="K317" t="str">
        <f t="shared" si="4"/>
        <v>Medium</v>
      </c>
    </row>
    <row r="318" spans="1:11" ht="15" customHeight="1" x14ac:dyDescent="0.25">
      <c r="A318" t="s">
        <v>334</v>
      </c>
      <c r="B318">
        <v>31</v>
      </c>
      <c r="C318">
        <v>26</v>
      </c>
      <c r="D318" t="s">
        <v>16</v>
      </c>
      <c r="E318" s="3">
        <v>670</v>
      </c>
      <c r="F318">
        <v>3</v>
      </c>
      <c r="G318">
        <v>4</v>
      </c>
      <c r="H318">
        <v>1.6</v>
      </c>
      <c r="I318" t="s">
        <v>17</v>
      </c>
      <c r="J318" t="s">
        <v>14</v>
      </c>
      <c r="K318" t="str">
        <f t="shared" si="4"/>
        <v>Medium</v>
      </c>
    </row>
    <row r="319" spans="1:11" ht="15" customHeight="1" x14ac:dyDescent="0.25">
      <c r="A319" t="s">
        <v>335</v>
      </c>
      <c r="B319">
        <v>20</v>
      </c>
      <c r="C319">
        <v>10</v>
      </c>
      <c r="D319" t="s">
        <v>16</v>
      </c>
      <c r="E319" s="3">
        <v>565</v>
      </c>
      <c r="F319">
        <v>6</v>
      </c>
      <c r="G319">
        <v>13</v>
      </c>
      <c r="H319">
        <v>3.2</v>
      </c>
      <c r="I319" t="s">
        <v>17</v>
      </c>
      <c r="J319" t="s">
        <v>14</v>
      </c>
      <c r="K319" t="str">
        <f t="shared" si="4"/>
        <v>Medium</v>
      </c>
    </row>
    <row r="320" spans="1:11" ht="15" customHeight="1" x14ac:dyDescent="0.25">
      <c r="A320" t="s">
        <v>336</v>
      </c>
      <c r="B320">
        <v>31</v>
      </c>
      <c r="C320">
        <v>35</v>
      </c>
      <c r="D320" t="s">
        <v>26</v>
      </c>
      <c r="E320" s="3">
        <v>1086</v>
      </c>
      <c r="F320">
        <v>7</v>
      </c>
      <c r="G320">
        <v>7</v>
      </c>
      <c r="H320">
        <v>4.5</v>
      </c>
      <c r="I320" t="s">
        <v>17</v>
      </c>
      <c r="J320" t="s">
        <v>14</v>
      </c>
      <c r="K320" t="str">
        <f t="shared" si="4"/>
        <v>Medium</v>
      </c>
    </row>
    <row r="321" spans="1:11" ht="15" customHeight="1" x14ac:dyDescent="0.25">
      <c r="A321" t="s">
        <v>337</v>
      </c>
      <c r="B321">
        <v>65</v>
      </c>
      <c r="C321">
        <v>13</v>
      </c>
      <c r="D321" t="s">
        <v>12</v>
      </c>
      <c r="E321" s="3">
        <v>322</v>
      </c>
      <c r="F321">
        <v>6</v>
      </c>
      <c r="G321">
        <v>15</v>
      </c>
      <c r="H321">
        <v>4.5999999999999996</v>
      </c>
      <c r="I321" t="s">
        <v>13</v>
      </c>
      <c r="J321" t="s">
        <v>14</v>
      </c>
      <c r="K321" t="str">
        <f t="shared" si="4"/>
        <v>Medium</v>
      </c>
    </row>
    <row r="322" spans="1:11" ht="15" customHeight="1" x14ac:dyDescent="0.25">
      <c r="A322" t="s">
        <v>338</v>
      </c>
      <c r="B322">
        <v>30</v>
      </c>
      <c r="C322">
        <v>43</v>
      </c>
      <c r="D322" t="s">
        <v>12</v>
      </c>
      <c r="E322" s="3">
        <v>372</v>
      </c>
      <c r="F322">
        <v>6</v>
      </c>
      <c r="G322">
        <v>17</v>
      </c>
      <c r="H322">
        <v>2</v>
      </c>
      <c r="I322" t="s">
        <v>13</v>
      </c>
      <c r="J322" t="s">
        <v>22</v>
      </c>
      <c r="K322" t="str">
        <f t="shared" ref="K322:K385" si="5">IF(J322="Yes","High",IF(OR(H322&lt;3,F322&gt;=5,C322&lt;12),"Medium","Low"))</f>
        <v>High</v>
      </c>
    </row>
    <row r="323" spans="1:11" ht="15" customHeight="1" x14ac:dyDescent="0.25">
      <c r="A323" t="s">
        <v>339</v>
      </c>
      <c r="B323">
        <v>45</v>
      </c>
      <c r="C323">
        <v>33</v>
      </c>
      <c r="D323" t="s">
        <v>16</v>
      </c>
      <c r="E323" s="3">
        <v>649</v>
      </c>
      <c r="F323">
        <v>1</v>
      </c>
      <c r="G323">
        <v>5</v>
      </c>
      <c r="H323">
        <v>3</v>
      </c>
      <c r="I323" t="s">
        <v>13</v>
      </c>
      <c r="J323" t="s">
        <v>22</v>
      </c>
      <c r="K323" t="str">
        <f t="shared" si="5"/>
        <v>High</v>
      </c>
    </row>
    <row r="324" spans="1:11" ht="15" customHeight="1" x14ac:dyDescent="0.25">
      <c r="A324" t="s">
        <v>340</v>
      </c>
      <c r="B324">
        <v>42</v>
      </c>
      <c r="C324">
        <v>33</v>
      </c>
      <c r="D324" t="s">
        <v>12</v>
      </c>
      <c r="E324" s="3">
        <v>425</v>
      </c>
      <c r="F324">
        <v>5</v>
      </c>
      <c r="G324">
        <v>15</v>
      </c>
      <c r="H324">
        <v>5</v>
      </c>
      <c r="I324" t="s">
        <v>17</v>
      </c>
      <c r="J324" t="s">
        <v>22</v>
      </c>
      <c r="K324" t="str">
        <f t="shared" si="5"/>
        <v>High</v>
      </c>
    </row>
    <row r="325" spans="1:11" ht="15" customHeight="1" x14ac:dyDescent="0.25">
      <c r="A325" t="s">
        <v>341</v>
      </c>
      <c r="B325">
        <v>51</v>
      </c>
      <c r="C325">
        <v>6</v>
      </c>
      <c r="D325" t="s">
        <v>16</v>
      </c>
      <c r="E325" s="3">
        <v>528</v>
      </c>
      <c r="F325">
        <v>8</v>
      </c>
      <c r="G325">
        <v>7</v>
      </c>
      <c r="H325">
        <v>3.3</v>
      </c>
      <c r="I325" t="s">
        <v>17</v>
      </c>
      <c r="J325" t="s">
        <v>14</v>
      </c>
      <c r="K325" t="str">
        <f t="shared" si="5"/>
        <v>Medium</v>
      </c>
    </row>
    <row r="326" spans="1:11" ht="15" customHeight="1" x14ac:dyDescent="0.25">
      <c r="A326" t="s">
        <v>342</v>
      </c>
      <c r="B326">
        <v>36</v>
      </c>
      <c r="C326">
        <v>45</v>
      </c>
      <c r="D326" t="s">
        <v>12</v>
      </c>
      <c r="E326" s="3">
        <v>359</v>
      </c>
      <c r="F326">
        <v>1</v>
      </c>
      <c r="G326">
        <v>24</v>
      </c>
      <c r="H326">
        <v>3.3</v>
      </c>
      <c r="I326" t="s">
        <v>17</v>
      </c>
      <c r="J326" t="s">
        <v>14</v>
      </c>
      <c r="K326" t="str">
        <f t="shared" si="5"/>
        <v>Low</v>
      </c>
    </row>
    <row r="327" spans="1:11" ht="15" customHeight="1" x14ac:dyDescent="0.25">
      <c r="A327" t="s">
        <v>343</v>
      </c>
      <c r="B327">
        <v>60</v>
      </c>
      <c r="C327">
        <v>41</v>
      </c>
      <c r="D327" t="s">
        <v>12</v>
      </c>
      <c r="E327" s="3">
        <v>280</v>
      </c>
      <c r="F327">
        <v>0</v>
      </c>
      <c r="G327">
        <v>10</v>
      </c>
      <c r="H327">
        <v>2.2999999999999998</v>
      </c>
      <c r="I327" t="s">
        <v>13</v>
      </c>
      <c r="J327" t="s">
        <v>14</v>
      </c>
      <c r="K327" t="str">
        <f t="shared" si="5"/>
        <v>Medium</v>
      </c>
    </row>
    <row r="328" spans="1:11" ht="15" customHeight="1" x14ac:dyDescent="0.25">
      <c r="A328" t="s">
        <v>344</v>
      </c>
      <c r="B328">
        <v>47</v>
      </c>
      <c r="C328">
        <v>2</v>
      </c>
      <c r="D328" t="s">
        <v>16</v>
      </c>
      <c r="E328" s="3">
        <v>476</v>
      </c>
      <c r="F328">
        <v>6</v>
      </c>
      <c r="G328">
        <v>18</v>
      </c>
      <c r="H328">
        <v>3.1</v>
      </c>
      <c r="I328" t="s">
        <v>17</v>
      </c>
      <c r="J328" t="s">
        <v>22</v>
      </c>
      <c r="K328" t="str">
        <f t="shared" si="5"/>
        <v>High</v>
      </c>
    </row>
    <row r="329" spans="1:11" ht="15" customHeight="1" x14ac:dyDescent="0.25">
      <c r="A329" t="s">
        <v>345</v>
      </c>
      <c r="B329">
        <v>50</v>
      </c>
      <c r="C329">
        <v>4</v>
      </c>
      <c r="D329" t="s">
        <v>16</v>
      </c>
      <c r="E329" s="3">
        <v>476</v>
      </c>
      <c r="F329">
        <v>1</v>
      </c>
      <c r="G329">
        <v>10</v>
      </c>
      <c r="H329">
        <v>4.7</v>
      </c>
      <c r="I329" t="s">
        <v>17</v>
      </c>
      <c r="J329" t="s">
        <v>14</v>
      </c>
      <c r="K329" t="str">
        <f t="shared" si="5"/>
        <v>Medium</v>
      </c>
    </row>
    <row r="330" spans="1:11" ht="15" customHeight="1" x14ac:dyDescent="0.25">
      <c r="A330" t="s">
        <v>346</v>
      </c>
      <c r="B330">
        <v>65</v>
      </c>
      <c r="C330">
        <v>27</v>
      </c>
      <c r="D330" t="s">
        <v>12</v>
      </c>
      <c r="E330" s="3">
        <v>262</v>
      </c>
      <c r="F330">
        <v>0</v>
      </c>
      <c r="G330">
        <v>3</v>
      </c>
      <c r="H330">
        <v>3.1</v>
      </c>
      <c r="I330" t="s">
        <v>17</v>
      </c>
      <c r="J330" t="s">
        <v>22</v>
      </c>
      <c r="K330" t="str">
        <f t="shared" si="5"/>
        <v>High</v>
      </c>
    </row>
    <row r="331" spans="1:11" ht="15" customHeight="1" x14ac:dyDescent="0.25">
      <c r="A331" t="s">
        <v>347</v>
      </c>
      <c r="B331">
        <v>58</v>
      </c>
      <c r="C331">
        <v>7</v>
      </c>
      <c r="D331" t="s">
        <v>16</v>
      </c>
      <c r="E331" s="3">
        <v>701</v>
      </c>
      <c r="F331">
        <v>5</v>
      </c>
      <c r="G331">
        <v>11</v>
      </c>
      <c r="H331">
        <v>2.8</v>
      </c>
      <c r="I331" t="s">
        <v>17</v>
      </c>
      <c r="J331" t="s">
        <v>14</v>
      </c>
      <c r="K331" t="str">
        <f t="shared" si="5"/>
        <v>Medium</v>
      </c>
    </row>
    <row r="332" spans="1:11" ht="15" customHeight="1" x14ac:dyDescent="0.25">
      <c r="A332" t="s">
        <v>348</v>
      </c>
      <c r="B332">
        <v>63</v>
      </c>
      <c r="C332">
        <v>36</v>
      </c>
      <c r="D332" t="s">
        <v>16</v>
      </c>
      <c r="E332" s="3">
        <v>619</v>
      </c>
      <c r="F332">
        <v>5</v>
      </c>
      <c r="G332">
        <v>25</v>
      </c>
      <c r="H332">
        <v>3.7</v>
      </c>
      <c r="I332" t="s">
        <v>17</v>
      </c>
      <c r="J332" t="s">
        <v>14</v>
      </c>
      <c r="K332" t="str">
        <f t="shared" si="5"/>
        <v>Medium</v>
      </c>
    </row>
    <row r="333" spans="1:11" ht="15" customHeight="1" x14ac:dyDescent="0.25">
      <c r="A333" t="s">
        <v>349</v>
      </c>
      <c r="B333">
        <v>33</v>
      </c>
      <c r="C333">
        <v>38</v>
      </c>
      <c r="D333" t="s">
        <v>16</v>
      </c>
      <c r="E333" s="3">
        <v>516</v>
      </c>
      <c r="F333">
        <v>1</v>
      </c>
      <c r="G333">
        <v>3</v>
      </c>
      <c r="H333">
        <v>2.4</v>
      </c>
      <c r="I333" t="s">
        <v>17</v>
      </c>
      <c r="J333" t="s">
        <v>14</v>
      </c>
      <c r="K333" t="str">
        <f t="shared" si="5"/>
        <v>Medium</v>
      </c>
    </row>
    <row r="334" spans="1:11" ht="15" customHeight="1" x14ac:dyDescent="0.25">
      <c r="A334" t="s">
        <v>350</v>
      </c>
      <c r="B334">
        <v>61</v>
      </c>
      <c r="C334">
        <v>53</v>
      </c>
      <c r="D334" t="s">
        <v>12</v>
      </c>
      <c r="E334" s="3">
        <v>430</v>
      </c>
      <c r="F334">
        <v>1</v>
      </c>
      <c r="G334">
        <v>19</v>
      </c>
      <c r="H334">
        <v>2.9</v>
      </c>
      <c r="I334" t="s">
        <v>17</v>
      </c>
      <c r="J334" t="s">
        <v>14</v>
      </c>
      <c r="K334" t="str">
        <f t="shared" si="5"/>
        <v>Medium</v>
      </c>
    </row>
    <row r="335" spans="1:11" ht="15" customHeight="1" x14ac:dyDescent="0.25">
      <c r="A335" t="s">
        <v>351</v>
      </c>
      <c r="B335">
        <v>54</v>
      </c>
      <c r="C335">
        <v>47</v>
      </c>
      <c r="D335" t="s">
        <v>12</v>
      </c>
      <c r="E335" s="3">
        <v>282</v>
      </c>
      <c r="F335">
        <v>8</v>
      </c>
      <c r="G335">
        <v>24</v>
      </c>
      <c r="H335">
        <v>3</v>
      </c>
      <c r="I335" t="s">
        <v>17</v>
      </c>
      <c r="J335" t="s">
        <v>14</v>
      </c>
      <c r="K335" t="str">
        <f t="shared" si="5"/>
        <v>Medium</v>
      </c>
    </row>
    <row r="336" spans="1:11" ht="15" customHeight="1" x14ac:dyDescent="0.25">
      <c r="A336" t="s">
        <v>352</v>
      </c>
      <c r="B336">
        <v>55</v>
      </c>
      <c r="C336">
        <v>23</v>
      </c>
      <c r="D336" t="s">
        <v>26</v>
      </c>
      <c r="E336" s="3">
        <v>973</v>
      </c>
      <c r="F336">
        <v>1</v>
      </c>
      <c r="G336">
        <v>17</v>
      </c>
      <c r="H336">
        <v>1.7</v>
      </c>
      <c r="I336" t="s">
        <v>17</v>
      </c>
      <c r="J336" t="s">
        <v>22</v>
      </c>
      <c r="K336" t="str">
        <f t="shared" si="5"/>
        <v>High</v>
      </c>
    </row>
    <row r="337" spans="1:11" ht="15" customHeight="1" x14ac:dyDescent="0.25">
      <c r="A337" t="s">
        <v>353</v>
      </c>
      <c r="B337">
        <v>58</v>
      </c>
      <c r="C337">
        <v>18</v>
      </c>
      <c r="D337" t="s">
        <v>16</v>
      </c>
      <c r="E337" s="3">
        <v>598</v>
      </c>
      <c r="F337">
        <v>0</v>
      </c>
      <c r="G337">
        <v>27</v>
      </c>
      <c r="H337">
        <v>4.5</v>
      </c>
      <c r="I337" t="s">
        <v>13</v>
      </c>
      <c r="J337" t="s">
        <v>14</v>
      </c>
      <c r="K337" t="str">
        <f t="shared" si="5"/>
        <v>Low</v>
      </c>
    </row>
    <row r="338" spans="1:11" ht="15" customHeight="1" x14ac:dyDescent="0.25">
      <c r="A338" t="s">
        <v>354</v>
      </c>
      <c r="B338">
        <v>45</v>
      </c>
      <c r="C338">
        <v>32</v>
      </c>
      <c r="D338" t="s">
        <v>16</v>
      </c>
      <c r="E338" s="3">
        <v>488</v>
      </c>
      <c r="F338">
        <v>7</v>
      </c>
      <c r="G338">
        <v>26</v>
      </c>
      <c r="H338">
        <v>2.2999999999999998</v>
      </c>
      <c r="I338" t="s">
        <v>17</v>
      </c>
      <c r="J338" t="s">
        <v>14</v>
      </c>
      <c r="K338" t="str">
        <f t="shared" si="5"/>
        <v>Medium</v>
      </c>
    </row>
    <row r="339" spans="1:11" ht="15" customHeight="1" x14ac:dyDescent="0.25">
      <c r="A339" t="s">
        <v>355</v>
      </c>
      <c r="B339">
        <v>33</v>
      </c>
      <c r="C339">
        <v>12</v>
      </c>
      <c r="D339" t="s">
        <v>12</v>
      </c>
      <c r="E339" s="3">
        <v>396</v>
      </c>
      <c r="F339">
        <v>0</v>
      </c>
      <c r="G339">
        <v>30</v>
      </c>
      <c r="H339">
        <v>3.4</v>
      </c>
      <c r="I339" t="s">
        <v>13</v>
      </c>
      <c r="J339" t="s">
        <v>14</v>
      </c>
      <c r="K339" t="str">
        <f t="shared" si="5"/>
        <v>Low</v>
      </c>
    </row>
    <row r="340" spans="1:11" ht="15" customHeight="1" x14ac:dyDescent="0.25">
      <c r="A340" t="s">
        <v>356</v>
      </c>
      <c r="B340">
        <v>52</v>
      </c>
      <c r="C340">
        <v>46</v>
      </c>
      <c r="D340" t="s">
        <v>16</v>
      </c>
      <c r="E340" s="3">
        <v>605</v>
      </c>
      <c r="F340">
        <v>3</v>
      </c>
      <c r="G340">
        <v>11</v>
      </c>
      <c r="H340">
        <v>3.2</v>
      </c>
      <c r="I340" t="s">
        <v>17</v>
      </c>
      <c r="J340" t="s">
        <v>22</v>
      </c>
      <c r="K340" t="str">
        <f t="shared" si="5"/>
        <v>High</v>
      </c>
    </row>
    <row r="341" spans="1:11" ht="15" customHeight="1" x14ac:dyDescent="0.25">
      <c r="A341" t="s">
        <v>357</v>
      </c>
      <c r="B341">
        <v>35</v>
      </c>
      <c r="C341">
        <v>19</v>
      </c>
      <c r="D341" t="s">
        <v>12</v>
      </c>
      <c r="E341" s="3">
        <v>287</v>
      </c>
      <c r="F341">
        <v>4</v>
      </c>
      <c r="G341">
        <v>29</v>
      </c>
      <c r="H341">
        <v>2.4</v>
      </c>
      <c r="I341" t="s">
        <v>13</v>
      </c>
      <c r="J341" t="s">
        <v>14</v>
      </c>
      <c r="K341" t="str">
        <f t="shared" si="5"/>
        <v>Medium</v>
      </c>
    </row>
    <row r="342" spans="1:11" ht="15" customHeight="1" x14ac:dyDescent="0.25">
      <c r="A342" t="s">
        <v>358</v>
      </c>
      <c r="B342">
        <v>35</v>
      </c>
      <c r="C342">
        <v>53</v>
      </c>
      <c r="D342" t="s">
        <v>12</v>
      </c>
      <c r="E342" s="3">
        <v>279</v>
      </c>
      <c r="F342">
        <v>5</v>
      </c>
      <c r="G342">
        <v>22</v>
      </c>
      <c r="H342">
        <v>2.8</v>
      </c>
      <c r="I342" t="s">
        <v>17</v>
      </c>
      <c r="J342" t="s">
        <v>14</v>
      </c>
      <c r="K342" t="str">
        <f t="shared" si="5"/>
        <v>Medium</v>
      </c>
    </row>
    <row r="343" spans="1:11" ht="15" customHeight="1" x14ac:dyDescent="0.25">
      <c r="A343" t="s">
        <v>359</v>
      </c>
      <c r="B343">
        <v>55</v>
      </c>
      <c r="C343">
        <v>17</v>
      </c>
      <c r="D343" t="s">
        <v>16</v>
      </c>
      <c r="E343" s="3">
        <v>600</v>
      </c>
      <c r="F343">
        <v>0</v>
      </c>
      <c r="G343">
        <v>22</v>
      </c>
      <c r="H343">
        <v>3</v>
      </c>
      <c r="I343" t="s">
        <v>13</v>
      </c>
      <c r="J343" t="s">
        <v>14</v>
      </c>
      <c r="K343" t="str">
        <f t="shared" si="5"/>
        <v>Low</v>
      </c>
    </row>
    <row r="344" spans="1:11" ht="15" customHeight="1" x14ac:dyDescent="0.25">
      <c r="A344" t="s">
        <v>360</v>
      </c>
      <c r="B344">
        <v>34</v>
      </c>
      <c r="C344">
        <v>47</v>
      </c>
      <c r="D344" t="s">
        <v>26</v>
      </c>
      <c r="E344" s="3">
        <v>758</v>
      </c>
      <c r="F344">
        <v>8</v>
      </c>
      <c r="G344">
        <v>23</v>
      </c>
      <c r="H344">
        <v>5</v>
      </c>
      <c r="I344" t="s">
        <v>13</v>
      </c>
      <c r="J344" t="s">
        <v>22</v>
      </c>
      <c r="K344" t="str">
        <f t="shared" si="5"/>
        <v>High</v>
      </c>
    </row>
    <row r="345" spans="1:11" ht="15" customHeight="1" x14ac:dyDescent="0.25">
      <c r="A345" t="s">
        <v>361</v>
      </c>
      <c r="B345">
        <v>64</v>
      </c>
      <c r="C345">
        <v>25</v>
      </c>
      <c r="D345" t="s">
        <v>26</v>
      </c>
      <c r="E345" s="3">
        <v>855</v>
      </c>
      <c r="F345">
        <v>7</v>
      </c>
      <c r="G345">
        <v>9</v>
      </c>
      <c r="H345">
        <v>3.3</v>
      </c>
      <c r="I345" t="s">
        <v>17</v>
      </c>
      <c r="J345" t="s">
        <v>22</v>
      </c>
      <c r="K345" t="str">
        <f t="shared" si="5"/>
        <v>High</v>
      </c>
    </row>
    <row r="346" spans="1:11" ht="15" customHeight="1" x14ac:dyDescent="0.25">
      <c r="A346" t="s">
        <v>362</v>
      </c>
      <c r="B346">
        <v>60</v>
      </c>
      <c r="C346">
        <v>52</v>
      </c>
      <c r="D346" t="s">
        <v>26</v>
      </c>
      <c r="E346" s="3">
        <v>978</v>
      </c>
      <c r="F346">
        <v>3</v>
      </c>
      <c r="G346">
        <v>25</v>
      </c>
      <c r="H346">
        <v>3.4</v>
      </c>
      <c r="I346" t="s">
        <v>13</v>
      </c>
      <c r="J346" t="s">
        <v>14</v>
      </c>
      <c r="K346" t="str">
        <f t="shared" si="5"/>
        <v>Low</v>
      </c>
    </row>
    <row r="347" spans="1:11" ht="15" customHeight="1" x14ac:dyDescent="0.25">
      <c r="A347" t="s">
        <v>363</v>
      </c>
      <c r="B347">
        <v>31</v>
      </c>
      <c r="C347">
        <v>30</v>
      </c>
      <c r="D347" t="s">
        <v>12</v>
      </c>
      <c r="E347" s="3">
        <v>295</v>
      </c>
      <c r="F347">
        <v>7</v>
      </c>
      <c r="G347">
        <v>25</v>
      </c>
      <c r="H347">
        <v>2.6</v>
      </c>
      <c r="I347" t="s">
        <v>17</v>
      </c>
      <c r="J347" t="s">
        <v>22</v>
      </c>
      <c r="K347" t="str">
        <f t="shared" si="5"/>
        <v>High</v>
      </c>
    </row>
    <row r="348" spans="1:11" ht="15" customHeight="1" x14ac:dyDescent="0.25">
      <c r="A348" t="s">
        <v>364</v>
      </c>
      <c r="B348">
        <v>39</v>
      </c>
      <c r="C348">
        <v>11</v>
      </c>
      <c r="D348" t="s">
        <v>26</v>
      </c>
      <c r="E348" s="3">
        <v>785</v>
      </c>
      <c r="F348">
        <v>2</v>
      </c>
      <c r="G348">
        <v>4</v>
      </c>
      <c r="H348">
        <v>2.6</v>
      </c>
      <c r="I348" t="s">
        <v>17</v>
      </c>
      <c r="J348" t="s">
        <v>22</v>
      </c>
      <c r="K348" t="str">
        <f t="shared" si="5"/>
        <v>High</v>
      </c>
    </row>
    <row r="349" spans="1:11" ht="15" customHeight="1" x14ac:dyDescent="0.25">
      <c r="A349" t="s">
        <v>365</v>
      </c>
      <c r="B349">
        <v>53</v>
      </c>
      <c r="C349">
        <v>9</v>
      </c>
      <c r="D349" t="s">
        <v>16</v>
      </c>
      <c r="E349" s="3">
        <v>501</v>
      </c>
      <c r="F349">
        <v>6</v>
      </c>
      <c r="G349">
        <v>2</v>
      </c>
      <c r="H349">
        <v>3.9</v>
      </c>
      <c r="I349" t="s">
        <v>17</v>
      </c>
      <c r="J349" t="s">
        <v>22</v>
      </c>
      <c r="K349" t="str">
        <f t="shared" si="5"/>
        <v>High</v>
      </c>
    </row>
    <row r="350" spans="1:11" ht="15" customHeight="1" x14ac:dyDescent="0.25">
      <c r="A350" t="s">
        <v>366</v>
      </c>
      <c r="B350">
        <v>61</v>
      </c>
      <c r="C350">
        <v>60</v>
      </c>
      <c r="D350" t="s">
        <v>12</v>
      </c>
      <c r="E350" s="3">
        <v>313</v>
      </c>
      <c r="F350">
        <v>2</v>
      </c>
      <c r="G350">
        <v>22</v>
      </c>
      <c r="H350">
        <v>2.2000000000000002</v>
      </c>
      <c r="I350" t="s">
        <v>17</v>
      </c>
      <c r="J350" t="s">
        <v>14</v>
      </c>
      <c r="K350" t="str">
        <f t="shared" si="5"/>
        <v>Medium</v>
      </c>
    </row>
    <row r="351" spans="1:11" ht="15" customHeight="1" x14ac:dyDescent="0.25">
      <c r="A351" t="s">
        <v>367</v>
      </c>
      <c r="B351">
        <v>54</v>
      </c>
      <c r="C351">
        <v>48</v>
      </c>
      <c r="D351" t="s">
        <v>26</v>
      </c>
      <c r="E351" s="3">
        <v>853</v>
      </c>
      <c r="F351">
        <v>2</v>
      </c>
      <c r="G351">
        <v>17</v>
      </c>
      <c r="H351">
        <v>2.6</v>
      </c>
      <c r="I351" t="s">
        <v>13</v>
      </c>
      <c r="J351" t="s">
        <v>14</v>
      </c>
      <c r="K351" t="str">
        <f t="shared" si="5"/>
        <v>Medium</v>
      </c>
    </row>
    <row r="352" spans="1:11" ht="15" customHeight="1" x14ac:dyDescent="0.25">
      <c r="A352" t="s">
        <v>368</v>
      </c>
      <c r="B352">
        <v>30</v>
      </c>
      <c r="C352">
        <v>20</v>
      </c>
      <c r="D352" t="s">
        <v>12</v>
      </c>
      <c r="E352" s="3">
        <v>289</v>
      </c>
      <c r="F352">
        <v>8</v>
      </c>
      <c r="G352">
        <v>24</v>
      </c>
      <c r="H352">
        <v>3.4</v>
      </c>
      <c r="I352" t="s">
        <v>17</v>
      </c>
      <c r="J352" t="s">
        <v>22</v>
      </c>
      <c r="K352" t="str">
        <f t="shared" si="5"/>
        <v>High</v>
      </c>
    </row>
    <row r="353" spans="1:11" ht="15" customHeight="1" x14ac:dyDescent="0.25">
      <c r="A353" t="s">
        <v>369</v>
      </c>
      <c r="B353">
        <v>54</v>
      </c>
      <c r="C353">
        <v>19</v>
      </c>
      <c r="D353" t="s">
        <v>12</v>
      </c>
      <c r="E353" s="3">
        <v>356</v>
      </c>
      <c r="F353">
        <v>3</v>
      </c>
      <c r="G353">
        <v>2</v>
      </c>
      <c r="H353">
        <v>4.5999999999999996</v>
      </c>
      <c r="I353" t="s">
        <v>17</v>
      </c>
      <c r="J353" t="s">
        <v>14</v>
      </c>
      <c r="K353" t="str">
        <f t="shared" si="5"/>
        <v>Low</v>
      </c>
    </row>
    <row r="354" spans="1:11" ht="15" customHeight="1" x14ac:dyDescent="0.25">
      <c r="A354" t="s">
        <v>370</v>
      </c>
      <c r="B354">
        <v>42</v>
      </c>
      <c r="C354">
        <v>42</v>
      </c>
      <c r="D354" t="s">
        <v>12</v>
      </c>
      <c r="E354" s="3">
        <v>425</v>
      </c>
      <c r="F354">
        <v>1</v>
      </c>
      <c r="G354">
        <v>17</v>
      </c>
      <c r="H354">
        <v>3.7</v>
      </c>
      <c r="I354" t="s">
        <v>17</v>
      </c>
      <c r="J354" t="s">
        <v>14</v>
      </c>
      <c r="K354" t="str">
        <f t="shared" si="5"/>
        <v>Low</v>
      </c>
    </row>
    <row r="355" spans="1:11" ht="15" customHeight="1" x14ac:dyDescent="0.25">
      <c r="A355" t="s">
        <v>371</v>
      </c>
      <c r="B355">
        <v>42</v>
      </c>
      <c r="C355">
        <v>5</v>
      </c>
      <c r="D355" t="s">
        <v>16</v>
      </c>
      <c r="E355" s="3">
        <v>634</v>
      </c>
      <c r="F355">
        <v>0</v>
      </c>
      <c r="G355">
        <v>21</v>
      </c>
      <c r="H355">
        <v>3.9</v>
      </c>
      <c r="I355" t="s">
        <v>17</v>
      </c>
      <c r="J355" t="s">
        <v>14</v>
      </c>
      <c r="K355" t="str">
        <f t="shared" si="5"/>
        <v>Medium</v>
      </c>
    </row>
    <row r="356" spans="1:11" ht="15" customHeight="1" x14ac:dyDescent="0.25">
      <c r="A356" t="s">
        <v>372</v>
      </c>
      <c r="B356">
        <v>41</v>
      </c>
      <c r="C356">
        <v>39</v>
      </c>
      <c r="D356" t="s">
        <v>12</v>
      </c>
      <c r="E356" s="3">
        <v>358</v>
      </c>
      <c r="F356">
        <v>4</v>
      </c>
      <c r="G356">
        <v>21</v>
      </c>
      <c r="H356">
        <v>3.8</v>
      </c>
      <c r="I356" t="s">
        <v>17</v>
      </c>
      <c r="J356" t="s">
        <v>14</v>
      </c>
      <c r="K356" t="str">
        <f t="shared" si="5"/>
        <v>Low</v>
      </c>
    </row>
    <row r="357" spans="1:11" ht="15" customHeight="1" x14ac:dyDescent="0.25">
      <c r="A357" t="s">
        <v>373</v>
      </c>
      <c r="B357">
        <v>62</v>
      </c>
      <c r="C357">
        <v>24</v>
      </c>
      <c r="D357" t="s">
        <v>26</v>
      </c>
      <c r="E357" s="3">
        <v>1153</v>
      </c>
      <c r="F357">
        <v>0</v>
      </c>
      <c r="G357">
        <v>29</v>
      </c>
      <c r="H357">
        <v>2.7</v>
      </c>
      <c r="I357" t="s">
        <v>13</v>
      </c>
      <c r="J357" t="s">
        <v>22</v>
      </c>
      <c r="K357" t="str">
        <f t="shared" si="5"/>
        <v>High</v>
      </c>
    </row>
    <row r="358" spans="1:11" ht="15" customHeight="1" x14ac:dyDescent="0.25">
      <c r="A358" t="s">
        <v>374</v>
      </c>
      <c r="B358">
        <v>61</v>
      </c>
      <c r="C358">
        <v>10</v>
      </c>
      <c r="D358" t="s">
        <v>12</v>
      </c>
      <c r="E358" s="3">
        <v>349</v>
      </c>
      <c r="F358">
        <v>7</v>
      </c>
      <c r="G358">
        <v>28</v>
      </c>
      <c r="H358">
        <v>4.5999999999999996</v>
      </c>
      <c r="I358" t="s">
        <v>13</v>
      </c>
      <c r="J358" t="s">
        <v>22</v>
      </c>
      <c r="K358" t="str">
        <f t="shared" si="5"/>
        <v>High</v>
      </c>
    </row>
    <row r="359" spans="1:11" ht="15" customHeight="1" x14ac:dyDescent="0.25">
      <c r="A359" t="s">
        <v>375</v>
      </c>
      <c r="B359">
        <v>25</v>
      </c>
      <c r="C359">
        <v>21</v>
      </c>
      <c r="D359" t="s">
        <v>26</v>
      </c>
      <c r="E359" s="3">
        <v>930</v>
      </c>
      <c r="F359">
        <v>5</v>
      </c>
      <c r="G359">
        <v>17</v>
      </c>
      <c r="H359">
        <v>4</v>
      </c>
      <c r="I359" t="s">
        <v>17</v>
      </c>
      <c r="J359" t="s">
        <v>14</v>
      </c>
      <c r="K359" t="str">
        <f t="shared" si="5"/>
        <v>Medium</v>
      </c>
    </row>
    <row r="360" spans="1:11" ht="15" customHeight="1" x14ac:dyDescent="0.25">
      <c r="A360" t="s">
        <v>376</v>
      </c>
      <c r="B360">
        <v>46</v>
      </c>
      <c r="C360">
        <v>39</v>
      </c>
      <c r="D360" t="s">
        <v>16</v>
      </c>
      <c r="E360" s="3">
        <v>520</v>
      </c>
      <c r="F360">
        <v>3</v>
      </c>
      <c r="G360">
        <v>14</v>
      </c>
      <c r="H360">
        <v>2.6</v>
      </c>
      <c r="I360" t="s">
        <v>17</v>
      </c>
      <c r="J360" t="s">
        <v>14</v>
      </c>
      <c r="K360" t="str">
        <f t="shared" si="5"/>
        <v>Medium</v>
      </c>
    </row>
    <row r="361" spans="1:11" ht="15" customHeight="1" x14ac:dyDescent="0.25">
      <c r="A361" t="s">
        <v>377</v>
      </c>
      <c r="B361">
        <v>34</v>
      </c>
      <c r="C361">
        <v>25</v>
      </c>
      <c r="D361" t="s">
        <v>12</v>
      </c>
      <c r="E361" s="3">
        <v>433</v>
      </c>
      <c r="F361">
        <v>3</v>
      </c>
      <c r="G361">
        <v>24</v>
      </c>
      <c r="H361">
        <v>4</v>
      </c>
      <c r="I361" t="s">
        <v>17</v>
      </c>
      <c r="J361" t="s">
        <v>14</v>
      </c>
      <c r="K361" t="str">
        <f t="shared" si="5"/>
        <v>Low</v>
      </c>
    </row>
    <row r="362" spans="1:11" ht="15" customHeight="1" x14ac:dyDescent="0.25">
      <c r="A362" t="s">
        <v>378</v>
      </c>
      <c r="B362">
        <v>33</v>
      </c>
      <c r="C362">
        <v>55</v>
      </c>
      <c r="D362" t="s">
        <v>12</v>
      </c>
      <c r="E362" s="3">
        <v>392</v>
      </c>
      <c r="F362">
        <v>1</v>
      </c>
      <c r="G362">
        <v>3</v>
      </c>
      <c r="H362">
        <v>4.2</v>
      </c>
      <c r="I362" t="s">
        <v>13</v>
      </c>
      <c r="J362" t="s">
        <v>14</v>
      </c>
      <c r="K362" t="str">
        <f t="shared" si="5"/>
        <v>Low</v>
      </c>
    </row>
    <row r="363" spans="1:11" ht="15" customHeight="1" x14ac:dyDescent="0.25">
      <c r="A363" t="s">
        <v>379</v>
      </c>
      <c r="B363">
        <v>28</v>
      </c>
      <c r="C363">
        <v>19</v>
      </c>
      <c r="D363" t="s">
        <v>16</v>
      </c>
      <c r="E363" s="3">
        <v>665</v>
      </c>
      <c r="F363">
        <v>3</v>
      </c>
      <c r="G363">
        <v>28</v>
      </c>
      <c r="H363">
        <v>3</v>
      </c>
      <c r="I363" t="s">
        <v>17</v>
      </c>
      <c r="J363" t="s">
        <v>14</v>
      </c>
      <c r="K363" t="str">
        <f t="shared" si="5"/>
        <v>Low</v>
      </c>
    </row>
    <row r="364" spans="1:11" ht="15" customHeight="1" x14ac:dyDescent="0.25">
      <c r="A364" t="s">
        <v>380</v>
      </c>
      <c r="B364">
        <v>27</v>
      </c>
      <c r="C364">
        <v>45</v>
      </c>
      <c r="D364" t="s">
        <v>16</v>
      </c>
      <c r="E364" s="3">
        <v>463</v>
      </c>
      <c r="F364">
        <v>6</v>
      </c>
      <c r="G364">
        <v>13</v>
      </c>
      <c r="H364">
        <v>3.9</v>
      </c>
      <c r="I364" t="s">
        <v>17</v>
      </c>
      <c r="J364" t="s">
        <v>14</v>
      </c>
      <c r="K364" t="str">
        <f t="shared" si="5"/>
        <v>Medium</v>
      </c>
    </row>
    <row r="365" spans="1:11" ht="15" customHeight="1" x14ac:dyDescent="0.25">
      <c r="A365" t="s">
        <v>381</v>
      </c>
      <c r="B365">
        <v>58</v>
      </c>
      <c r="C365">
        <v>56</v>
      </c>
      <c r="D365" t="s">
        <v>12</v>
      </c>
      <c r="E365" s="3">
        <v>287</v>
      </c>
      <c r="F365">
        <v>1</v>
      </c>
      <c r="G365">
        <v>9</v>
      </c>
      <c r="H365">
        <v>3.6</v>
      </c>
      <c r="I365" t="s">
        <v>17</v>
      </c>
      <c r="J365" t="s">
        <v>14</v>
      </c>
      <c r="K365" t="str">
        <f t="shared" si="5"/>
        <v>Low</v>
      </c>
    </row>
    <row r="366" spans="1:11" ht="15" customHeight="1" x14ac:dyDescent="0.25">
      <c r="A366" t="s">
        <v>382</v>
      </c>
      <c r="B366">
        <v>46</v>
      </c>
      <c r="C366">
        <v>10</v>
      </c>
      <c r="D366" t="s">
        <v>16</v>
      </c>
      <c r="E366" s="3">
        <v>521</v>
      </c>
      <c r="F366">
        <v>8</v>
      </c>
      <c r="G366">
        <v>24</v>
      </c>
      <c r="H366">
        <v>4.5</v>
      </c>
      <c r="I366" t="s">
        <v>13</v>
      </c>
      <c r="J366" t="s">
        <v>14</v>
      </c>
      <c r="K366" t="str">
        <f t="shared" si="5"/>
        <v>Medium</v>
      </c>
    </row>
    <row r="367" spans="1:11" ht="15" customHeight="1" x14ac:dyDescent="0.25">
      <c r="A367" t="s">
        <v>383</v>
      </c>
      <c r="B367">
        <v>61</v>
      </c>
      <c r="C367">
        <v>45</v>
      </c>
      <c r="D367" t="s">
        <v>12</v>
      </c>
      <c r="E367" s="3">
        <v>278</v>
      </c>
      <c r="F367">
        <v>0</v>
      </c>
      <c r="G367">
        <v>21</v>
      </c>
      <c r="H367">
        <v>3.2</v>
      </c>
      <c r="I367" t="s">
        <v>13</v>
      </c>
      <c r="J367" t="s">
        <v>14</v>
      </c>
      <c r="K367" t="str">
        <f t="shared" si="5"/>
        <v>Low</v>
      </c>
    </row>
    <row r="368" spans="1:11" ht="15" customHeight="1" x14ac:dyDescent="0.25">
      <c r="A368" t="s">
        <v>384</v>
      </c>
      <c r="B368">
        <v>20</v>
      </c>
      <c r="C368">
        <v>26</v>
      </c>
      <c r="D368" t="s">
        <v>26</v>
      </c>
      <c r="E368" s="3">
        <v>1033</v>
      </c>
      <c r="F368">
        <v>4</v>
      </c>
      <c r="G368">
        <v>20</v>
      </c>
      <c r="H368">
        <v>2.1</v>
      </c>
      <c r="I368" t="s">
        <v>17</v>
      </c>
      <c r="J368" t="s">
        <v>22</v>
      </c>
      <c r="K368" t="str">
        <f t="shared" si="5"/>
        <v>High</v>
      </c>
    </row>
    <row r="369" spans="1:11" ht="15" customHeight="1" x14ac:dyDescent="0.25">
      <c r="A369" t="s">
        <v>385</v>
      </c>
      <c r="B369">
        <v>25</v>
      </c>
      <c r="C369">
        <v>34</v>
      </c>
      <c r="D369" t="s">
        <v>16</v>
      </c>
      <c r="E369" s="3">
        <v>558</v>
      </c>
      <c r="F369">
        <v>0</v>
      </c>
      <c r="G369">
        <v>9</v>
      </c>
      <c r="H369">
        <v>3.5</v>
      </c>
      <c r="I369" t="s">
        <v>17</v>
      </c>
      <c r="J369" t="s">
        <v>14</v>
      </c>
      <c r="K369" t="str">
        <f t="shared" si="5"/>
        <v>Low</v>
      </c>
    </row>
    <row r="370" spans="1:11" ht="15" customHeight="1" x14ac:dyDescent="0.25">
      <c r="A370" t="s">
        <v>386</v>
      </c>
      <c r="B370">
        <v>55</v>
      </c>
      <c r="C370">
        <v>39</v>
      </c>
      <c r="D370" t="s">
        <v>26</v>
      </c>
      <c r="E370" s="3">
        <v>994</v>
      </c>
      <c r="F370">
        <v>5</v>
      </c>
      <c r="G370">
        <v>22</v>
      </c>
      <c r="H370">
        <v>2.4</v>
      </c>
      <c r="I370" t="s">
        <v>17</v>
      </c>
      <c r="J370" t="s">
        <v>14</v>
      </c>
      <c r="K370" t="str">
        <f t="shared" si="5"/>
        <v>Medium</v>
      </c>
    </row>
    <row r="371" spans="1:11" ht="15" customHeight="1" x14ac:dyDescent="0.25">
      <c r="A371" t="s">
        <v>387</v>
      </c>
      <c r="B371">
        <v>61</v>
      </c>
      <c r="C371">
        <v>28</v>
      </c>
      <c r="D371" t="s">
        <v>12</v>
      </c>
      <c r="E371" s="3">
        <v>277</v>
      </c>
      <c r="F371">
        <v>5</v>
      </c>
      <c r="G371">
        <v>21</v>
      </c>
      <c r="H371">
        <v>2.2000000000000002</v>
      </c>
      <c r="I371" t="s">
        <v>13</v>
      </c>
      <c r="J371" t="s">
        <v>22</v>
      </c>
      <c r="K371" t="str">
        <f t="shared" si="5"/>
        <v>High</v>
      </c>
    </row>
    <row r="372" spans="1:11" ht="15" customHeight="1" x14ac:dyDescent="0.25">
      <c r="A372" t="s">
        <v>388</v>
      </c>
      <c r="B372">
        <v>35</v>
      </c>
      <c r="C372">
        <v>19</v>
      </c>
      <c r="D372" t="s">
        <v>12</v>
      </c>
      <c r="E372" s="3">
        <v>277</v>
      </c>
      <c r="F372">
        <v>0</v>
      </c>
      <c r="G372">
        <v>26</v>
      </c>
      <c r="H372">
        <v>4</v>
      </c>
      <c r="I372" t="s">
        <v>17</v>
      </c>
      <c r="J372" t="s">
        <v>14</v>
      </c>
      <c r="K372" t="str">
        <f t="shared" si="5"/>
        <v>Low</v>
      </c>
    </row>
    <row r="373" spans="1:11" ht="15" customHeight="1" x14ac:dyDescent="0.25">
      <c r="A373" t="s">
        <v>389</v>
      </c>
      <c r="B373">
        <v>35</v>
      </c>
      <c r="C373">
        <v>18</v>
      </c>
      <c r="D373" t="s">
        <v>12</v>
      </c>
      <c r="E373" s="3">
        <v>395</v>
      </c>
      <c r="F373">
        <v>7</v>
      </c>
      <c r="G373">
        <v>3</v>
      </c>
      <c r="H373">
        <v>3.2</v>
      </c>
      <c r="I373" t="s">
        <v>17</v>
      </c>
      <c r="J373" t="s">
        <v>22</v>
      </c>
      <c r="K373" t="str">
        <f t="shared" si="5"/>
        <v>High</v>
      </c>
    </row>
    <row r="374" spans="1:11" ht="15" customHeight="1" x14ac:dyDescent="0.25">
      <c r="A374" t="s">
        <v>390</v>
      </c>
      <c r="B374">
        <v>39</v>
      </c>
      <c r="C374">
        <v>1</v>
      </c>
      <c r="D374" t="s">
        <v>26</v>
      </c>
      <c r="E374" s="3">
        <v>953</v>
      </c>
      <c r="F374">
        <v>8</v>
      </c>
      <c r="G374">
        <v>8</v>
      </c>
      <c r="H374">
        <v>3.1</v>
      </c>
      <c r="I374" t="s">
        <v>17</v>
      </c>
      <c r="J374" t="s">
        <v>22</v>
      </c>
      <c r="K374" t="str">
        <f t="shared" si="5"/>
        <v>High</v>
      </c>
    </row>
    <row r="375" spans="1:11" ht="15" customHeight="1" x14ac:dyDescent="0.25">
      <c r="A375" t="s">
        <v>391</v>
      </c>
      <c r="B375">
        <v>63</v>
      </c>
      <c r="C375">
        <v>7</v>
      </c>
      <c r="D375" t="s">
        <v>12</v>
      </c>
      <c r="E375" s="3">
        <v>439</v>
      </c>
      <c r="F375">
        <v>8</v>
      </c>
      <c r="G375">
        <v>27</v>
      </c>
      <c r="H375">
        <v>4.3</v>
      </c>
      <c r="I375" t="s">
        <v>13</v>
      </c>
      <c r="J375" t="s">
        <v>22</v>
      </c>
      <c r="K375" t="str">
        <f t="shared" si="5"/>
        <v>High</v>
      </c>
    </row>
    <row r="376" spans="1:11" ht="15" customHeight="1" x14ac:dyDescent="0.25">
      <c r="A376" t="s">
        <v>392</v>
      </c>
      <c r="B376">
        <v>44</v>
      </c>
      <c r="C376">
        <v>31</v>
      </c>
      <c r="D376" t="s">
        <v>16</v>
      </c>
      <c r="E376" s="3">
        <v>598</v>
      </c>
      <c r="F376">
        <v>2</v>
      </c>
      <c r="G376">
        <v>23</v>
      </c>
      <c r="H376">
        <v>1.7</v>
      </c>
      <c r="I376" t="s">
        <v>17</v>
      </c>
      <c r="J376" t="s">
        <v>14</v>
      </c>
      <c r="K376" t="str">
        <f t="shared" si="5"/>
        <v>Medium</v>
      </c>
    </row>
    <row r="377" spans="1:11" ht="15" customHeight="1" x14ac:dyDescent="0.25">
      <c r="A377" t="s">
        <v>393</v>
      </c>
      <c r="B377">
        <v>33</v>
      </c>
      <c r="C377">
        <v>52</v>
      </c>
      <c r="D377" t="s">
        <v>16</v>
      </c>
      <c r="E377" s="3">
        <v>532</v>
      </c>
      <c r="F377">
        <v>8</v>
      </c>
      <c r="G377">
        <v>25</v>
      </c>
      <c r="H377">
        <v>3.9</v>
      </c>
      <c r="I377" t="s">
        <v>17</v>
      </c>
      <c r="J377" t="s">
        <v>14</v>
      </c>
      <c r="K377" t="str">
        <f t="shared" si="5"/>
        <v>Medium</v>
      </c>
    </row>
    <row r="378" spans="1:11" ht="15" customHeight="1" x14ac:dyDescent="0.25">
      <c r="A378" t="s">
        <v>394</v>
      </c>
      <c r="B378">
        <v>41</v>
      </c>
      <c r="C378">
        <v>29</v>
      </c>
      <c r="D378" t="s">
        <v>16</v>
      </c>
      <c r="E378" s="3">
        <v>598</v>
      </c>
      <c r="F378">
        <v>6</v>
      </c>
      <c r="G378">
        <v>3</v>
      </c>
      <c r="H378">
        <v>4.7</v>
      </c>
      <c r="I378" t="s">
        <v>17</v>
      </c>
      <c r="J378" t="s">
        <v>22</v>
      </c>
      <c r="K378" t="str">
        <f t="shared" si="5"/>
        <v>High</v>
      </c>
    </row>
    <row r="379" spans="1:11" ht="15" customHeight="1" x14ac:dyDescent="0.25">
      <c r="A379" t="s">
        <v>395</v>
      </c>
      <c r="B379">
        <v>59</v>
      </c>
      <c r="C379">
        <v>39</v>
      </c>
      <c r="D379" t="s">
        <v>12</v>
      </c>
      <c r="E379" s="3">
        <v>289</v>
      </c>
      <c r="F379">
        <v>7</v>
      </c>
      <c r="G379">
        <v>5</v>
      </c>
      <c r="H379">
        <v>2.5</v>
      </c>
      <c r="I379" t="s">
        <v>13</v>
      </c>
      <c r="J379" t="s">
        <v>22</v>
      </c>
      <c r="K379" t="str">
        <f t="shared" si="5"/>
        <v>High</v>
      </c>
    </row>
    <row r="380" spans="1:11" ht="15" customHeight="1" x14ac:dyDescent="0.25">
      <c r="A380" t="s">
        <v>396</v>
      </c>
      <c r="B380">
        <v>39</v>
      </c>
      <c r="C380">
        <v>36</v>
      </c>
      <c r="D380" t="s">
        <v>26</v>
      </c>
      <c r="E380" s="3">
        <v>1005</v>
      </c>
      <c r="F380">
        <v>1</v>
      </c>
      <c r="G380">
        <v>16</v>
      </c>
      <c r="H380">
        <v>2.7</v>
      </c>
      <c r="I380" t="s">
        <v>17</v>
      </c>
      <c r="J380" t="s">
        <v>22</v>
      </c>
      <c r="K380" t="str">
        <f t="shared" si="5"/>
        <v>High</v>
      </c>
    </row>
    <row r="381" spans="1:11" ht="15" customHeight="1" x14ac:dyDescent="0.25">
      <c r="A381" t="s">
        <v>397</v>
      </c>
      <c r="B381">
        <v>43</v>
      </c>
      <c r="C381">
        <v>23</v>
      </c>
      <c r="D381" t="s">
        <v>12</v>
      </c>
      <c r="E381" s="3">
        <v>295</v>
      </c>
      <c r="F381">
        <v>7</v>
      </c>
      <c r="G381">
        <v>10</v>
      </c>
      <c r="H381">
        <v>5</v>
      </c>
      <c r="I381" t="s">
        <v>13</v>
      </c>
      <c r="J381" t="s">
        <v>14</v>
      </c>
      <c r="K381" t="str">
        <f t="shared" si="5"/>
        <v>Medium</v>
      </c>
    </row>
    <row r="382" spans="1:11" ht="15" customHeight="1" x14ac:dyDescent="0.25">
      <c r="A382" t="s">
        <v>398</v>
      </c>
      <c r="B382">
        <v>28</v>
      </c>
      <c r="C382">
        <v>8</v>
      </c>
      <c r="D382" t="s">
        <v>26</v>
      </c>
      <c r="E382" s="3">
        <v>936</v>
      </c>
      <c r="F382">
        <v>4</v>
      </c>
      <c r="G382">
        <v>14</v>
      </c>
      <c r="H382">
        <v>2.4</v>
      </c>
      <c r="I382" t="s">
        <v>13</v>
      </c>
      <c r="J382" t="s">
        <v>14</v>
      </c>
      <c r="K382" t="str">
        <f t="shared" si="5"/>
        <v>Medium</v>
      </c>
    </row>
    <row r="383" spans="1:11" ht="15" customHeight="1" x14ac:dyDescent="0.25">
      <c r="A383" t="s">
        <v>399</v>
      </c>
      <c r="B383">
        <v>52</v>
      </c>
      <c r="C383">
        <v>55</v>
      </c>
      <c r="D383" t="s">
        <v>16</v>
      </c>
      <c r="E383" s="3">
        <v>641</v>
      </c>
      <c r="F383">
        <v>6</v>
      </c>
      <c r="G383">
        <v>18</v>
      </c>
      <c r="H383">
        <v>4.2</v>
      </c>
      <c r="I383" t="s">
        <v>17</v>
      </c>
      <c r="J383" t="s">
        <v>14</v>
      </c>
      <c r="K383" t="str">
        <f t="shared" si="5"/>
        <v>Medium</v>
      </c>
    </row>
    <row r="384" spans="1:11" ht="15" customHeight="1" x14ac:dyDescent="0.25">
      <c r="A384" t="s">
        <v>400</v>
      </c>
      <c r="B384">
        <v>63</v>
      </c>
      <c r="C384">
        <v>3</v>
      </c>
      <c r="D384" t="s">
        <v>16</v>
      </c>
      <c r="E384" s="3">
        <v>479</v>
      </c>
      <c r="F384">
        <v>3</v>
      </c>
      <c r="G384">
        <v>24</v>
      </c>
      <c r="H384">
        <v>3.5</v>
      </c>
      <c r="I384" t="s">
        <v>13</v>
      </c>
      <c r="J384" t="s">
        <v>14</v>
      </c>
      <c r="K384" t="str">
        <f t="shared" si="5"/>
        <v>Medium</v>
      </c>
    </row>
    <row r="385" spans="1:11" ht="15" customHeight="1" x14ac:dyDescent="0.25">
      <c r="A385" t="s">
        <v>401</v>
      </c>
      <c r="B385">
        <v>30</v>
      </c>
      <c r="C385">
        <v>37</v>
      </c>
      <c r="D385" t="s">
        <v>16</v>
      </c>
      <c r="E385" s="3">
        <v>564</v>
      </c>
      <c r="F385">
        <v>7</v>
      </c>
      <c r="G385">
        <v>23</v>
      </c>
      <c r="H385">
        <v>3.4</v>
      </c>
      <c r="I385" t="s">
        <v>17</v>
      </c>
      <c r="J385" t="s">
        <v>14</v>
      </c>
      <c r="K385" t="str">
        <f t="shared" si="5"/>
        <v>Medium</v>
      </c>
    </row>
    <row r="386" spans="1:11" ht="15" customHeight="1" x14ac:dyDescent="0.25">
      <c r="A386" t="s">
        <v>402</v>
      </c>
      <c r="B386">
        <v>61</v>
      </c>
      <c r="C386">
        <v>35</v>
      </c>
      <c r="D386" t="s">
        <v>26</v>
      </c>
      <c r="E386" s="3">
        <v>793</v>
      </c>
      <c r="F386">
        <v>2</v>
      </c>
      <c r="G386">
        <v>25</v>
      </c>
      <c r="H386">
        <v>5</v>
      </c>
      <c r="I386" t="s">
        <v>17</v>
      </c>
      <c r="J386" t="s">
        <v>14</v>
      </c>
      <c r="K386" t="str">
        <f t="shared" ref="K386:K449" si="6">IF(J386="Yes","High",IF(OR(H386&lt;3,F386&gt;=5,C386&lt;12),"Medium","Low"))</f>
        <v>Low</v>
      </c>
    </row>
    <row r="387" spans="1:11" ht="15" customHeight="1" x14ac:dyDescent="0.25">
      <c r="A387" t="s">
        <v>403</v>
      </c>
      <c r="B387">
        <v>45</v>
      </c>
      <c r="C387">
        <v>22</v>
      </c>
      <c r="D387" t="s">
        <v>12</v>
      </c>
      <c r="E387" s="3">
        <v>337</v>
      </c>
      <c r="F387">
        <v>7</v>
      </c>
      <c r="G387">
        <v>5</v>
      </c>
      <c r="H387">
        <v>4.9000000000000004</v>
      </c>
      <c r="I387" t="s">
        <v>17</v>
      </c>
      <c r="J387" t="s">
        <v>22</v>
      </c>
      <c r="K387" t="str">
        <f t="shared" si="6"/>
        <v>High</v>
      </c>
    </row>
    <row r="388" spans="1:11" ht="15" customHeight="1" x14ac:dyDescent="0.25">
      <c r="A388" t="s">
        <v>404</v>
      </c>
      <c r="B388">
        <v>29</v>
      </c>
      <c r="C388">
        <v>31</v>
      </c>
      <c r="D388" t="s">
        <v>12</v>
      </c>
      <c r="E388" s="3">
        <v>304</v>
      </c>
      <c r="F388">
        <v>0</v>
      </c>
      <c r="G388">
        <v>21</v>
      </c>
      <c r="H388">
        <v>3.5</v>
      </c>
      <c r="I388" t="s">
        <v>13</v>
      </c>
      <c r="J388" t="s">
        <v>14</v>
      </c>
      <c r="K388" t="str">
        <f t="shared" si="6"/>
        <v>Low</v>
      </c>
    </row>
    <row r="389" spans="1:11" ht="15" customHeight="1" x14ac:dyDescent="0.25">
      <c r="A389" t="s">
        <v>405</v>
      </c>
      <c r="B389">
        <v>50</v>
      </c>
      <c r="C389">
        <v>14</v>
      </c>
      <c r="D389" t="s">
        <v>12</v>
      </c>
      <c r="E389" s="3">
        <v>255</v>
      </c>
      <c r="F389">
        <v>4</v>
      </c>
      <c r="G389">
        <v>22</v>
      </c>
      <c r="H389">
        <v>3.2</v>
      </c>
      <c r="I389" t="s">
        <v>17</v>
      </c>
      <c r="J389" t="s">
        <v>22</v>
      </c>
      <c r="K389" t="str">
        <f t="shared" si="6"/>
        <v>High</v>
      </c>
    </row>
    <row r="390" spans="1:11" ht="15" customHeight="1" x14ac:dyDescent="0.25">
      <c r="A390" t="s">
        <v>406</v>
      </c>
      <c r="B390">
        <v>37</v>
      </c>
      <c r="C390">
        <v>26</v>
      </c>
      <c r="D390" t="s">
        <v>12</v>
      </c>
      <c r="E390" s="3">
        <v>432</v>
      </c>
      <c r="F390">
        <v>6</v>
      </c>
      <c r="G390">
        <v>18</v>
      </c>
      <c r="H390">
        <v>3.9</v>
      </c>
      <c r="I390" t="s">
        <v>17</v>
      </c>
      <c r="J390" t="s">
        <v>22</v>
      </c>
      <c r="K390" t="str">
        <f t="shared" si="6"/>
        <v>High</v>
      </c>
    </row>
    <row r="391" spans="1:11" ht="15" customHeight="1" x14ac:dyDescent="0.25">
      <c r="A391" t="s">
        <v>407</v>
      </c>
      <c r="B391">
        <v>47</v>
      </c>
      <c r="C391">
        <v>22</v>
      </c>
      <c r="D391" t="s">
        <v>26</v>
      </c>
      <c r="E391" s="3">
        <v>851</v>
      </c>
      <c r="F391">
        <v>5</v>
      </c>
      <c r="G391">
        <v>15</v>
      </c>
      <c r="H391">
        <v>5</v>
      </c>
      <c r="I391" t="s">
        <v>17</v>
      </c>
      <c r="J391" t="s">
        <v>14</v>
      </c>
      <c r="K391" t="str">
        <f t="shared" si="6"/>
        <v>Medium</v>
      </c>
    </row>
    <row r="392" spans="1:11" ht="15" customHeight="1" x14ac:dyDescent="0.25">
      <c r="A392" t="s">
        <v>408</v>
      </c>
      <c r="B392">
        <v>30</v>
      </c>
      <c r="C392">
        <v>45</v>
      </c>
      <c r="D392" t="s">
        <v>16</v>
      </c>
      <c r="E392" s="3">
        <v>742</v>
      </c>
      <c r="F392">
        <v>0</v>
      </c>
      <c r="G392">
        <v>19</v>
      </c>
      <c r="H392">
        <v>3.8</v>
      </c>
      <c r="I392" t="s">
        <v>17</v>
      </c>
      <c r="J392" t="s">
        <v>14</v>
      </c>
      <c r="K392" t="str">
        <f t="shared" si="6"/>
        <v>Low</v>
      </c>
    </row>
    <row r="393" spans="1:11" ht="15" customHeight="1" x14ac:dyDescent="0.25">
      <c r="A393" t="s">
        <v>409</v>
      </c>
      <c r="B393">
        <v>59</v>
      </c>
      <c r="C393">
        <v>10</v>
      </c>
      <c r="D393" t="s">
        <v>12</v>
      </c>
      <c r="E393" s="3">
        <v>437</v>
      </c>
      <c r="F393">
        <v>2</v>
      </c>
      <c r="G393">
        <v>30</v>
      </c>
      <c r="H393">
        <v>2.2999999999999998</v>
      </c>
      <c r="I393" t="s">
        <v>17</v>
      </c>
      <c r="J393" t="s">
        <v>22</v>
      </c>
      <c r="K393" t="str">
        <f t="shared" si="6"/>
        <v>High</v>
      </c>
    </row>
    <row r="394" spans="1:11" ht="15" customHeight="1" x14ac:dyDescent="0.25">
      <c r="A394" t="s">
        <v>410</v>
      </c>
      <c r="B394">
        <v>40</v>
      </c>
      <c r="C394">
        <v>8</v>
      </c>
      <c r="D394" t="s">
        <v>16</v>
      </c>
      <c r="E394" s="3">
        <v>658</v>
      </c>
      <c r="F394">
        <v>8</v>
      </c>
      <c r="G394">
        <v>25</v>
      </c>
      <c r="H394">
        <v>4.5</v>
      </c>
      <c r="I394" t="s">
        <v>13</v>
      </c>
      <c r="J394" t="s">
        <v>22</v>
      </c>
      <c r="K394" t="str">
        <f t="shared" si="6"/>
        <v>High</v>
      </c>
    </row>
    <row r="395" spans="1:11" ht="15" customHeight="1" x14ac:dyDescent="0.25">
      <c r="A395" t="s">
        <v>411</v>
      </c>
      <c r="B395">
        <v>48</v>
      </c>
      <c r="C395">
        <v>41</v>
      </c>
      <c r="D395" t="s">
        <v>26</v>
      </c>
      <c r="E395" s="3">
        <v>861</v>
      </c>
      <c r="F395">
        <v>3</v>
      </c>
      <c r="G395">
        <v>15</v>
      </c>
      <c r="H395">
        <v>3.5</v>
      </c>
      <c r="I395" t="s">
        <v>13</v>
      </c>
      <c r="J395" t="s">
        <v>14</v>
      </c>
      <c r="K395" t="str">
        <f t="shared" si="6"/>
        <v>Low</v>
      </c>
    </row>
    <row r="396" spans="1:11" ht="15" customHeight="1" x14ac:dyDescent="0.25">
      <c r="A396" t="s">
        <v>412</v>
      </c>
      <c r="B396">
        <v>58</v>
      </c>
      <c r="C396">
        <v>25</v>
      </c>
      <c r="D396" t="s">
        <v>12</v>
      </c>
      <c r="E396" s="3">
        <v>303</v>
      </c>
      <c r="F396">
        <v>0</v>
      </c>
      <c r="G396">
        <v>13</v>
      </c>
      <c r="H396">
        <v>3.6</v>
      </c>
      <c r="I396" t="s">
        <v>13</v>
      </c>
      <c r="J396" t="s">
        <v>14</v>
      </c>
      <c r="K396" t="str">
        <f t="shared" si="6"/>
        <v>Low</v>
      </c>
    </row>
    <row r="397" spans="1:11" ht="15" customHeight="1" x14ac:dyDescent="0.25">
      <c r="A397" t="s">
        <v>413</v>
      </c>
      <c r="B397">
        <v>27</v>
      </c>
      <c r="C397">
        <v>45</v>
      </c>
      <c r="D397" t="s">
        <v>16</v>
      </c>
      <c r="E397" s="3">
        <v>661</v>
      </c>
      <c r="F397">
        <v>5</v>
      </c>
      <c r="G397">
        <v>13</v>
      </c>
      <c r="H397">
        <v>3.4</v>
      </c>
      <c r="I397" t="s">
        <v>13</v>
      </c>
      <c r="J397" t="s">
        <v>14</v>
      </c>
      <c r="K397" t="str">
        <f t="shared" si="6"/>
        <v>Medium</v>
      </c>
    </row>
    <row r="398" spans="1:11" ht="15" customHeight="1" x14ac:dyDescent="0.25">
      <c r="A398" t="s">
        <v>414</v>
      </c>
      <c r="B398">
        <v>41</v>
      </c>
      <c r="C398">
        <v>8</v>
      </c>
      <c r="D398" t="s">
        <v>26</v>
      </c>
      <c r="E398" s="3">
        <v>941</v>
      </c>
      <c r="F398">
        <v>2</v>
      </c>
      <c r="G398">
        <v>19</v>
      </c>
      <c r="H398">
        <v>2.6</v>
      </c>
      <c r="I398" t="s">
        <v>17</v>
      </c>
      <c r="J398" t="s">
        <v>14</v>
      </c>
      <c r="K398" t="str">
        <f t="shared" si="6"/>
        <v>Medium</v>
      </c>
    </row>
    <row r="399" spans="1:11" ht="15" customHeight="1" x14ac:dyDescent="0.25">
      <c r="A399" t="s">
        <v>415</v>
      </c>
      <c r="B399">
        <v>64</v>
      </c>
      <c r="C399">
        <v>44</v>
      </c>
      <c r="D399" t="s">
        <v>16</v>
      </c>
      <c r="E399" s="3">
        <v>500</v>
      </c>
      <c r="F399">
        <v>1</v>
      </c>
      <c r="G399">
        <v>4</v>
      </c>
      <c r="H399">
        <v>2.9</v>
      </c>
      <c r="I399" t="s">
        <v>17</v>
      </c>
      <c r="J399" t="s">
        <v>14</v>
      </c>
      <c r="K399" t="str">
        <f t="shared" si="6"/>
        <v>Medium</v>
      </c>
    </row>
    <row r="400" spans="1:11" ht="15" customHeight="1" x14ac:dyDescent="0.25">
      <c r="A400" t="s">
        <v>416</v>
      </c>
      <c r="B400">
        <v>46</v>
      </c>
      <c r="C400">
        <v>7</v>
      </c>
      <c r="D400" t="s">
        <v>16</v>
      </c>
      <c r="E400" s="3">
        <v>728</v>
      </c>
      <c r="F400">
        <v>7</v>
      </c>
      <c r="G400">
        <v>18</v>
      </c>
      <c r="H400">
        <v>3.3</v>
      </c>
      <c r="I400" t="s">
        <v>17</v>
      </c>
      <c r="J400" t="s">
        <v>14</v>
      </c>
      <c r="K400" t="str">
        <f t="shared" si="6"/>
        <v>Medium</v>
      </c>
    </row>
    <row r="401" spans="1:11" ht="15" customHeight="1" x14ac:dyDescent="0.25">
      <c r="A401" t="s">
        <v>417</v>
      </c>
      <c r="B401">
        <v>34</v>
      </c>
      <c r="C401">
        <v>50</v>
      </c>
      <c r="D401" t="s">
        <v>16</v>
      </c>
      <c r="E401" s="3">
        <v>508</v>
      </c>
      <c r="F401">
        <v>7</v>
      </c>
      <c r="G401">
        <v>5</v>
      </c>
      <c r="H401">
        <v>3.4</v>
      </c>
      <c r="I401" t="s">
        <v>17</v>
      </c>
      <c r="J401" t="s">
        <v>14</v>
      </c>
      <c r="K401" t="str">
        <f t="shared" si="6"/>
        <v>Medium</v>
      </c>
    </row>
    <row r="402" spans="1:11" ht="15" customHeight="1" x14ac:dyDescent="0.25">
      <c r="A402" t="s">
        <v>418</v>
      </c>
      <c r="B402">
        <v>49</v>
      </c>
      <c r="C402">
        <v>27</v>
      </c>
      <c r="D402" t="s">
        <v>26</v>
      </c>
      <c r="E402" s="3">
        <v>753</v>
      </c>
      <c r="F402">
        <v>5</v>
      </c>
      <c r="G402">
        <v>27</v>
      </c>
      <c r="H402">
        <v>3.6</v>
      </c>
      <c r="I402" t="s">
        <v>13</v>
      </c>
      <c r="J402" t="s">
        <v>14</v>
      </c>
      <c r="K402" t="str">
        <f t="shared" si="6"/>
        <v>Medium</v>
      </c>
    </row>
    <row r="403" spans="1:11" ht="15" customHeight="1" x14ac:dyDescent="0.25">
      <c r="A403" t="s">
        <v>419</v>
      </c>
      <c r="B403">
        <v>46</v>
      </c>
      <c r="C403">
        <v>44</v>
      </c>
      <c r="D403" t="s">
        <v>12</v>
      </c>
      <c r="E403" s="3">
        <v>356</v>
      </c>
      <c r="F403">
        <v>0</v>
      </c>
      <c r="G403">
        <v>6</v>
      </c>
      <c r="H403">
        <v>4.2</v>
      </c>
      <c r="I403" t="s">
        <v>13</v>
      </c>
      <c r="J403" t="s">
        <v>14</v>
      </c>
      <c r="K403" t="str">
        <f t="shared" si="6"/>
        <v>Low</v>
      </c>
    </row>
    <row r="404" spans="1:11" ht="15" customHeight="1" x14ac:dyDescent="0.25">
      <c r="A404" t="s">
        <v>420</v>
      </c>
      <c r="B404">
        <v>53</v>
      </c>
      <c r="C404">
        <v>53</v>
      </c>
      <c r="D404" t="s">
        <v>16</v>
      </c>
      <c r="E404" s="3">
        <v>621</v>
      </c>
      <c r="F404">
        <v>6</v>
      </c>
      <c r="G404">
        <v>9</v>
      </c>
      <c r="H404">
        <v>2.7</v>
      </c>
      <c r="I404" t="s">
        <v>17</v>
      </c>
      <c r="J404" t="s">
        <v>22</v>
      </c>
      <c r="K404" t="str">
        <f t="shared" si="6"/>
        <v>High</v>
      </c>
    </row>
    <row r="405" spans="1:11" ht="15" customHeight="1" x14ac:dyDescent="0.25">
      <c r="A405" t="s">
        <v>421</v>
      </c>
      <c r="B405">
        <v>23</v>
      </c>
      <c r="C405">
        <v>52</v>
      </c>
      <c r="D405" t="s">
        <v>26</v>
      </c>
      <c r="E405" s="3">
        <v>1075</v>
      </c>
      <c r="F405">
        <v>6</v>
      </c>
      <c r="G405">
        <v>25</v>
      </c>
      <c r="H405">
        <v>3.2</v>
      </c>
      <c r="I405" t="s">
        <v>17</v>
      </c>
      <c r="J405" t="s">
        <v>14</v>
      </c>
      <c r="K405" t="str">
        <f t="shared" si="6"/>
        <v>Medium</v>
      </c>
    </row>
    <row r="406" spans="1:11" ht="15" customHeight="1" x14ac:dyDescent="0.25">
      <c r="A406" t="s">
        <v>422</v>
      </c>
      <c r="B406">
        <v>53</v>
      </c>
      <c r="C406">
        <v>11</v>
      </c>
      <c r="D406" t="s">
        <v>16</v>
      </c>
      <c r="E406" s="3">
        <v>514</v>
      </c>
      <c r="F406">
        <v>1</v>
      </c>
      <c r="G406">
        <v>22</v>
      </c>
      <c r="H406">
        <v>2.7</v>
      </c>
      <c r="I406" t="s">
        <v>13</v>
      </c>
      <c r="J406" t="s">
        <v>14</v>
      </c>
      <c r="K406" t="str">
        <f t="shared" si="6"/>
        <v>Medium</v>
      </c>
    </row>
    <row r="407" spans="1:11" ht="15" customHeight="1" x14ac:dyDescent="0.25">
      <c r="A407" t="s">
        <v>423</v>
      </c>
      <c r="B407">
        <v>55</v>
      </c>
      <c r="C407">
        <v>11</v>
      </c>
      <c r="D407" t="s">
        <v>26</v>
      </c>
      <c r="E407" s="3">
        <v>797</v>
      </c>
      <c r="F407">
        <v>0</v>
      </c>
      <c r="G407">
        <v>15</v>
      </c>
      <c r="H407">
        <v>3.1</v>
      </c>
      <c r="I407" t="s">
        <v>17</v>
      </c>
      <c r="J407" t="s">
        <v>14</v>
      </c>
      <c r="K407" t="str">
        <f t="shared" si="6"/>
        <v>Medium</v>
      </c>
    </row>
    <row r="408" spans="1:11" ht="15" customHeight="1" x14ac:dyDescent="0.25">
      <c r="A408" t="s">
        <v>424</v>
      </c>
      <c r="B408">
        <v>29</v>
      </c>
      <c r="C408">
        <v>2</v>
      </c>
      <c r="D408" t="s">
        <v>16</v>
      </c>
      <c r="E408" s="3">
        <v>490</v>
      </c>
      <c r="F408">
        <v>6</v>
      </c>
      <c r="G408">
        <v>2</v>
      </c>
      <c r="H408">
        <v>3.5</v>
      </c>
      <c r="I408" t="s">
        <v>17</v>
      </c>
      <c r="J408" t="s">
        <v>14</v>
      </c>
      <c r="K408" t="str">
        <f t="shared" si="6"/>
        <v>Medium</v>
      </c>
    </row>
    <row r="409" spans="1:11" ht="15" customHeight="1" x14ac:dyDescent="0.25">
      <c r="A409" t="s">
        <v>425</v>
      </c>
      <c r="B409">
        <v>42</v>
      </c>
      <c r="C409">
        <v>12</v>
      </c>
      <c r="D409" t="s">
        <v>12</v>
      </c>
      <c r="E409" s="3">
        <v>306</v>
      </c>
      <c r="F409">
        <v>8</v>
      </c>
      <c r="G409">
        <v>28</v>
      </c>
      <c r="H409">
        <v>3</v>
      </c>
      <c r="I409" t="s">
        <v>17</v>
      </c>
      <c r="J409" t="s">
        <v>14</v>
      </c>
      <c r="K409" t="str">
        <f t="shared" si="6"/>
        <v>Medium</v>
      </c>
    </row>
    <row r="410" spans="1:11" ht="15" customHeight="1" x14ac:dyDescent="0.25">
      <c r="A410" t="s">
        <v>426</v>
      </c>
      <c r="B410">
        <v>44</v>
      </c>
      <c r="C410">
        <v>50</v>
      </c>
      <c r="D410" t="s">
        <v>12</v>
      </c>
      <c r="E410" s="3">
        <v>263</v>
      </c>
      <c r="F410">
        <v>2</v>
      </c>
      <c r="G410">
        <v>22</v>
      </c>
      <c r="H410">
        <v>5</v>
      </c>
      <c r="I410" t="s">
        <v>13</v>
      </c>
      <c r="J410" t="s">
        <v>22</v>
      </c>
      <c r="K410" t="str">
        <f t="shared" si="6"/>
        <v>High</v>
      </c>
    </row>
    <row r="411" spans="1:11" ht="15" customHeight="1" x14ac:dyDescent="0.25">
      <c r="A411" t="s">
        <v>427</v>
      </c>
      <c r="B411">
        <v>58</v>
      </c>
      <c r="C411">
        <v>8</v>
      </c>
      <c r="D411" t="s">
        <v>12</v>
      </c>
      <c r="E411" s="3">
        <v>322</v>
      </c>
      <c r="F411">
        <v>1</v>
      </c>
      <c r="G411">
        <v>4</v>
      </c>
      <c r="H411">
        <v>3.9</v>
      </c>
      <c r="I411" t="s">
        <v>17</v>
      </c>
      <c r="J411" t="s">
        <v>22</v>
      </c>
      <c r="K411" t="str">
        <f t="shared" si="6"/>
        <v>High</v>
      </c>
    </row>
    <row r="412" spans="1:11" ht="15" customHeight="1" x14ac:dyDescent="0.25">
      <c r="A412" t="s">
        <v>428</v>
      </c>
      <c r="B412">
        <v>33</v>
      </c>
      <c r="C412">
        <v>26</v>
      </c>
      <c r="D412" t="s">
        <v>12</v>
      </c>
      <c r="E412" s="3">
        <v>255</v>
      </c>
      <c r="F412">
        <v>7</v>
      </c>
      <c r="G412">
        <v>22</v>
      </c>
      <c r="H412">
        <v>4.7</v>
      </c>
      <c r="I412" t="s">
        <v>17</v>
      </c>
      <c r="J412" t="s">
        <v>22</v>
      </c>
      <c r="K412" t="str">
        <f t="shared" si="6"/>
        <v>High</v>
      </c>
    </row>
    <row r="413" spans="1:11" ht="15" customHeight="1" x14ac:dyDescent="0.25">
      <c r="A413" t="s">
        <v>429</v>
      </c>
      <c r="B413">
        <v>48</v>
      </c>
      <c r="C413">
        <v>52</v>
      </c>
      <c r="D413" t="s">
        <v>12</v>
      </c>
      <c r="E413" s="3">
        <v>326</v>
      </c>
      <c r="F413">
        <v>0</v>
      </c>
      <c r="G413">
        <v>5</v>
      </c>
      <c r="H413">
        <v>4.0999999999999996</v>
      </c>
      <c r="I413" t="s">
        <v>13</v>
      </c>
      <c r="J413" t="s">
        <v>14</v>
      </c>
      <c r="K413" t="str">
        <f t="shared" si="6"/>
        <v>Low</v>
      </c>
    </row>
    <row r="414" spans="1:11" ht="15" customHeight="1" x14ac:dyDescent="0.25">
      <c r="A414" t="s">
        <v>430</v>
      </c>
      <c r="B414">
        <v>50</v>
      </c>
      <c r="C414">
        <v>40</v>
      </c>
      <c r="D414" t="s">
        <v>16</v>
      </c>
      <c r="E414" s="3">
        <v>531</v>
      </c>
      <c r="F414">
        <v>4</v>
      </c>
      <c r="G414">
        <v>5</v>
      </c>
      <c r="H414">
        <v>3.6</v>
      </c>
      <c r="I414" t="s">
        <v>17</v>
      </c>
      <c r="J414" t="s">
        <v>14</v>
      </c>
      <c r="K414" t="str">
        <f t="shared" si="6"/>
        <v>Low</v>
      </c>
    </row>
    <row r="415" spans="1:11" ht="15" customHeight="1" x14ac:dyDescent="0.25">
      <c r="A415" t="s">
        <v>431</v>
      </c>
      <c r="B415">
        <v>29</v>
      </c>
      <c r="C415">
        <v>14</v>
      </c>
      <c r="D415" t="s">
        <v>26</v>
      </c>
      <c r="E415" s="3">
        <v>765</v>
      </c>
      <c r="F415">
        <v>5</v>
      </c>
      <c r="G415">
        <v>6</v>
      </c>
      <c r="H415">
        <v>3.7</v>
      </c>
      <c r="I415" t="s">
        <v>17</v>
      </c>
      <c r="J415" t="s">
        <v>14</v>
      </c>
      <c r="K415" t="str">
        <f t="shared" si="6"/>
        <v>Medium</v>
      </c>
    </row>
    <row r="416" spans="1:11" ht="15" customHeight="1" x14ac:dyDescent="0.25">
      <c r="A416" t="s">
        <v>432</v>
      </c>
      <c r="B416">
        <v>28</v>
      </c>
      <c r="C416">
        <v>18</v>
      </c>
      <c r="D416" t="s">
        <v>12</v>
      </c>
      <c r="E416" s="3">
        <v>301</v>
      </c>
      <c r="F416">
        <v>8</v>
      </c>
      <c r="G416">
        <v>22</v>
      </c>
      <c r="H416">
        <v>3.1</v>
      </c>
      <c r="I416" t="s">
        <v>17</v>
      </c>
      <c r="J416" t="s">
        <v>14</v>
      </c>
      <c r="K416" t="str">
        <f t="shared" si="6"/>
        <v>Medium</v>
      </c>
    </row>
    <row r="417" spans="1:11" ht="15" customHeight="1" x14ac:dyDescent="0.25">
      <c r="A417" t="s">
        <v>433</v>
      </c>
      <c r="B417">
        <v>45</v>
      </c>
      <c r="C417">
        <v>60</v>
      </c>
      <c r="D417" t="s">
        <v>12</v>
      </c>
      <c r="E417" s="3">
        <v>294</v>
      </c>
      <c r="F417">
        <v>4</v>
      </c>
      <c r="G417">
        <v>14</v>
      </c>
      <c r="H417">
        <v>4.9000000000000004</v>
      </c>
      <c r="I417" t="s">
        <v>17</v>
      </c>
      <c r="J417" t="s">
        <v>14</v>
      </c>
      <c r="K417" t="str">
        <f t="shared" si="6"/>
        <v>Low</v>
      </c>
    </row>
    <row r="418" spans="1:11" ht="15" customHeight="1" x14ac:dyDescent="0.25">
      <c r="A418" t="s">
        <v>434</v>
      </c>
      <c r="B418">
        <v>57</v>
      </c>
      <c r="C418">
        <v>20</v>
      </c>
      <c r="D418" t="s">
        <v>12</v>
      </c>
      <c r="E418" s="3">
        <v>302</v>
      </c>
      <c r="F418">
        <v>7</v>
      </c>
      <c r="G418">
        <v>15</v>
      </c>
      <c r="H418">
        <v>2.9</v>
      </c>
      <c r="I418" t="s">
        <v>17</v>
      </c>
      <c r="J418" t="s">
        <v>22</v>
      </c>
      <c r="K418" t="str">
        <f t="shared" si="6"/>
        <v>High</v>
      </c>
    </row>
    <row r="419" spans="1:11" ht="15" customHeight="1" x14ac:dyDescent="0.25">
      <c r="A419" t="s">
        <v>435</v>
      </c>
      <c r="B419">
        <v>44</v>
      </c>
      <c r="C419">
        <v>28</v>
      </c>
      <c r="D419" t="s">
        <v>12</v>
      </c>
      <c r="E419" s="3">
        <v>340</v>
      </c>
      <c r="F419">
        <v>1</v>
      </c>
      <c r="G419">
        <v>16</v>
      </c>
      <c r="H419">
        <v>3.1</v>
      </c>
      <c r="I419" t="s">
        <v>17</v>
      </c>
      <c r="J419" t="s">
        <v>22</v>
      </c>
      <c r="K419" t="str">
        <f t="shared" si="6"/>
        <v>High</v>
      </c>
    </row>
    <row r="420" spans="1:11" ht="15" customHeight="1" x14ac:dyDescent="0.25">
      <c r="A420" t="s">
        <v>436</v>
      </c>
      <c r="B420">
        <v>52</v>
      </c>
      <c r="C420">
        <v>17</v>
      </c>
      <c r="D420" t="s">
        <v>16</v>
      </c>
      <c r="E420" s="3">
        <v>721</v>
      </c>
      <c r="F420">
        <v>6</v>
      </c>
      <c r="G420">
        <v>2</v>
      </c>
      <c r="H420">
        <v>4.7</v>
      </c>
      <c r="I420" t="s">
        <v>17</v>
      </c>
      <c r="J420" t="s">
        <v>22</v>
      </c>
      <c r="K420" t="str">
        <f t="shared" si="6"/>
        <v>High</v>
      </c>
    </row>
    <row r="421" spans="1:11" ht="15" customHeight="1" x14ac:dyDescent="0.25">
      <c r="A421" t="s">
        <v>437</v>
      </c>
      <c r="B421">
        <v>35</v>
      </c>
      <c r="C421">
        <v>5</v>
      </c>
      <c r="D421" t="s">
        <v>12</v>
      </c>
      <c r="E421" s="3">
        <v>345</v>
      </c>
      <c r="F421">
        <v>5</v>
      </c>
      <c r="G421">
        <v>5</v>
      </c>
      <c r="H421">
        <v>4.5999999999999996</v>
      </c>
      <c r="I421" t="s">
        <v>17</v>
      </c>
      <c r="J421" t="s">
        <v>14</v>
      </c>
      <c r="K421" t="str">
        <f t="shared" si="6"/>
        <v>Medium</v>
      </c>
    </row>
    <row r="422" spans="1:11" ht="15" customHeight="1" x14ac:dyDescent="0.25">
      <c r="A422" t="s">
        <v>438</v>
      </c>
      <c r="B422">
        <v>65</v>
      </c>
      <c r="C422">
        <v>22</v>
      </c>
      <c r="D422" t="s">
        <v>12</v>
      </c>
      <c r="E422" s="3">
        <v>395</v>
      </c>
      <c r="F422">
        <v>8</v>
      </c>
      <c r="G422">
        <v>4</v>
      </c>
      <c r="H422">
        <v>2.6</v>
      </c>
      <c r="I422" t="s">
        <v>17</v>
      </c>
      <c r="J422" t="s">
        <v>22</v>
      </c>
      <c r="K422" t="str">
        <f t="shared" si="6"/>
        <v>High</v>
      </c>
    </row>
    <row r="423" spans="1:11" ht="15" customHeight="1" x14ac:dyDescent="0.25">
      <c r="A423" t="s">
        <v>439</v>
      </c>
      <c r="B423">
        <v>37</v>
      </c>
      <c r="C423">
        <v>46</v>
      </c>
      <c r="D423" t="s">
        <v>16</v>
      </c>
      <c r="E423" s="3">
        <v>488</v>
      </c>
      <c r="F423">
        <v>6</v>
      </c>
      <c r="G423">
        <v>23</v>
      </c>
      <c r="H423">
        <v>4.3</v>
      </c>
      <c r="I423" t="s">
        <v>13</v>
      </c>
      <c r="J423" t="s">
        <v>14</v>
      </c>
      <c r="K423" t="str">
        <f t="shared" si="6"/>
        <v>Medium</v>
      </c>
    </row>
    <row r="424" spans="1:11" ht="15" customHeight="1" x14ac:dyDescent="0.25">
      <c r="A424" t="s">
        <v>440</v>
      </c>
      <c r="B424">
        <v>40</v>
      </c>
      <c r="C424">
        <v>13</v>
      </c>
      <c r="D424" t="s">
        <v>12</v>
      </c>
      <c r="E424" s="3">
        <v>376</v>
      </c>
      <c r="F424">
        <v>4</v>
      </c>
      <c r="G424">
        <v>15</v>
      </c>
      <c r="H424">
        <v>4.2</v>
      </c>
      <c r="I424" t="s">
        <v>17</v>
      </c>
      <c r="J424" t="s">
        <v>14</v>
      </c>
      <c r="K424" t="str">
        <f t="shared" si="6"/>
        <v>Low</v>
      </c>
    </row>
    <row r="425" spans="1:11" ht="15" customHeight="1" x14ac:dyDescent="0.25">
      <c r="A425" t="s">
        <v>441</v>
      </c>
      <c r="B425">
        <v>35</v>
      </c>
      <c r="C425">
        <v>37</v>
      </c>
      <c r="D425" t="s">
        <v>12</v>
      </c>
      <c r="E425" s="3">
        <v>254</v>
      </c>
      <c r="F425">
        <v>7</v>
      </c>
      <c r="G425">
        <v>11</v>
      </c>
      <c r="H425">
        <v>4.2</v>
      </c>
      <c r="I425" t="s">
        <v>17</v>
      </c>
      <c r="J425" t="s">
        <v>14</v>
      </c>
      <c r="K425" t="str">
        <f t="shared" si="6"/>
        <v>Medium</v>
      </c>
    </row>
    <row r="426" spans="1:11" ht="15" customHeight="1" x14ac:dyDescent="0.25">
      <c r="A426" t="s">
        <v>442</v>
      </c>
      <c r="B426">
        <v>22</v>
      </c>
      <c r="C426">
        <v>58</v>
      </c>
      <c r="D426" t="s">
        <v>16</v>
      </c>
      <c r="E426" s="3">
        <v>470</v>
      </c>
      <c r="F426">
        <v>0</v>
      </c>
      <c r="G426">
        <v>4</v>
      </c>
      <c r="H426">
        <v>1.8</v>
      </c>
      <c r="I426" t="s">
        <v>17</v>
      </c>
      <c r="J426" t="s">
        <v>22</v>
      </c>
      <c r="K426" t="str">
        <f t="shared" si="6"/>
        <v>High</v>
      </c>
    </row>
    <row r="427" spans="1:11" ht="15" customHeight="1" x14ac:dyDescent="0.25">
      <c r="A427" t="s">
        <v>443</v>
      </c>
      <c r="B427">
        <v>40</v>
      </c>
      <c r="C427">
        <v>49</v>
      </c>
      <c r="D427" t="s">
        <v>12</v>
      </c>
      <c r="E427" s="3">
        <v>270</v>
      </c>
      <c r="F427">
        <v>5</v>
      </c>
      <c r="G427">
        <v>17</v>
      </c>
      <c r="H427">
        <v>3.8</v>
      </c>
      <c r="I427" t="s">
        <v>17</v>
      </c>
      <c r="J427" t="s">
        <v>14</v>
      </c>
      <c r="K427" t="str">
        <f t="shared" si="6"/>
        <v>Medium</v>
      </c>
    </row>
    <row r="428" spans="1:11" ht="15" customHeight="1" x14ac:dyDescent="0.25">
      <c r="A428" t="s">
        <v>444</v>
      </c>
      <c r="B428">
        <v>64</v>
      </c>
      <c r="C428">
        <v>30</v>
      </c>
      <c r="D428" t="s">
        <v>16</v>
      </c>
      <c r="E428" s="3">
        <v>512</v>
      </c>
      <c r="F428">
        <v>5</v>
      </c>
      <c r="G428">
        <v>21</v>
      </c>
      <c r="H428">
        <v>4</v>
      </c>
      <c r="I428" t="s">
        <v>13</v>
      </c>
      <c r="J428" t="s">
        <v>22</v>
      </c>
      <c r="K428" t="str">
        <f t="shared" si="6"/>
        <v>High</v>
      </c>
    </row>
    <row r="429" spans="1:11" ht="15" customHeight="1" x14ac:dyDescent="0.25">
      <c r="A429" t="s">
        <v>445</v>
      </c>
      <c r="B429">
        <v>40</v>
      </c>
      <c r="C429">
        <v>56</v>
      </c>
      <c r="D429" t="s">
        <v>16</v>
      </c>
      <c r="E429" s="3">
        <v>565</v>
      </c>
      <c r="F429">
        <v>1</v>
      </c>
      <c r="G429">
        <v>8</v>
      </c>
      <c r="H429">
        <v>3.9</v>
      </c>
      <c r="I429" t="s">
        <v>13</v>
      </c>
      <c r="J429" t="s">
        <v>14</v>
      </c>
      <c r="K429" t="str">
        <f t="shared" si="6"/>
        <v>Low</v>
      </c>
    </row>
    <row r="430" spans="1:11" ht="15" customHeight="1" x14ac:dyDescent="0.25">
      <c r="A430" t="s">
        <v>446</v>
      </c>
      <c r="B430">
        <v>54</v>
      </c>
      <c r="C430">
        <v>1</v>
      </c>
      <c r="D430" t="s">
        <v>26</v>
      </c>
      <c r="E430" s="3">
        <v>1151</v>
      </c>
      <c r="F430">
        <v>0</v>
      </c>
      <c r="G430">
        <v>5</v>
      </c>
      <c r="H430">
        <v>4.2</v>
      </c>
      <c r="I430" t="s">
        <v>17</v>
      </c>
      <c r="J430" t="s">
        <v>14</v>
      </c>
      <c r="K430" t="str">
        <f t="shared" si="6"/>
        <v>Medium</v>
      </c>
    </row>
    <row r="431" spans="1:11" ht="15" customHeight="1" x14ac:dyDescent="0.25">
      <c r="A431" t="s">
        <v>447</v>
      </c>
      <c r="B431">
        <v>44</v>
      </c>
      <c r="C431">
        <v>18</v>
      </c>
      <c r="D431" t="s">
        <v>16</v>
      </c>
      <c r="E431" s="3">
        <v>748</v>
      </c>
      <c r="F431">
        <v>1</v>
      </c>
      <c r="G431">
        <v>6</v>
      </c>
      <c r="H431">
        <v>3.7</v>
      </c>
      <c r="I431" t="s">
        <v>17</v>
      </c>
      <c r="J431" t="s">
        <v>22</v>
      </c>
      <c r="K431" t="str">
        <f t="shared" si="6"/>
        <v>High</v>
      </c>
    </row>
    <row r="432" spans="1:11" ht="15" customHeight="1" x14ac:dyDescent="0.25">
      <c r="A432" t="s">
        <v>448</v>
      </c>
      <c r="B432">
        <v>57</v>
      </c>
      <c r="C432">
        <v>57</v>
      </c>
      <c r="D432" t="s">
        <v>26</v>
      </c>
      <c r="E432" s="3">
        <v>1092</v>
      </c>
      <c r="F432">
        <v>1</v>
      </c>
      <c r="G432">
        <v>18</v>
      </c>
      <c r="H432">
        <v>2.2999999999999998</v>
      </c>
      <c r="I432" t="s">
        <v>13</v>
      </c>
      <c r="J432" t="s">
        <v>14</v>
      </c>
      <c r="K432" t="str">
        <f t="shared" si="6"/>
        <v>Medium</v>
      </c>
    </row>
    <row r="433" spans="1:11" ht="15" customHeight="1" x14ac:dyDescent="0.25">
      <c r="A433" t="s">
        <v>449</v>
      </c>
      <c r="B433">
        <v>40</v>
      </c>
      <c r="C433">
        <v>50</v>
      </c>
      <c r="D433" t="s">
        <v>16</v>
      </c>
      <c r="E433" s="3">
        <v>497</v>
      </c>
      <c r="F433">
        <v>4</v>
      </c>
      <c r="G433">
        <v>24</v>
      </c>
      <c r="H433">
        <v>3.3</v>
      </c>
      <c r="I433" t="s">
        <v>17</v>
      </c>
      <c r="J433" t="s">
        <v>14</v>
      </c>
      <c r="K433" t="str">
        <f t="shared" si="6"/>
        <v>Low</v>
      </c>
    </row>
    <row r="434" spans="1:11" ht="15" customHeight="1" x14ac:dyDescent="0.25">
      <c r="A434" t="s">
        <v>450</v>
      </c>
      <c r="B434">
        <v>35</v>
      </c>
      <c r="C434">
        <v>43</v>
      </c>
      <c r="D434" t="s">
        <v>16</v>
      </c>
      <c r="E434" s="3">
        <v>489</v>
      </c>
      <c r="F434">
        <v>7</v>
      </c>
      <c r="G434">
        <v>3</v>
      </c>
      <c r="H434">
        <v>3.8</v>
      </c>
      <c r="I434" t="s">
        <v>17</v>
      </c>
      <c r="J434" t="s">
        <v>14</v>
      </c>
      <c r="K434" t="str">
        <f t="shared" si="6"/>
        <v>Medium</v>
      </c>
    </row>
    <row r="435" spans="1:11" ht="15" customHeight="1" x14ac:dyDescent="0.25">
      <c r="A435" t="s">
        <v>451</v>
      </c>
      <c r="B435">
        <v>51</v>
      </c>
      <c r="C435">
        <v>7</v>
      </c>
      <c r="D435" t="s">
        <v>12</v>
      </c>
      <c r="E435" s="3">
        <v>401</v>
      </c>
      <c r="F435">
        <v>5</v>
      </c>
      <c r="G435">
        <v>26</v>
      </c>
      <c r="H435">
        <v>4.8</v>
      </c>
      <c r="I435" t="s">
        <v>13</v>
      </c>
      <c r="J435" t="s">
        <v>14</v>
      </c>
      <c r="K435" t="str">
        <f t="shared" si="6"/>
        <v>Medium</v>
      </c>
    </row>
    <row r="436" spans="1:11" ht="15" customHeight="1" x14ac:dyDescent="0.25">
      <c r="A436" t="s">
        <v>452</v>
      </c>
      <c r="B436">
        <v>61</v>
      </c>
      <c r="C436">
        <v>10</v>
      </c>
      <c r="D436" t="s">
        <v>26</v>
      </c>
      <c r="E436" s="3">
        <v>862</v>
      </c>
      <c r="F436">
        <v>5</v>
      </c>
      <c r="G436">
        <v>14</v>
      </c>
      <c r="H436">
        <v>5</v>
      </c>
      <c r="I436" t="s">
        <v>17</v>
      </c>
      <c r="J436" t="s">
        <v>14</v>
      </c>
      <c r="K436" t="str">
        <f t="shared" si="6"/>
        <v>Medium</v>
      </c>
    </row>
    <row r="437" spans="1:11" ht="15" customHeight="1" x14ac:dyDescent="0.25">
      <c r="A437" t="s">
        <v>453</v>
      </c>
      <c r="B437">
        <v>32</v>
      </c>
      <c r="C437">
        <v>5</v>
      </c>
      <c r="D437" t="s">
        <v>12</v>
      </c>
      <c r="E437" s="3">
        <v>292</v>
      </c>
      <c r="F437">
        <v>1</v>
      </c>
      <c r="G437">
        <v>6</v>
      </c>
      <c r="H437">
        <v>3.2</v>
      </c>
      <c r="I437" t="s">
        <v>17</v>
      </c>
      <c r="J437" t="s">
        <v>22</v>
      </c>
      <c r="K437" t="str">
        <f t="shared" si="6"/>
        <v>High</v>
      </c>
    </row>
    <row r="438" spans="1:11" ht="15" customHeight="1" x14ac:dyDescent="0.25">
      <c r="A438" t="s">
        <v>454</v>
      </c>
      <c r="B438">
        <v>27</v>
      </c>
      <c r="C438">
        <v>16</v>
      </c>
      <c r="D438" t="s">
        <v>12</v>
      </c>
      <c r="E438" s="3">
        <v>367</v>
      </c>
      <c r="F438">
        <v>0</v>
      </c>
      <c r="G438">
        <v>17</v>
      </c>
      <c r="H438">
        <v>3</v>
      </c>
      <c r="I438" t="s">
        <v>17</v>
      </c>
      <c r="J438" t="s">
        <v>14</v>
      </c>
      <c r="K438" t="str">
        <f t="shared" si="6"/>
        <v>Low</v>
      </c>
    </row>
    <row r="439" spans="1:11" ht="15" customHeight="1" x14ac:dyDescent="0.25">
      <c r="A439" t="s">
        <v>455</v>
      </c>
      <c r="B439">
        <v>25</v>
      </c>
      <c r="C439">
        <v>23</v>
      </c>
      <c r="D439" t="s">
        <v>16</v>
      </c>
      <c r="E439" s="3">
        <v>653</v>
      </c>
      <c r="F439">
        <v>6</v>
      </c>
      <c r="G439">
        <v>18</v>
      </c>
      <c r="H439">
        <v>2.7</v>
      </c>
      <c r="I439" t="s">
        <v>17</v>
      </c>
      <c r="J439" t="s">
        <v>22</v>
      </c>
      <c r="K439" t="str">
        <f t="shared" si="6"/>
        <v>High</v>
      </c>
    </row>
    <row r="440" spans="1:11" ht="15" customHeight="1" x14ac:dyDescent="0.25">
      <c r="A440" t="s">
        <v>456</v>
      </c>
      <c r="B440">
        <v>43</v>
      </c>
      <c r="C440">
        <v>7</v>
      </c>
      <c r="D440" t="s">
        <v>12</v>
      </c>
      <c r="E440" s="3">
        <v>347</v>
      </c>
      <c r="F440">
        <v>4</v>
      </c>
      <c r="G440">
        <v>8</v>
      </c>
      <c r="H440">
        <v>2.5</v>
      </c>
      <c r="I440" t="s">
        <v>17</v>
      </c>
      <c r="J440" t="s">
        <v>14</v>
      </c>
      <c r="K440" t="str">
        <f t="shared" si="6"/>
        <v>Medium</v>
      </c>
    </row>
    <row r="441" spans="1:11" ht="15" customHeight="1" x14ac:dyDescent="0.25">
      <c r="A441" t="s">
        <v>457</v>
      </c>
      <c r="B441">
        <v>47</v>
      </c>
      <c r="C441">
        <v>7</v>
      </c>
      <c r="D441" t="s">
        <v>16</v>
      </c>
      <c r="E441" s="3">
        <v>577</v>
      </c>
      <c r="F441">
        <v>3</v>
      </c>
      <c r="G441">
        <v>5</v>
      </c>
      <c r="H441">
        <v>4.2</v>
      </c>
      <c r="I441" t="s">
        <v>17</v>
      </c>
      <c r="J441" t="s">
        <v>22</v>
      </c>
      <c r="K441" t="str">
        <f t="shared" si="6"/>
        <v>High</v>
      </c>
    </row>
    <row r="442" spans="1:11" ht="15" customHeight="1" x14ac:dyDescent="0.25">
      <c r="A442" t="s">
        <v>458</v>
      </c>
      <c r="B442">
        <v>37</v>
      </c>
      <c r="C442">
        <v>16</v>
      </c>
      <c r="D442" t="s">
        <v>12</v>
      </c>
      <c r="E442" s="3">
        <v>275</v>
      </c>
      <c r="F442">
        <v>6</v>
      </c>
      <c r="G442">
        <v>14</v>
      </c>
      <c r="H442">
        <v>3</v>
      </c>
      <c r="I442" t="s">
        <v>13</v>
      </c>
      <c r="J442" t="s">
        <v>14</v>
      </c>
      <c r="K442" t="str">
        <f t="shared" si="6"/>
        <v>Medium</v>
      </c>
    </row>
    <row r="443" spans="1:11" ht="15" customHeight="1" x14ac:dyDescent="0.25">
      <c r="A443" t="s">
        <v>459</v>
      </c>
      <c r="B443">
        <v>51</v>
      </c>
      <c r="C443">
        <v>14</v>
      </c>
      <c r="D443" t="s">
        <v>12</v>
      </c>
      <c r="E443" s="3">
        <v>302</v>
      </c>
      <c r="F443">
        <v>4</v>
      </c>
      <c r="G443">
        <v>24</v>
      </c>
      <c r="H443">
        <v>3.9</v>
      </c>
      <c r="I443" t="s">
        <v>17</v>
      </c>
      <c r="J443" t="s">
        <v>14</v>
      </c>
      <c r="K443" t="str">
        <f t="shared" si="6"/>
        <v>Low</v>
      </c>
    </row>
    <row r="444" spans="1:11" ht="15" customHeight="1" x14ac:dyDescent="0.25">
      <c r="A444" t="s">
        <v>460</v>
      </c>
      <c r="B444">
        <v>26</v>
      </c>
      <c r="C444">
        <v>12</v>
      </c>
      <c r="D444" t="s">
        <v>16</v>
      </c>
      <c r="E444" s="3">
        <v>694</v>
      </c>
      <c r="F444">
        <v>4</v>
      </c>
      <c r="G444">
        <v>29</v>
      </c>
      <c r="H444">
        <v>4.0999999999999996</v>
      </c>
      <c r="I444" t="s">
        <v>17</v>
      </c>
      <c r="J444" t="s">
        <v>22</v>
      </c>
      <c r="K444" t="str">
        <f t="shared" si="6"/>
        <v>High</v>
      </c>
    </row>
    <row r="445" spans="1:11" ht="15" customHeight="1" x14ac:dyDescent="0.25">
      <c r="A445" t="s">
        <v>461</v>
      </c>
      <c r="B445">
        <v>31</v>
      </c>
      <c r="C445">
        <v>22</v>
      </c>
      <c r="D445" t="s">
        <v>26</v>
      </c>
      <c r="E445" s="3">
        <v>1091</v>
      </c>
      <c r="F445">
        <v>7</v>
      </c>
      <c r="G445">
        <v>15</v>
      </c>
      <c r="H445">
        <v>3.1</v>
      </c>
      <c r="I445" t="s">
        <v>17</v>
      </c>
      <c r="J445" t="s">
        <v>22</v>
      </c>
      <c r="K445" t="str">
        <f t="shared" si="6"/>
        <v>High</v>
      </c>
    </row>
    <row r="446" spans="1:11" ht="15" customHeight="1" x14ac:dyDescent="0.25">
      <c r="A446" t="s">
        <v>462</v>
      </c>
      <c r="B446">
        <v>36</v>
      </c>
      <c r="C446">
        <v>57</v>
      </c>
      <c r="D446" t="s">
        <v>12</v>
      </c>
      <c r="E446" s="3">
        <v>423</v>
      </c>
      <c r="F446">
        <v>5</v>
      </c>
      <c r="G446">
        <v>17</v>
      </c>
      <c r="H446">
        <v>2.6</v>
      </c>
      <c r="I446" t="s">
        <v>17</v>
      </c>
      <c r="J446" t="s">
        <v>22</v>
      </c>
      <c r="K446" t="str">
        <f t="shared" si="6"/>
        <v>High</v>
      </c>
    </row>
    <row r="447" spans="1:11" ht="15" customHeight="1" x14ac:dyDescent="0.25">
      <c r="A447" t="s">
        <v>463</v>
      </c>
      <c r="B447">
        <v>21</v>
      </c>
      <c r="C447">
        <v>37</v>
      </c>
      <c r="D447" t="s">
        <v>16</v>
      </c>
      <c r="E447" s="3">
        <v>566</v>
      </c>
      <c r="F447">
        <v>8</v>
      </c>
      <c r="G447">
        <v>7</v>
      </c>
      <c r="H447">
        <v>3</v>
      </c>
      <c r="I447" t="s">
        <v>13</v>
      </c>
      <c r="J447" t="s">
        <v>14</v>
      </c>
      <c r="K447" t="str">
        <f t="shared" si="6"/>
        <v>Medium</v>
      </c>
    </row>
    <row r="448" spans="1:11" ht="15" customHeight="1" x14ac:dyDescent="0.25">
      <c r="A448" t="s">
        <v>464</v>
      </c>
      <c r="B448">
        <v>26</v>
      </c>
      <c r="C448">
        <v>20</v>
      </c>
      <c r="D448" t="s">
        <v>26</v>
      </c>
      <c r="E448" s="3">
        <v>1001</v>
      </c>
      <c r="F448">
        <v>5</v>
      </c>
      <c r="G448">
        <v>19</v>
      </c>
      <c r="H448">
        <v>3.5</v>
      </c>
      <c r="I448" t="s">
        <v>17</v>
      </c>
      <c r="J448" t="s">
        <v>22</v>
      </c>
      <c r="K448" t="str">
        <f t="shared" si="6"/>
        <v>High</v>
      </c>
    </row>
    <row r="449" spans="1:11" ht="15" customHeight="1" x14ac:dyDescent="0.25">
      <c r="A449" t="s">
        <v>465</v>
      </c>
      <c r="B449">
        <v>42</v>
      </c>
      <c r="C449">
        <v>20</v>
      </c>
      <c r="D449" t="s">
        <v>16</v>
      </c>
      <c r="E449" s="3">
        <v>697</v>
      </c>
      <c r="F449">
        <v>4</v>
      </c>
      <c r="G449">
        <v>23</v>
      </c>
      <c r="H449">
        <v>4.5</v>
      </c>
      <c r="I449" t="s">
        <v>17</v>
      </c>
      <c r="J449" t="s">
        <v>14</v>
      </c>
      <c r="K449" t="str">
        <f t="shared" si="6"/>
        <v>Low</v>
      </c>
    </row>
    <row r="450" spans="1:11" ht="15" customHeight="1" x14ac:dyDescent="0.25">
      <c r="A450" t="s">
        <v>466</v>
      </c>
      <c r="B450">
        <v>29</v>
      </c>
      <c r="C450">
        <v>27</v>
      </c>
      <c r="D450" t="s">
        <v>26</v>
      </c>
      <c r="E450" s="3">
        <v>932</v>
      </c>
      <c r="F450">
        <v>7</v>
      </c>
      <c r="G450">
        <v>2</v>
      </c>
      <c r="H450">
        <v>3.6</v>
      </c>
      <c r="I450" t="s">
        <v>13</v>
      </c>
      <c r="J450" t="s">
        <v>14</v>
      </c>
      <c r="K450" t="str">
        <f t="shared" ref="K450:K513" si="7">IF(J450="Yes","High",IF(OR(H450&lt;3,F450&gt;=5,C450&lt;12),"Medium","Low"))</f>
        <v>Medium</v>
      </c>
    </row>
    <row r="451" spans="1:11" ht="15" customHeight="1" x14ac:dyDescent="0.25">
      <c r="A451" t="s">
        <v>467</v>
      </c>
      <c r="B451">
        <v>25</v>
      </c>
      <c r="C451">
        <v>13</v>
      </c>
      <c r="D451" t="s">
        <v>26</v>
      </c>
      <c r="E451" s="3">
        <v>890</v>
      </c>
      <c r="F451">
        <v>8</v>
      </c>
      <c r="G451">
        <v>30</v>
      </c>
      <c r="H451">
        <v>5</v>
      </c>
      <c r="I451" t="s">
        <v>13</v>
      </c>
      <c r="J451" t="s">
        <v>14</v>
      </c>
      <c r="K451" t="str">
        <f t="shared" si="7"/>
        <v>Medium</v>
      </c>
    </row>
    <row r="452" spans="1:11" ht="15" customHeight="1" x14ac:dyDescent="0.25">
      <c r="A452" t="s">
        <v>468</v>
      </c>
      <c r="B452">
        <v>53</v>
      </c>
      <c r="C452">
        <v>12</v>
      </c>
      <c r="D452" t="s">
        <v>12</v>
      </c>
      <c r="E452" s="3">
        <v>423</v>
      </c>
      <c r="F452">
        <v>6</v>
      </c>
      <c r="G452">
        <v>20</v>
      </c>
      <c r="H452">
        <v>1</v>
      </c>
      <c r="I452" t="s">
        <v>17</v>
      </c>
      <c r="J452" t="s">
        <v>22</v>
      </c>
      <c r="K452" t="str">
        <f t="shared" si="7"/>
        <v>High</v>
      </c>
    </row>
    <row r="453" spans="1:11" ht="15" customHeight="1" x14ac:dyDescent="0.25">
      <c r="A453" t="s">
        <v>469</v>
      </c>
      <c r="B453">
        <v>53</v>
      </c>
      <c r="C453">
        <v>45</v>
      </c>
      <c r="D453" t="s">
        <v>12</v>
      </c>
      <c r="E453" s="3">
        <v>406</v>
      </c>
      <c r="F453">
        <v>7</v>
      </c>
      <c r="G453">
        <v>20</v>
      </c>
      <c r="H453">
        <v>4.9000000000000004</v>
      </c>
      <c r="I453" t="s">
        <v>13</v>
      </c>
      <c r="J453" t="s">
        <v>14</v>
      </c>
      <c r="K453" t="str">
        <f t="shared" si="7"/>
        <v>Medium</v>
      </c>
    </row>
    <row r="454" spans="1:11" ht="15" customHeight="1" x14ac:dyDescent="0.25">
      <c r="A454" t="s">
        <v>470</v>
      </c>
      <c r="B454">
        <v>38</v>
      </c>
      <c r="C454">
        <v>8</v>
      </c>
      <c r="D454" t="s">
        <v>26</v>
      </c>
      <c r="E454" s="3">
        <v>988</v>
      </c>
      <c r="F454">
        <v>2</v>
      </c>
      <c r="G454">
        <v>18</v>
      </c>
      <c r="H454">
        <v>4.7</v>
      </c>
      <c r="I454" t="s">
        <v>13</v>
      </c>
      <c r="J454" t="s">
        <v>14</v>
      </c>
      <c r="K454" t="str">
        <f t="shared" si="7"/>
        <v>Medium</v>
      </c>
    </row>
    <row r="455" spans="1:11" ht="15" customHeight="1" x14ac:dyDescent="0.25">
      <c r="A455" t="s">
        <v>471</v>
      </c>
      <c r="B455">
        <v>38</v>
      </c>
      <c r="C455">
        <v>5</v>
      </c>
      <c r="D455" t="s">
        <v>16</v>
      </c>
      <c r="E455" s="3">
        <v>682</v>
      </c>
      <c r="F455">
        <v>3</v>
      </c>
      <c r="G455">
        <v>11</v>
      </c>
      <c r="H455">
        <v>3.2</v>
      </c>
      <c r="I455" t="s">
        <v>13</v>
      </c>
      <c r="J455" t="s">
        <v>22</v>
      </c>
      <c r="K455" t="str">
        <f t="shared" si="7"/>
        <v>High</v>
      </c>
    </row>
    <row r="456" spans="1:11" ht="15" customHeight="1" x14ac:dyDescent="0.25">
      <c r="A456" t="s">
        <v>472</v>
      </c>
      <c r="B456">
        <v>51</v>
      </c>
      <c r="C456">
        <v>20</v>
      </c>
      <c r="D456" t="s">
        <v>12</v>
      </c>
      <c r="E456" s="3">
        <v>340</v>
      </c>
      <c r="F456">
        <v>4</v>
      </c>
      <c r="G456">
        <v>6</v>
      </c>
      <c r="H456">
        <v>3.1</v>
      </c>
      <c r="I456" t="s">
        <v>13</v>
      </c>
      <c r="J456" t="s">
        <v>14</v>
      </c>
      <c r="K456" t="str">
        <f t="shared" si="7"/>
        <v>Low</v>
      </c>
    </row>
    <row r="457" spans="1:11" ht="15" customHeight="1" x14ac:dyDescent="0.25">
      <c r="A457" t="s">
        <v>473</v>
      </c>
      <c r="B457">
        <v>55</v>
      </c>
      <c r="C457">
        <v>10</v>
      </c>
      <c r="D457" t="s">
        <v>26</v>
      </c>
      <c r="E457" s="3">
        <v>823</v>
      </c>
      <c r="F457">
        <v>3</v>
      </c>
      <c r="G457">
        <v>15</v>
      </c>
      <c r="H457">
        <v>4.0999999999999996</v>
      </c>
      <c r="I457" t="s">
        <v>17</v>
      </c>
      <c r="J457" t="s">
        <v>22</v>
      </c>
      <c r="K457" t="str">
        <f t="shared" si="7"/>
        <v>High</v>
      </c>
    </row>
    <row r="458" spans="1:11" ht="15" customHeight="1" x14ac:dyDescent="0.25">
      <c r="A458" t="s">
        <v>474</v>
      </c>
      <c r="B458">
        <v>34</v>
      </c>
      <c r="C458">
        <v>3</v>
      </c>
      <c r="D458" t="s">
        <v>16</v>
      </c>
      <c r="E458" s="3">
        <v>577</v>
      </c>
      <c r="F458">
        <v>6</v>
      </c>
      <c r="G458">
        <v>15</v>
      </c>
      <c r="H458">
        <v>1.9</v>
      </c>
      <c r="I458" t="s">
        <v>13</v>
      </c>
      <c r="J458" t="s">
        <v>14</v>
      </c>
      <c r="K458" t="str">
        <f t="shared" si="7"/>
        <v>Medium</v>
      </c>
    </row>
    <row r="459" spans="1:11" ht="15" customHeight="1" x14ac:dyDescent="0.25">
      <c r="A459" t="s">
        <v>475</v>
      </c>
      <c r="B459">
        <v>58</v>
      </c>
      <c r="C459">
        <v>20</v>
      </c>
      <c r="D459" t="s">
        <v>12</v>
      </c>
      <c r="E459" s="3">
        <v>361</v>
      </c>
      <c r="F459">
        <v>2</v>
      </c>
      <c r="G459">
        <v>23</v>
      </c>
      <c r="H459">
        <v>4.7</v>
      </c>
      <c r="I459" t="s">
        <v>13</v>
      </c>
      <c r="J459" t="s">
        <v>14</v>
      </c>
      <c r="K459" t="str">
        <f t="shared" si="7"/>
        <v>Low</v>
      </c>
    </row>
    <row r="460" spans="1:11" ht="15" customHeight="1" x14ac:dyDescent="0.25">
      <c r="A460" t="s">
        <v>476</v>
      </c>
      <c r="B460">
        <v>46</v>
      </c>
      <c r="C460">
        <v>36</v>
      </c>
      <c r="D460" t="s">
        <v>12</v>
      </c>
      <c r="E460" s="3">
        <v>328</v>
      </c>
      <c r="F460">
        <v>7</v>
      </c>
      <c r="G460">
        <v>19</v>
      </c>
      <c r="H460">
        <v>4.0999999999999996</v>
      </c>
      <c r="I460" t="s">
        <v>13</v>
      </c>
      <c r="J460" t="s">
        <v>22</v>
      </c>
      <c r="K460" t="str">
        <f t="shared" si="7"/>
        <v>High</v>
      </c>
    </row>
    <row r="461" spans="1:11" ht="15" customHeight="1" x14ac:dyDescent="0.25">
      <c r="A461" t="s">
        <v>477</v>
      </c>
      <c r="B461">
        <v>53</v>
      </c>
      <c r="C461">
        <v>29</v>
      </c>
      <c r="D461" t="s">
        <v>16</v>
      </c>
      <c r="E461" s="3">
        <v>633</v>
      </c>
      <c r="F461">
        <v>5</v>
      </c>
      <c r="G461">
        <v>15</v>
      </c>
      <c r="H461">
        <v>4.9000000000000004</v>
      </c>
      <c r="I461" t="s">
        <v>17</v>
      </c>
      <c r="J461" t="s">
        <v>14</v>
      </c>
      <c r="K461" t="str">
        <f t="shared" si="7"/>
        <v>Medium</v>
      </c>
    </row>
    <row r="462" spans="1:11" ht="15" customHeight="1" x14ac:dyDescent="0.25">
      <c r="A462" t="s">
        <v>478</v>
      </c>
      <c r="B462">
        <v>49</v>
      </c>
      <c r="C462">
        <v>2</v>
      </c>
      <c r="D462" t="s">
        <v>26</v>
      </c>
      <c r="E462" s="3">
        <v>795</v>
      </c>
      <c r="F462">
        <v>2</v>
      </c>
      <c r="G462">
        <v>21</v>
      </c>
      <c r="H462">
        <v>4.8</v>
      </c>
      <c r="I462" t="s">
        <v>17</v>
      </c>
      <c r="J462" t="s">
        <v>14</v>
      </c>
      <c r="K462" t="str">
        <f t="shared" si="7"/>
        <v>Medium</v>
      </c>
    </row>
    <row r="463" spans="1:11" ht="15" customHeight="1" x14ac:dyDescent="0.25">
      <c r="A463" t="s">
        <v>479</v>
      </c>
      <c r="B463">
        <v>59</v>
      </c>
      <c r="C463">
        <v>35</v>
      </c>
      <c r="D463" t="s">
        <v>26</v>
      </c>
      <c r="E463" s="3">
        <v>1136</v>
      </c>
      <c r="F463">
        <v>6</v>
      </c>
      <c r="G463">
        <v>6</v>
      </c>
      <c r="H463">
        <v>2.6</v>
      </c>
      <c r="I463" t="s">
        <v>17</v>
      </c>
      <c r="J463" t="s">
        <v>22</v>
      </c>
      <c r="K463" t="str">
        <f t="shared" si="7"/>
        <v>High</v>
      </c>
    </row>
    <row r="464" spans="1:11" ht="15" customHeight="1" x14ac:dyDescent="0.25">
      <c r="A464" t="s">
        <v>480</v>
      </c>
      <c r="B464">
        <v>53</v>
      </c>
      <c r="C464">
        <v>30</v>
      </c>
      <c r="D464" t="s">
        <v>26</v>
      </c>
      <c r="E464" s="3">
        <v>888</v>
      </c>
      <c r="F464">
        <v>1</v>
      </c>
      <c r="G464">
        <v>12</v>
      </c>
      <c r="H464">
        <v>2.1</v>
      </c>
      <c r="I464" t="s">
        <v>17</v>
      </c>
      <c r="J464" t="s">
        <v>14</v>
      </c>
      <c r="K464" t="str">
        <f t="shared" si="7"/>
        <v>Medium</v>
      </c>
    </row>
    <row r="465" spans="1:11" ht="15" customHeight="1" x14ac:dyDescent="0.25">
      <c r="A465" t="s">
        <v>481</v>
      </c>
      <c r="B465">
        <v>23</v>
      </c>
      <c r="C465">
        <v>8</v>
      </c>
      <c r="D465" t="s">
        <v>16</v>
      </c>
      <c r="E465" s="3">
        <v>711</v>
      </c>
      <c r="F465">
        <v>0</v>
      </c>
      <c r="G465">
        <v>24</v>
      </c>
      <c r="H465">
        <v>2.6</v>
      </c>
      <c r="I465" t="s">
        <v>17</v>
      </c>
      <c r="J465" t="s">
        <v>22</v>
      </c>
      <c r="K465" t="str">
        <f t="shared" si="7"/>
        <v>High</v>
      </c>
    </row>
    <row r="466" spans="1:11" ht="15" customHeight="1" x14ac:dyDescent="0.25">
      <c r="A466" t="s">
        <v>482</v>
      </c>
      <c r="B466">
        <v>51</v>
      </c>
      <c r="C466">
        <v>9</v>
      </c>
      <c r="D466" t="s">
        <v>12</v>
      </c>
      <c r="E466" s="3">
        <v>422</v>
      </c>
      <c r="F466">
        <v>4</v>
      </c>
      <c r="G466">
        <v>25</v>
      </c>
      <c r="H466">
        <v>3.6</v>
      </c>
      <c r="I466" t="s">
        <v>17</v>
      </c>
      <c r="J466" t="s">
        <v>14</v>
      </c>
      <c r="K466" t="str">
        <f t="shared" si="7"/>
        <v>Medium</v>
      </c>
    </row>
    <row r="467" spans="1:11" ht="15" customHeight="1" x14ac:dyDescent="0.25">
      <c r="A467" t="s">
        <v>483</v>
      </c>
      <c r="B467">
        <v>27</v>
      </c>
      <c r="C467">
        <v>5</v>
      </c>
      <c r="D467" t="s">
        <v>12</v>
      </c>
      <c r="E467" s="3">
        <v>404</v>
      </c>
      <c r="F467">
        <v>1</v>
      </c>
      <c r="G467">
        <v>9</v>
      </c>
      <c r="H467">
        <v>3.5</v>
      </c>
      <c r="I467" t="s">
        <v>17</v>
      </c>
      <c r="J467" t="s">
        <v>14</v>
      </c>
      <c r="K467" t="str">
        <f t="shared" si="7"/>
        <v>Medium</v>
      </c>
    </row>
    <row r="468" spans="1:11" ht="15" customHeight="1" x14ac:dyDescent="0.25">
      <c r="A468" t="s">
        <v>484</v>
      </c>
      <c r="B468">
        <v>52</v>
      </c>
      <c r="C468">
        <v>29</v>
      </c>
      <c r="D468" t="s">
        <v>16</v>
      </c>
      <c r="E468" s="3">
        <v>603</v>
      </c>
      <c r="F468">
        <v>7</v>
      </c>
      <c r="G468">
        <v>7</v>
      </c>
      <c r="H468">
        <v>4.2</v>
      </c>
      <c r="I468" t="s">
        <v>17</v>
      </c>
      <c r="J468" t="s">
        <v>14</v>
      </c>
      <c r="K468" t="str">
        <f t="shared" si="7"/>
        <v>Medium</v>
      </c>
    </row>
    <row r="469" spans="1:11" ht="15" customHeight="1" x14ac:dyDescent="0.25">
      <c r="A469" t="s">
        <v>485</v>
      </c>
      <c r="B469">
        <v>63</v>
      </c>
      <c r="C469">
        <v>29</v>
      </c>
      <c r="D469" t="s">
        <v>26</v>
      </c>
      <c r="E469" s="3">
        <v>971</v>
      </c>
      <c r="F469">
        <v>2</v>
      </c>
      <c r="G469">
        <v>22</v>
      </c>
      <c r="H469">
        <v>1.9</v>
      </c>
      <c r="I469" t="s">
        <v>17</v>
      </c>
      <c r="J469" t="s">
        <v>22</v>
      </c>
      <c r="K469" t="str">
        <f t="shared" si="7"/>
        <v>High</v>
      </c>
    </row>
    <row r="470" spans="1:11" ht="15" customHeight="1" x14ac:dyDescent="0.25">
      <c r="A470" t="s">
        <v>486</v>
      </c>
      <c r="B470">
        <v>62</v>
      </c>
      <c r="C470">
        <v>16</v>
      </c>
      <c r="D470" t="s">
        <v>12</v>
      </c>
      <c r="E470" s="3">
        <v>439</v>
      </c>
      <c r="F470">
        <v>7</v>
      </c>
      <c r="G470">
        <v>17</v>
      </c>
      <c r="H470">
        <v>3.2</v>
      </c>
      <c r="I470" t="s">
        <v>13</v>
      </c>
      <c r="J470" t="s">
        <v>14</v>
      </c>
      <c r="K470" t="str">
        <f t="shared" si="7"/>
        <v>Medium</v>
      </c>
    </row>
    <row r="471" spans="1:11" ht="15" customHeight="1" x14ac:dyDescent="0.25">
      <c r="A471" t="s">
        <v>487</v>
      </c>
      <c r="B471">
        <v>62</v>
      </c>
      <c r="C471">
        <v>18</v>
      </c>
      <c r="D471" t="s">
        <v>16</v>
      </c>
      <c r="E471" s="3">
        <v>504</v>
      </c>
      <c r="F471">
        <v>6</v>
      </c>
      <c r="G471">
        <v>28</v>
      </c>
      <c r="H471">
        <v>4.8</v>
      </c>
      <c r="I471" t="s">
        <v>17</v>
      </c>
      <c r="J471" t="s">
        <v>22</v>
      </c>
      <c r="K471" t="str">
        <f t="shared" si="7"/>
        <v>High</v>
      </c>
    </row>
    <row r="472" spans="1:11" ht="15" customHeight="1" x14ac:dyDescent="0.25">
      <c r="A472" t="s">
        <v>488</v>
      </c>
      <c r="B472">
        <v>49</v>
      </c>
      <c r="C472">
        <v>8</v>
      </c>
      <c r="D472" t="s">
        <v>16</v>
      </c>
      <c r="E472" s="3">
        <v>747</v>
      </c>
      <c r="F472">
        <v>0</v>
      </c>
      <c r="G472">
        <v>22</v>
      </c>
      <c r="H472">
        <v>2.7</v>
      </c>
      <c r="I472" t="s">
        <v>17</v>
      </c>
      <c r="J472" t="s">
        <v>14</v>
      </c>
      <c r="K472" t="str">
        <f t="shared" si="7"/>
        <v>Medium</v>
      </c>
    </row>
    <row r="473" spans="1:11" ht="15" customHeight="1" x14ac:dyDescent="0.25">
      <c r="A473" t="s">
        <v>489</v>
      </c>
      <c r="B473">
        <v>42</v>
      </c>
      <c r="C473">
        <v>9</v>
      </c>
      <c r="D473" t="s">
        <v>16</v>
      </c>
      <c r="E473" s="3">
        <v>684</v>
      </c>
      <c r="F473">
        <v>0</v>
      </c>
      <c r="G473">
        <v>7</v>
      </c>
      <c r="H473">
        <v>2.4</v>
      </c>
      <c r="I473" t="s">
        <v>17</v>
      </c>
      <c r="J473" t="s">
        <v>14</v>
      </c>
      <c r="K473" t="str">
        <f t="shared" si="7"/>
        <v>Medium</v>
      </c>
    </row>
    <row r="474" spans="1:11" ht="15" customHeight="1" x14ac:dyDescent="0.25">
      <c r="A474" t="s">
        <v>490</v>
      </c>
      <c r="B474">
        <v>52</v>
      </c>
      <c r="C474">
        <v>14</v>
      </c>
      <c r="D474" t="s">
        <v>12</v>
      </c>
      <c r="E474" s="3">
        <v>430</v>
      </c>
      <c r="F474">
        <v>8</v>
      </c>
      <c r="G474">
        <v>4</v>
      </c>
      <c r="H474">
        <v>3.7</v>
      </c>
      <c r="I474" t="s">
        <v>13</v>
      </c>
      <c r="J474" t="s">
        <v>14</v>
      </c>
      <c r="K474" t="str">
        <f t="shared" si="7"/>
        <v>Medium</v>
      </c>
    </row>
    <row r="475" spans="1:11" ht="15" customHeight="1" x14ac:dyDescent="0.25">
      <c r="A475" t="s">
        <v>491</v>
      </c>
      <c r="B475">
        <v>49</v>
      </c>
      <c r="C475">
        <v>46</v>
      </c>
      <c r="D475" t="s">
        <v>26</v>
      </c>
      <c r="E475" s="3">
        <v>1151</v>
      </c>
      <c r="F475">
        <v>4</v>
      </c>
      <c r="G475">
        <v>14</v>
      </c>
      <c r="H475">
        <v>4</v>
      </c>
      <c r="I475" t="s">
        <v>17</v>
      </c>
      <c r="J475" t="s">
        <v>14</v>
      </c>
      <c r="K475" t="str">
        <f t="shared" si="7"/>
        <v>Low</v>
      </c>
    </row>
    <row r="476" spans="1:11" ht="15" customHeight="1" x14ac:dyDescent="0.25">
      <c r="A476" t="s">
        <v>492</v>
      </c>
      <c r="B476">
        <v>50</v>
      </c>
      <c r="C476">
        <v>25</v>
      </c>
      <c r="D476" t="s">
        <v>26</v>
      </c>
      <c r="E476" s="3">
        <v>1044</v>
      </c>
      <c r="F476">
        <v>8</v>
      </c>
      <c r="G476">
        <v>26</v>
      </c>
      <c r="H476">
        <v>3.1</v>
      </c>
      <c r="I476" t="s">
        <v>13</v>
      </c>
      <c r="J476" t="s">
        <v>14</v>
      </c>
      <c r="K476" t="str">
        <f t="shared" si="7"/>
        <v>Medium</v>
      </c>
    </row>
    <row r="477" spans="1:11" ht="15" customHeight="1" x14ac:dyDescent="0.25">
      <c r="A477" t="s">
        <v>493</v>
      </c>
      <c r="B477">
        <v>57</v>
      </c>
      <c r="C477">
        <v>23</v>
      </c>
      <c r="D477" t="s">
        <v>16</v>
      </c>
      <c r="E477" s="3">
        <v>484</v>
      </c>
      <c r="F477">
        <v>0</v>
      </c>
      <c r="G477">
        <v>29</v>
      </c>
      <c r="H477">
        <v>2.9</v>
      </c>
      <c r="I477" t="s">
        <v>13</v>
      </c>
      <c r="J477" t="s">
        <v>14</v>
      </c>
      <c r="K477" t="str">
        <f t="shared" si="7"/>
        <v>Medium</v>
      </c>
    </row>
    <row r="478" spans="1:11" ht="15" customHeight="1" x14ac:dyDescent="0.25">
      <c r="A478" t="s">
        <v>494</v>
      </c>
      <c r="B478">
        <v>62</v>
      </c>
      <c r="C478">
        <v>7</v>
      </c>
      <c r="D478" t="s">
        <v>16</v>
      </c>
      <c r="E478" s="3">
        <v>693</v>
      </c>
      <c r="F478">
        <v>3</v>
      </c>
      <c r="G478">
        <v>26</v>
      </c>
      <c r="H478">
        <v>4</v>
      </c>
      <c r="I478" t="s">
        <v>17</v>
      </c>
      <c r="J478" t="s">
        <v>14</v>
      </c>
      <c r="K478" t="str">
        <f t="shared" si="7"/>
        <v>Medium</v>
      </c>
    </row>
    <row r="479" spans="1:11" ht="15" customHeight="1" x14ac:dyDescent="0.25">
      <c r="A479" t="s">
        <v>495</v>
      </c>
      <c r="B479">
        <v>31</v>
      </c>
      <c r="C479">
        <v>47</v>
      </c>
      <c r="D479" t="s">
        <v>26</v>
      </c>
      <c r="E479" s="3">
        <v>782</v>
      </c>
      <c r="F479">
        <v>0</v>
      </c>
      <c r="G479">
        <v>21</v>
      </c>
      <c r="H479">
        <v>2.1</v>
      </c>
      <c r="I479" t="s">
        <v>17</v>
      </c>
      <c r="J479" t="s">
        <v>22</v>
      </c>
      <c r="K479" t="str">
        <f t="shared" si="7"/>
        <v>High</v>
      </c>
    </row>
    <row r="480" spans="1:11" ht="15" customHeight="1" x14ac:dyDescent="0.25">
      <c r="A480" t="s">
        <v>496</v>
      </c>
      <c r="B480">
        <v>24</v>
      </c>
      <c r="C480">
        <v>29</v>
      </c>
      <c r="D480" t="s">
        <v>16</v>
      </c>
      <c r="E480" s="3">
        <v>465</v>
      </c>
      <c r="F480">
        <v>5</v>
      </c>
      <c r="G480">
        <v>5</v>
      </c>
      <c r="H480">
        <v>3.2</v>
      </c>
      <c r="I480" t="s">
        <v>13</v>
      </c>
      <c r="J480" t="s">
        <v>14</v>
      </c>
      <c r="K480" t="str">
        <f t="shared" si="7"/>
        <v>Medium</v>
      </c>
    </row>
    <row r="481" spans="1:11" ht="15" customHeight="1" x14ac:dyDescent="0.25">
      <c r="A481" t="s">
        <v>497</v>
      </c>
      <c r="B481">
        <v>32</v>
      </c>
      <c r="C481">
        <v>13</v>
      </c>
      <c r="D481" t="s">
        <v>12</v>
      </c>
      <c r="E481" s="3">
        <v>362</v>
      </c>
      <c r="F481">
        <v>3</v>
      </c>
      <c r="G481">
        <v>25</v>
      </c>
      <c r="H481">
        <v>2.7</v>
      </c>
      <c r="I481" t="s">
        <v>17</v>
      </c>
      <c r="J481" t="s">
        <v>14</v>
      </c>
      <c r="K481" t="str">
        <f t="shared" si="7"/>
        <v>Medium</v>
      </c>
    </row>
    <row r="482" spans="1:11" ht="15" customHeight="1" x14ac:dyDescent="0.25">
      <c r="A482" t="s">
        <v>498</v>
      </c>
      <c r="B482">
        <v>32</v>
      </c>
      <c r="C482">
        <v>6</v>
      </c>
      <c r="D482" t="s">
        <v>16</v>
      </c>
      <c r="E482" s="3">
        <v>499</v>
      </c>
      <c r="F482">
        <v>0</v>
      </c>
      <c r="G482">
        <v>27</v>
      </c>
      <c r="H482">
        <v>3.6</v>
      </c>
      <c r="I482" t="s">
        <v>13</v>
      </c>
      <c r="J482" t="s">
        <v>14</v>
      </c>
      <c r="K482" t="str">
        <f t="shared" si="7"/>
        <v>Medium</v>
      </c>
    </row>
    <row r="483" spans="1:11" ht="15" customHeight="1" x14ac:dyDescent="0.25">
      <c r="A483" t="s">
        <v>499</v>
      </c>
      <c r="B483">
        <v>24</v>
      </c>
      <c r="C483">
        <v>22</v>
      </c>
      <c r="D483" t="s">
        <v>12</v>
      </c>
      <c r="E483" s="3">
        <v>436</v>
      </c>
      <c r="F483">
        <v>3</v>
      </c>
      <c r="G483">
        <v>28</v>
      </c>
      <c r="H483">
        <v>3.6</v>
      </c>
      <c r="I483" t="s">
        <v>17</v>
      </c>
      <c r="J483" t="s">
        <v>14</v>
      </c>
      <c r="K483" t="str">
        <f t="shared" si="7"/>
        <v>Low</v>
      </c>
    </row>
    <row r="484" spans="1:11" ht="15" customHeight="1" x14ac:dyDescent="0.25">
      <c r="A484" t="s">
        <v>500</v>
      </c>
      <c r="B484">
        <v>52</v>
      </c>
      <c r="C484">
        <v>23</v>
      </c>
      <c r="D484" t="s">
        <v>16</v>
      </c>
      <c r="E484" s="3">
        <v>520</v>
      </c>
      <c r="F484">
        <v>1</v>
      </c>
      <c r="G484">
        <v>16</v>
      </c>
      <c r="H484">
        <v>2.7</v>
      </c>
      <c r="I484" t="s">
        <v>17</v>
      </c>
      <c r="J484" t="s">
        <v>22</v>
      </c>
      <c r="K484" t="str">
        <f t="shared" si="7"/>
        <v>High</v>
      </c>
    </row>
    <row r="485" spans="1:11" ht="15" customHeight="1" x14ac:dyDescent="0.25">
      <c r="A485" t="s">
        <v>501</v>
      </c>
      <c r="B485">
        <v>53</v>
      </c>
      <c r="C485">
        <v>20</v>
      </c>
      <c r="D485" t="s">
        <v>12</v>
      </c>
      <c r="E485" s="3">
        <v>377</v>
      </c>
      <c r="F485">
        <v>8</v>
      </c>
      <c r="G485">
        <v>12</v>
      </c>
      <c r="H485">
        <v>3.9</v>
      </c>
      <c r="I485" t="s">
        <v>17</v>
      </c>
      <c r="J485" t="s">
        <v>14</v>
      </c>
      <c r="K485" t="str">
        <f t="shared" si="7"/>
        <v>Medium</v>
      </c>
    </row>
    <row r="486" spans="1:11" ht="15" customHeight="1" x14ac:dyDescent="0.25">
      <c r="A486" t="s">
        <v>502</v>
      </c>
      <c r="B486">
        <v>38</v>
      </c>
      <c r="C486">
        <v>60</v>
      </c>
      <c r="D486" t="s">
        <v>26</v>
      </c>
      <c r="E486" s="3">
        <v>784</v>
      </c>
      <c r="F486">
        <v>2</v>
      </c>
      <c r="G486">
        <v>11</v>
      </c>
      <c r="H486">
        <v>4.5999999999999996</v>
      </c>
      <c r="I486" t="s">
        <v>13</v>
      </c>
      <c r="J486" t="s">
        <v>14</v>
      </c>
      <c r="K486" t="str">
        <f t="shared" si="7"/>
        <v>Low</v>
      </c>
    </row>
    <row r="487" spans="1:11" ht="15" customHeight="1" x14ac:dyDescent="0.25">
      <c r="A487" t="s">
        <v>503</v>
      </c>
      <c r="B487">
        <v>52</v>
      </c>
      <c r="C487">
        <v>20</v>
      </c>
      <c r="D487" t="s">
        <v>16</v>
      </c>
      <c r="E487" s="3">
        <v>729</v>
      </c>
      <c r="F487">
        <v>1</v>
      </c>
      <c r="G487">
        <v>20</v>
      </c>
      <c r="H487">
        <v>4</v>
      </c>
      <c r="I487" t="s">
        <v>17</v>
      </c>
      <c r="J487" t="s">
        <v>14</v>
      </c>
      <c r="K487" t="str">
        <f t="shared" si="7"/>
        <v>Low</v>
      </c>
    </row>
    <row r="488" spans="1:11" ht="15" customHeight="1" x14ac:dyDescent="0.25">
      <c r="A488" t="s">
        <v>504</v>
      </c>
      <c r="B488">
        <v>36</v>
      </c>
      <c r="C488">
        <v>42</v>
      </c>
      <c r="D488" t="s">
        <v>12</v>
      </c>
      <c r="E488" s="3">
        <v>336</v>
      </c>
      <c r="F488">
        <v>3</v>
      </c>
      <c r="G488">
        <v>12</v>
      </c>
      <c r="H488">
        <v>3.7</v>
      </c>
      <c r="I488" t="s">
        <v>17</v>
      </c>
      <c r="J488" t="s">
        <v>14</v>
      </c>
      <c r="K488" t="str">
        <f t="shared" si="7"/>
        <v>Low</v>
      </c>
    </row>
    <row r="489" spans="1:11" ht="15" customHeight="1" x14ac:dyDescent="0.25">
      <c r="A489" t="s">
        <v>505</v>
      </c>
      <c r="B489">
        <v>41</v>
      </c>
      <c r="C489">
        <v>60</v>
      </c>
      <c r="D489" t="s">
        <v>16</v>
      </c>
      <c r="E489" s="3">
        <v>570</v>
      </c>
      <c r="F489">
        <v>1</v>
      </c>
      <c r="G489">
        <v>27</v>
      </c>
      <c r="H489">
        <v>3.3</v>
      </c>
      <c r="I489" t="s">
        <v>13</v>
      </c>
      <c r="J489" t="s">
        <v>14</v>
      </c>
      <c r="K489" t="str">
        <f t="shared" si="7"/>
        <v>Low</v>
      </c>
    </row>
    <row r="490" spans="1:11" ht="15" customHeight="1" x14ac:dyDescent="0.25">
      <c r="A490" t="s">
        <v>506</v>
      </c>
      <c r="B490">
        <v>64</v>
      </c>
      <c r="C490">
        <v>54</v>
      </c>
      <c r="D490" t="s">
        <v>16</v>
      </c>
      <c r="E490" s="3">
        <v>627</v>
      </c>
      <c r="F490">
        <v>6</v>
      </c>
      <c r="G490">
        <v>21</v>
      </c>
      <c r="H490">
        <v>3.4</v>
      </c>
      <c r="I490" t="s">
        <v>13</v>
      </c>
      <c r="J490" t="s">
        <v>14</v>
      </c>
      <c r="K490" t="str">
        <f t="shared" si="7"/>
        <v>Medium</v>
      </c>
    </row>
    <row r="491" spans="1:11" ht="15" customHeight="1" x14ac:dyDescent="0.25">
      <c r="A491" t="s">
        <v>507</v>
      </c>
      <c r="B491">
        <v>28</v>
      </c>
      <c r="C491">
        <v>18</v>
      </c>
      <c r="D491" t="s">
        <v>16</v>
      </c>
      <c r="E491" s="3">
        <v>468</v>
      </c>
      <c r="F491">
        <v>8</v>
      </c>
      <c r="G491">
        <v>9</v>
      </c>
      <c r="H491">
        <v>1.4</v>
      </c>
      <c r="I491" t="s">
        <v>13</v>
      </c>
      <c r="J491" t="s">
        <v>14</v>
      </c>
      <c r="K491" t="str">
        <f t="shared" si="7"/>
        <v>Medium</v>
      </c>
    </row>
    <row r="492" spans="1:11" ht="15" customHeight="1" x14ac:dyDescent="0.25">
      <c r="A492" t="s">
        <v>508</v>
      </c>
      <c r="B492">
        <v>39</v>
      </c>
      <c r="C492">
        <v>51</v>
      </c>
      <c r="D492" t="s">
        <v>26</v>
      </c>
      <c r="E492" s="3">
        <v>778</v>
      </c>
      <c r="F492">
        <v>0</v>
      </c>
      <c r="G492">
        <v>26</v>
      </c>
      <c r="H492">
        <v>3.6</v>
      </c>
      <c r="I492" t="s">
        <v>17</v>
      </c>
      <c r="J492" t="s">
        <v>14</v>
      </c>
      <c r="K492" t="str">
        <f t="shared" si="7"/>
        <v>Low</v>
      </c>
    </row>
    <row r="493" spans="1:11" ht="15" customHeight="1" x14ac:dyDescent="0.25">
      <c r="A493" t="s">
        <v>509</v>
      </c>
      <c r="B493">
        <v>63</v>
      </c>
      <c r="C493">
        <v>48</v>
      </c>
      <c r="D493" t="s">
        <v>12</v>
      </c>
      <c r="E493" s="3">
        <v>373</v>
      </c>
      <c r="F493">
        <v>6</v>
      </c>
      <c r="G493">
        <v>24</v>
      </c>
      <c r="H493">
        <v>2.9</v>
      </c>
      <c r="I493" t="s">
        <v>17</v>
      </c>
      <c r="J493" t="s">
        <v>14</v>
      </c>
      <c r="K493" t="str">
        <f t="shared" si="7"/>
        <v>Medium</v>
      </c>
    </row>
    <row r="494" spans="1:11" ht="15" customHeight="1" x14ac:dyDescent="0.25">
      <c r="A494" t="s">
        <v>510</v>
      </c>
      <c r="B494">
        <v>55</v>
      </c>
      <c r="C494">
        <v>9</v>
      </c>
      <c r="D494" t="s">
        <v>12</v>
      </c>
      <c r="E494" s="3">
        <v>280</v>
      </c>
      <c r="F494">
        <v>3</v>
      </c>
      <c r="G494">
        <v>12</v>
      </c>
      <c r="H494">
        <v>3.2</v>
      </c>
      <c r="I494" t="s">
        <v>17</v>
      </c>
      <c r="J494" t="s">
        <v>14</v>
      </c>
      <c r="K494" t="str">
        <f t="shared" si="7"/>
        <v>Medium</v>
      </c>
    </row>
    <row r="495" spans="1:11" ht="15" customHeight="1" x14ac:dyDescent="0.25">
      <c r="A495" t="s">
        <v>511</v>
      </c>
      <c r="B495">
        <v>34</v>
      </c>
      <c r="C495">
        <v>27</v>
      </c>
      <c r="D495" t="s">
        <v>16</v>
      </c>
      <c r="E495" s="3">
        <v>740</v>
      </c>
      <c r="F495">
        <v>0</v>
      </c>
      <c r="G495">
        <v>29</v>
      </c>
      <c r="H495">
        <v>3.6</v>
      </c>
      <c r="I495" t="s">
        <v>13</v>
      </c>
      <c r="J495" t="s">
        <v>14</v>
      </c>
      <c r="K495" t="str">
        <f t="shared" si="7"/>
        <v>Low</v>
      </c>
    </row>
    <row r="496" spans="1:11" ht="15" customHeight="1" x14ac:dyDescent="0.25">
      <c r="A496" t="s">
        <v>512</v>
      </c>
      <c r="B496">
        <v>24</v>
      </c>
      <c r="C496">
        <v>4</v>
      </c>
      <c r="D496" t="s">
        <v>12</v>
      </c>
      <c r="E496" s="3">
        <v>296</v>
      </c>
      <c r="F496">
        <v>5</v>
      </c>
      <c r="G496">
        <v>13</v>
      </c>
      <c r="H496">
        <v>2</v>
      </c>
      <c r="I496" t="s">
        <v>13</v>
      </c>
      <c r="J496" t="s">
        <v>22</v>
      </c>
      <c r="K496" t="str">
        <f t="shared" si="7"/>
        <v>High</v>
      </c>
    </row>
    <row r="497" spans="1:11" ht="15" customHeight="1" x14ac:dyDescent="0.25">
      <c r="A497" t="s">
        <v>513</v>
      </c>
      <c r="B497">
        <v>45</v>
      </c>
      <c r="C497">
        <v>31</v>
      </c>
      <c r="D497" t="s">
        <v>16</v>
      </c>
      <c r="E497" s="3">
        <v>489</v>
      </c>
      <c r="F497">
        <v>4</v>
      </c>
      <c r="G497">
        <v>19</v>
      </c>
      <c r="H497">
        <v>2.4</v>
      </c>
      <c r="I497" t="s">
        <v>17</v>
      </c>
      <c r="J497" t="s">
        <v>14</v>
      </c>
      <c r="K497" t="str">
        <f t="shared" si="7"/>
        <v>Medium</v>
      </c>
    </row>
    <row r="498" spans="1:11" ht="15" customHeight="1" x14ac:dyDescent="0.25">
      <c r="A498" t="s">
        <v>514</v>
      </c>
      <c r="B498">
        <v>42</v>
      </c>
      <c r="C498">
        <v>58</v>
      </c>
      <c r="D498" t="s">
        <v>26</v>
      </c>
      <c r="E498" s="3">
        <v>1115</v>
      </c>
      <c r="F498">
        <v>4</v>
      </c>
      <c r="G498">
        <v>13</v>
      </c>
      <c r="H498">
        <v>3.6</v>
      </c>
      <c r="I498" t="s">
        <v>13</v>
      </c>
      <c r="J498" t="s">
        <v>14</v>
      </c>
      <c r="K498" t="str">
        <f t="shared" si="7"/>
        <v>Low</v>
      </c>
    </row>
    <row r="499" spans="1:11" ht="15" customHeight="1" x14ac:dyDescent="0.25">
      <c r="A499" t="s">
        <v>515</v>
      </c>
      <c r="B499">
        <v>37</v>
      </c>
      <c r="C499">
        <v>21</v>
      </c>
      <c r="D499" t="s">
        <v>16</v>
      </c>
      <c r="E499" s="3">
        <v>503</v>
      </c>
      <c r="F499">
        <v>5</v>
      </c>
      <c r="G499">
        <v>30</v>
      </c>
      <c r="H499">
        <v>2.8</v>
      </c>
      <c r="I499" t="s">
        <v>17</v>
      </c>
      <c r="J499" t="s">
        <v>14</v>
      </c>
      <c r="K499" t="str">
        <f t="shared" si="7"/>
        <v>Medium</v>
      </c>
    </row>
    <row r="500" spans="1:11" ht="15" customHeight="1" x14ac:dyDescent="0.25">
      <c r="A500" t="s">
        <v>516</v>
      </c>
      <c r="B500">
        <v>51</v>
      </c>
      <c r="C500">
        <v>18</v>
      </c>
      <c r="D500" t="s">
        <v>12</v>
      </c>
      <c r="E500" s="3">
        <v>285</v>
      </c>
      <c r="F500">
        <v>4</v>
      </c>
      <c r="G500">
        <v>25</v>
      </c>
      <c r="H500">
        <v>3.1</v>
      </c>
      <c r="I500" t="s">
        <v>13</v>
      </c>
      <c r="J500" t="s">
        <v>14</v>
      </c>
      <c r="K500" t="str">
        <f t="shared" si="7"/>
        <v>Low</v>
      </c>
    </row>
    <row r="501" spans="1:11" ht="15" customHeight="1" x14ac:dyDescent="0.25">
      <c r="A501" t="s">
        <v>517</v>
      </c>
      <c r="B501">
        <v>22</v>
      </c>
      <c r="C501">
        <v>16</v>
      </c>
      <c r="D501" t="s">
        <v>16</v>
      </c>
      <c r="E501" s="3">
        <v>682</v>
      </c>
      <c r="F501">
        <v>0</v>
      </c>
      <c r="G501">
        <v>17</v>
      </c>
      <c r="H501">
        <v>3.3</v>
      </c>
      <c r="I501" t="s">
        <v>13</v>
      </c>
      <c r="J501" t="s">
        <v>14</v>
      </c>
      <c r="K501" t="str">
        <f t="shared" si="7"/>
        <v>Low</v>
      </c>
    </row>
    <row r="502" spans="1:11" ht="15" customHeight="1" x14ac:dyDescent="0.25">
      <c r="A502" t="s">
        <v>518</v>
      </c>
      <c r="B502">
        <v>57</v>
      </c>
      <c r="C502">
        <v>25</v>
      </c>
      <c r="D502" t="s">
        <v>12</v>
      </c>
      <c r="E502" s="3">
        <v>271</v>
      </c>
      <c r="F502">
        <v>6</v>
      </c>
      <c r="G502">
        <v>17</v>
      </c>
      <c r="H502">
        <v>4.4000000000000004</v>
      </c>
      <c r="I502" t="s">
        <v>17</v>
      </c>
      <c r="J502" t="s">
        <v>22</v>
      </c>
      <c r="K502" t="str">
        <f t="shared" si="7"/>
        <v>High</v>
      </c>
    </row>
    <row r="503" spans="1:11" ht="15" customHeight="1" x14ac:dyDescent="0.25">
      <c r="A503" t="s">
        <v>519</v>
      </c>
      <c r="B503">
        <v>44</v>
      </c>
      <c r="C503">
        <v>12</v>
      </c>
      <c r="D503" t="s">
        <v>16</v>
      </c>
      <c r="E503" s="3">
        <v>476</v>
      </c>
      <c r="F503">
        <v>4</v>
      </c>
      <c r="G503">
        <v>3</v>
      </c>
      <c r="H503">
        <v>3.6</v>
      </c>
      <c r="I503" t="s">
        <v>17</v>
      </c>
      <c r="J503" t="s">
        <v>14</v>
      </c>
      <c r="K503" t="str">
        <f t="shared" si="7"/>
        <v>Low</v>
      </c>
    </row>
    <row r="504" spans="1:11" ht="15" customHeight="1" x14ac:dyDescent="0.25">
      <c r="A504" t="s">
        <v>520</v>
      </c>
      <c r="B504">
        <v>21</v>
      </c>
      <c r="C504">
        <v>59</v>
      </c>
      <c r="D504" t="s">
        <v>16</v>
      </c>
      <c r="E504" s="3">
        <v>584</v>
      </c>
      <c r="F504">
        <v>3</v>
      </c>
      <c r="G504">
        <v>26</v>
      </c>
      <c r="H504">
        <v>4.9000000000000004</v>
      </c>
      <c r="I504" t="s">
        <v>17</v>
      </c>
      <c r="J504" t="s">
        <v>14</v>
      </c>
      <c r="K504" t="str">
        <f t="shared" si="7"/>
        <v>Low</v>
      </c>
    </row>
    <row r="505" spans="1:11" ht="15" customHeight="1" x14ac:dyDescent="0.25">
      <c r="A505" t="s">
        <v>521</v>
      </c>
      <c r="B505">
        <v>23</v>
      </c>
      <c r="C505">
        <v>52</v>
      </c>
      <c r="D505" t="s">
        <v>12</v>
      </c>
      <c r="E505" s="3">
        <v>349</v>
      </c>
      <c r="F505">
        <v>8</v>
      </c>
      <c r="G505">
        <v>16</v>
      </c>
      <c r="H505">
        <v>3.7</v>
      </c>
      <c r="I505" t="s">
        <v>17</v>
      </c>
      <c r="J505" t="s">
        <v>14</v>
      </c>
      <c r="K505" t="str">
        <f t="shared" si="7"/>
        <v>Medium</v>
      </c>
    </row>
    <row r="506" spans="1:11" ht="15" customHeight="1" x14ac:dyDescent="0.25">
      <c r="A506" t="s">
        <v>522</v>
      </c>
      <c r="B506">
        <v>53</v>
      </c>
      <c r="C506">
        <v>17</v>
      </c>
      <c r="D506" t="s">
        <v>12</v>
      </c>
      <c r="E506" s="3">
        <v>347</v>
      </c>
      <c r="F506">
        <v>3</v>
      </c>
      <c r="G506">
        <v>6</v>
      </c>
      <c r="H506">
        <v>4.0999999999999996</v>
      </c>
      <c r="I506" t="s">
        <v>13</v>
      </c>
      <c r="J506" t="s">
        <v>14</v>
      </c>
      <c r="K506" t="str">
        <f t="shared" si="7"/>
        <v>Low</v>
      </c>
    </row>
    <row r="507" spans="1:11" ht="15" customHeight="1" x14ac:dyDescent="0.25">
      <c r="A507" t="s">
        <v>523</v>
      </c>
      <c r="B507">
        <v>35</v>
      </c>
      <c r="C507">
        <v>50</v>
      </c>
      <c r="D507" t="s">
        <v>16</v>
      </c>
      <c r="E507" s="3">
        <v>742</v>
      </c>
      <c r="F507">
        <v>0</v>
      </c>
      <c r="G507">
        <v>21</v>
      </c>
      <c r="H507">
        <v>3.1</v>
      </c>
      <c r="I507" t="s">
        <v>17</v>
      </c>
      <c r="J507" t="s">
        <v>14</v>
      </c>
      <c r="K507" t="str">
        <f t="shared" si="7"/>
        <v>Low</v>
      </c>
    </row>
    <row r="508" spans="1:11" ht="15" customHeight="1" x14ac:dyDescent="0.25">
      <c r="A508" t="s">
        <v>524</v>
      </c>
      <c r="B508">
        <v>36</v>
      </c>
      <c r="C508">
        <v>51</v>
      </c>
      <c r="D508" t="s">
        <v>16</v>
      </c>
      <c r="E508" s="3">
        <v>456</v>
      </c>
      <c r="F508">
        <v>4</v>
      </c>
      <c r="G508">
        <v>20</v>
      </c>
      <c r="H508">
        <v>2.6</v>
      </c>
      <c r="I508" t="s">
        <v>13</v>
      </c>
      <c r="J508" t="s">
        <v>14</v>
      </c>
      <c r="K508" t="str">
        <f t="shared" si="7"/>
        <v>Medium</v>
      </c>
    </row>
    <row r="509" spans="1:11" ht="15" customHeight="1" x14ac:dyDescent="0.25">
      <c r="A509" t="s">
        <v>525</v>
      </c>
      <c r="B509">
        <v>21</v>
      </c>
      <c r="C509">
        <v>29</v>
      </c>
      <c r="D509" t="s">
        <v>12</v>
      </c>
      <c r="E509" s="3">
        <v>259</v>
      </c>
      <c r="F509">
        <v>8</v>
      </c>
      <c r="G509">
        <v>8</v>
      </c>
      <c r="H509">
        <v>2.1</v>
      </c>
      <c r="I509" t="s">
        <v>17</v>
      </c>
      <c r="J509" t="s">
        <v>14</v>
      </c>
      <c r="K509" t="str">
        <f t="shared" si="7"/>
        <v>Medium</v>
      </c>
    </row>
    <row r="510" spans="1:11" ht="15" customHeight="1" x14ac:dyDescent="0.25">
      <c r="A510" t="s">
        <v>526</v>
      </c>
      <c r="B510">
        <v>25</v>
      </c>
      <c r="C510">
        <v>18</v>
      </c>
      <c r="D510" t="s">
        <v>26</v>
      </c>
      <c r="E510" s="3">
        <v>782</v>
      </c>
      <c r="F510">
        <v>7</v>
      </c>
      <c r="G510">
        <v>7</v>
      </c>
      <c r="H510">
        <v>3.4</v>
      </c>
      <c r="I510" t="s">
        <v>17</v>
      </c>
      <c r="J510" t="s">
        <v>14</v>
      </c>
      <c r="K510" t="str">
        <f t="shared" si="7"/>
        <v>Medium</v>
      </c>
    </row>
    <row r="511" spans="1:11" ht="15" customHeight="1" x14ac:dyDescent="0.25">
      <c r="A511" t="s">
        <v>527</v>
      </c>
      <c r="B511">
        <v>34</v>
      </c>
      <c r="C511">
        <v>41</v>
      </c>
      <c r="D511" t="s">
        <v>12</v>
      </c>
      <c r="E511" s="3">
        <v>408</v>
      </c>
      <c r="F511">
        <v>1</v>
      </c>
      <c r="G511">
        <v>22</v>
      </c>
      <c r="H511">
        <v>5</v>
      </c>
      <c r="I511" t="s">
        <v>17</v>
      </c>
      <c r="J511" t="s">
        <v>14</v>
      </c>
      <c r="K511" t="str">
        <f t="shared" si="7"/>
        <v>Low</v>
      </c>
    </row>
    <row r="512" spans="1:11" ht="15" customHeight="1" x14ac:dyDescent="0.25">
      <c r="A512" t="s">
        <v>528</v>
      </c>
      <c r="B512">
        <v>48</v>
      </c>
      <c r="C512">
        <v>38</v>
      </c>
      <c r="D512" t="s">
        <v>12</v>
      </c>
      <c r="E512" s="3">
        <v>391</v>
      </c>
      <c r="F512">
        <v>4</v>
      </c>
      <c r="G512">
        <v>10</v>
      </c>
      <c r="H512">
        <v>5</v>
      </c>
      <c r="I512" t="s">
        <v>13</v>
      </c>
      <c r="J512" t="s">
        <v>14</v>
      </c>
      <c r="K512" t="str">
        <f t="shared" si="7"/>
        <v>Low</v>
      </c>
    </row>
    <row r="513" spans="1:11" ht="15" customHeight="1" x14ac:dyDescent="0.25">
      <c r="A513" t="s">
        <v>529</v>
      </c>
      <c r="B513">
        <v>22</v>
      </c>
      <c r="C513">
        <v>39</v>
      </c>
      <c r="D513" t="s">
        <v>12</v>
      </c>
      <c r="E513" s="3">
        <v>277</v>
      </c>
      <c r="F513">
        <v>7</v>
      </c>
      <c r="G513">
        <v>5</v>
      </c>
      <c r="H513">
        <v>3.7</v>
      </c>
      <c r="I513" t="s">
        <v>17</v>
      </c>
      <c r="J513" t="s">
        <v>22</v>
      </c>
      <c r="K513" t="str">
        <f t="shared" si="7"/>
        <v>High</v>
      </c>
    </row>
    <row r="514" spans="1:11" ht="15" customHeight="1" x14ac:dyDescent="0.25">
      <c r="A514" t="s">
        <v>530</v>
      </c>
      <c r="B514">
        <v>40</v>
      </c>
      <c r="C514">
        <v>37</v>
      </c>
      <c r="D514" t="s">
        <v>16</v>
      </c>
      <c r="E514" s="3">
        <v>662</v>
      </c>
      <c r="F514">
        <v>6</v>
      </c>
      <c r="G514">
        <v>30</v>
      </c>
      <c r="H514">
        <v>3.5</v>
      </c>
      <c r="I514" t="s">
        <v>17</v>
      </c>
      <c r="J514" t="s">
        <v>14</v>
      </c>
      <c r="K514" t="str">
        <f t="shared" ref="K514:K577" si="8">IF(J514="Yes","High",IF(OR(H514&lt;3,F514&gt;=5,C514&lt;12),"Medium","Low"))</f>
        <v>Medium</v>
      </c>
    </row>
    <row r="515" spans="1:11" ht="15" customHeight="1" x14ac:dyDescent="0.25">
      <c r="A515" t="s">
        <v>531</v>
      </c>
      <c r="B515">
        <v>46</v>
      </c>
      <c r="C515">
        <v>58</v>
      </c>
      <c r="D515" t="s">
        <v>16</v>
      </c>
      <c r="E515" s="3">
        <v>600</v>
      </c>
      <c r="F515">
        <v>0</v>
      </c>
      <c r="G515">
        <v>7</v>
      </c>
      <c r="H515">
        <v>3.7</v>
      </c>
      <c r="I515" t="s">
        <v>17</v>
      </c>
      <c r="J515" t="s">
        <v>14</v>
      </c>
      <c r="K515" t="str">
        <f t="shared" si="8"/>
        <v>Low</v>
      </c>
    </row>
    <row r="516" spans="1:11" ht="15" customHeight="1" x14ac:dyDescent="0.25">
      <c r="A516" t="s">
        <v>532</v>
      </c>
      <c r="B516">
        <v>29</v>
      </c>
      <c r="C516">
        <v>59</v>
      </c>
      <c r="D516" t="s">
        <v>16</v>
      </c>
      <c r="E516" s="3">
        <v>558</v>
      </c>
      <c r="F516">
        <v>5</v>
      </c>
      <c r="G516">
        <v>18</v>
      </c>
      <c r="H516">
        <v>3.2</v>
      </c>
      <c r="I516" t="s">
        <v>13</v>
      </c>
      <c r="J516" t="s">
        <v>14</v>
      </c>
      <c r="K516" t="str">
        <f t="shared" si="8"/>
        <v>Medium</v>
      </c>
    </row>
    <row r="517" spans="1:11" ht="15" customHeight="1" x14ac:dyDescent="0.25">
      <c r="A517" t="s">
        <v>533</v>
      </c>
      <c r="B517">
        <v>33</v>
      </c>
      <c r="C517">
        <v>25</v>
      </c>
      <c r="D517" t="s">
        <v>26</v>
      </c>
      <c r="E517" s="3">
        <v>945</v>
      </c>
      <c r="F517">
        <v>1</v>
      </c>
      <c r="G517">
        <v>4</v>
      </c>
      <c r="H517">
        <v>2.1</v>
      </c>
      <c r="I517" t="s">
        <v>13</v>
      </c>
      <c r="J517" t="s">
        <v>14</v>
      </c>
      <c r="K517" t="str">
        <f t="shared" si="8"/>
        <v>Medium</v>
      </c>
    </row>
    <row r="518" spans="1:11" ht="15" customHeight="1" x14ac:dyDescent="0.25">
      <c r="A518" t="s">
        <v>534</v>
      </c>
      <c r="B518">
        <v>56</v>
      </c>
      <c r="C518">
        <v>33</v>
      </c>
      <c r="D518" t="s">
        <v>26</v>
      </c>
      <c r="E518" s="3">
        <v>1125</v>
      </c>
      <c r="F518">
        <v>6</v>
      </c>
      <c r="G518">
        <v>19</v>
      </c>
      <c r="H518">
        <v>3.3</v>
      </c>
      <c r="I518" t="s">
        <v>17</v>
      </c>
      <c r="J518" t="s">
        <v>22</v>
      </c>
      <c r="K518" t="str">
        <f t="shared" si="8"/>
        <v>High</v>
      </c>
    </row>
    <row r="519" spans="1:11" ht="15" customHeight="1" x14ac:dyDescent="0.25">
      <c r="A519" t="s">
        <v>535</v>
      </c>
      <c r="B519">
        <v>50</v>
      </c>
      <c r="C519">
        <v>43</v>
      </c>
      <c r="D519" t="s">
        <v>16</v>
      </c>
      <c r="E519" s="3">
        <v>612</v>
      </c>
      <c r="F519">
        <v>3</v>
      </c>
      <c r="G519">
        <v>28</v>
      </c>
      <c r="H519">
        <v>1.8</v>
      </c>
      <c r="I519" t="s">
        <v>17</v>
      </c>
      <c r="J519" t="s">
        <v>14</v>
      </c>
      <c r="K519" t="str">
        <f t="shared" si="8"/>
        <v>Medium</v>
      </c>
    </row>
    <row r="520" spans="1:11" ht="15" customHeight="1" x14ac:dyDescent="0.25">
      <c r="A520" t="s">
        <v>536</v>
      </c>
      <c r="B520">
        <v>41</v>
      </c>
      <c r="C520">
        <v>16</v>
      </c>
      <c r="D520" t="s">
        <v>16</v>
      </c>
      <c r="E520" s="3">
        <v>568</v>
      </c>
      <c r="F520">
        <v>5</v>
      </c>
      <c r="G520">
        <v>25</v>
      </c>
      <c r="H520">
        <v>4.9000000000000004</v>
      </c>
      <c r="I520" t="s">
        <v>17</v>
      </c>
      <c r="J520" t="s">
        <v>14</v>
      </c>
      <c r="K520" t="str">
        <f t="shared" si="8"/>
        <v>Medium</v>
      </c>
    </row>
    <row r="521" spans="1:11" ht="15" customHeight="1" x14ac:dyDescent="0.25">
      <c r="A521" t="s">
        <v>537</v>
      </c>
      <c r="B521">
        <v>46</v>
      </c>
      <c r="C521">
        <v>24</v>
      </c>
      <c r="D521" t="s">
        <v>12</v>
      </c>
      <c r="E521" s="3">
        <v>393</v>
      </c>
      <c r="F521">
        <v>5</v>
      </c>
      <c r="G521">
        <v>22</v>
      </c>
      <c r="H521">
        <v>3.3</v>
      </c>
      <c r="I521" t="s">
        <v>17</v>
      </c>
      <c r="J521" t="s">
        <v>22</v>
      </c>
      <c r="K521" t="str">
        <f t="shared" si="8"/>
        <v>High</v>
      </c>
    </row>
    <row r="522" spans="1:11" ht="15" customHeight="1" x14ac:dyDescent="0.25">
      <c r="A522" t="s">
        <v>538</v>
      </c>
      <c r="B522">
        <v>46</v>
      </c>
      <c r="C522">
        <v>15</v>
      </c>
      <c r="D522" t="s">
        <v>16</v>
      </c>
      <c r="E522" s="3">
        <v>725</v>
      </c>
      <c r="F522">
        <v>6</v>
      </c>
      <c r="G522">
        <v>23</v>
      </c>
      <c r="H522">
        <v>3.1</v>
      </c>
      <c r="I522" t="s">
        <v>17</v>
      </c>
      <c r="J522" t="s">
        <v>22</v>
      </c>
      <c r="K522" t="str">
        <f t="shared" si="8"/>
        <v>High</v>
      </c>
    </row>
    <row r="523" spans="1:11" ht="15" customHeight="1" x14ac:dyDescent="0.25">
      <c r="A523" t="s">
        <v>539</v>
      </c>
      <c r="B523">
        <v>40</v>
      </c>
      <c r="C523">
        <v>8</v>
      </c>
      <c r="D523" t="s">
        <v>12</v>
      </c>
      <c r="E523" s="3">
        <v>357</v>
      </c>
      <c r="F523">
        <v>7</v>
      </c>
      <c r="G523">
        <v>22</v>
      </c>
      <c r="H523">
        <v>3.3</v>
      </c>
      <c r="I523" t="s">
        <v>13</v>
      </c>
      <c r="J523" t="s">
        <v>22</v>
      </c>
      <c r="K523" t="str">
        <f t="shared" si="8"/>
        <v>High</v>
      </c>
    </row>
    <row r="524" spans="1:11" ht="15" customHeight="1" x14ac:dyDescent="0.25">
      <c r="A524" t="s">
        <v>540</v>
      </c>
      <c r="B524">
        <v>31</v>
      </c>
      <c r="C524">
        <v>57</v>
      </c>
      <c r="D524" t="s">
        <v>16</v>
      </c>
      <c r="E524" s="3">
        <v>511</v>
      </c>
      <c r="F524">
        <v>4</v>
      </c>
      <c r="G524">
        <v>26</v>
      </c>
      <c r="H524">
        <v>1.5</v>
      </c>
      <c r="I524" t="s">
        <v>13</v>
      </c>
      <c r="J524" t="s">
        <v>22</v>
      </c>
      <c r="K524" t="str">
        <f t="shared" si="8"/>
        <v>High</v>
      </c>
    </row>
    <row r="525" spans="1:11" ht="15" customHeight="1" x14ac:dyDescent="0.25">
      <c r="A525" t="s">
        <v>541</v>
      </c>
      <c r="B525">
        <v>22</v>
      </c>
      <c r="C525">
        <v>54</v>
      </c>
      <c r="D525" t="s">
        <v>16</v>
      </c>
      <c r="E525" s="3">
        <v>535</v>
      </c>
      <c r="F525">
        <v>2</v>
      </c>
      <c r="G525">
        <v>18</v>
      </c>
      <c r="H525">
        <v>2.8</v>
      </c>
      <c r="I525" t="s">
        <v>13</v>
      </c>
      <c r="J525" t="s">
        <v>14</v>
      </c>
      <c r="K525" t="str">
        <f t="shared" si="8"/>
        <v>Medium</v>
      </c>
    </row>
    <row r="526" spans="1:11" ht="15" customHeight="1" x14ac:dyDescent="0.25">
      <c r="A526" t="s">
        <v>542</v>
      </c>
      <c r="B526">
        <v>47</v>
      </c>
      <c r="C526">
        <v>23</v>
      </c>
      <c r="D526" t="s">
        <v>12</v>
      </c>
      <c r="E526" s="3">
        <v>428</v>
      </c>
      <c r="F526">
        <v>4</v>
      </c>
      <c r="G526">
        <v>5</v>
      </c>
      <c r="H526">
        <v>2.6</v>
      </c>
      <c r="I526" t="s">
        <v>17</v>
      </c>
      <c r="J526" t="s">
        <v>14</v>
      </c>
      <c r="K526" t="str">
        <f t="shared" si="8"/>
        <v>Medium</v>
      </c>
    </row>
    <row r="527" spans="1:11" ht="15" customHeight="1" x14ac:dyDescent="0.25">
      <c r="A527" t="s">
        <v>543</v>
      </c>
      <c r="B527">
        <v>26</v>
      </c>
      <c r="C527">
        <v>47</v>
      </c>
      <c r="D527" t="s">
        <v>12</v>
      </c>
      <c r="E527" s="3">
        <v>439</v>
      </c>
      <c r="F527">
        <v>6</v>
      </c>
      <c r="G527">
        <v>22</v>
      </c>
      <c r="H527">
        <v>4.9000000000000004</v>
      </c>
      <c r="I527" t="s">
        <v>17</v>
      </c>
      <c r="J527" t="s">
        <v>14</v>
      </c>
      <c r="K527" t="str">
        <f t="shared" si="8"/>
        <v>Medium</v>
      </c>
    </row>
    <row r="528" spans="1:11" ht="15" customHeight="1" x14ac:dyDescent="0.25">
      <c r="A528" t="s">
        <v>544</v>
      </c>
      <c r="B528">
        <v>38</v>
      </c>
      <c r="C528">
        <v>49</v>
      </c>
      <c r="D528" t="s">
        <v>16</v>
      </c>
      <c r="E528" s="3">
        <v>543</v>
      </c>
      <c r="F528">
        <v>8</v>
      </c>
      <c r="G528">
        <v>4</v>
      </c>
      <c r="H528">
        <v>3.6</v>
      </c>
      <c r="I528" t="s">
        <v>17</v>
      </c>
      <c r="J528" t="s">
        <v>14</v>
      </c>
      <c r="K528" t="str">
        <f t="shared" si="8"/>
        <v>Medium</v>
      </c>
    </row>
    <row r="529" spans="1:11" ht="15" customHeight="1" x14ac:dyDescent="0.25">
      <c r="A529" t="s">
        <v>545</v>
      </c>
      <c r="B529">
        <v>49</v>
      </c>
      <c r="C529">
        <v>25</v>
      </c>
      <c r="D529" t="s">
        <v>12</v>
      </c>
      <c r="E529" s="3">
        <v>295</v>
      </c>
      <c r="F529">
        <v>4</v>
      </c>
      <c r="G529">
        <v>26</v>
      </c>
      <c r="H529">
        <v>3.6</v>
      </c>
      <c r="I529" t="s">
        <v>17</v>
      </c>
      <c r="J529" t="s">
        <v>14</v>
      </c>
      <c r="K529" t="str">
        <f t="shared" si="8"/>
        <v>Low</v>
      </c>
    </row>
    <row r="530" spans="1:11" ht="15" customHeight="1" x14ac:dyDescent="0.25">
      <c r="A530" t="s">
        <v>546</v>
      </c>
      <c r="B530">
        <v>41</v>
      </c>
      <c r="C530">
        <v>4</v>
      </c>
      <c r="D530" t="s">
        <v>16</v>
      </c>
      <c r="E530" s="3">
        <v>746</v>
      </c>
      <c r="F530">
        <v>6</v>
      </c>
      <c r="G530">
        <v>11</v>
      </c>
      <c r="H530">
        <v>3.2</v>
      </c>
      <c r="I530" t="s">
        <v>17</v>
      </c>
      <c r="J530" t="s">
        <v>22</v>
      </c>
      <c r="K530" t="str">
        <f t="shared" si="8"/>
        <v>High</v>
      </c>
    </row>
    <row r="531" spans="1:11" ht="15" customHeight="1" x14ac:dyDescent="0.25">
      <c r="A531" t="s">
        <v>547</v>
      </c>
      <c r="B531">
        <v>33</v>
      </c>
      <c r="C531">
        <v>28</v>
      </c>
      <c r="D531" t="s">
        <v>16</v>
      </c>
      <c r="E531" s="3">
        <v>610</v>
      </c>
      <c r="F531">
        <v>5</v>
      </c>
      <c r="G531">
        <v>11</v>
      </c>
      <c r="H531">
        <v>4.2</v>
      </c>
      <c r="I531" t="s">
        <v>17</v>
      </c>
      <c r="J531" t="s">
        <v>22</v>
      </c>
      <c r="K531" t="str">
        <f t="shared" si="8"/>
        <v>High</v>
      </c>
    </row>
    <row r="532" spans="1:11" ht="15" customHeight="1" x14ac:dyDescent="0.25">
      <c r="A532" t="s">
        <v>548</v>
      </c>
      <c r="B532">
        <v>51</v>
      </c>
      <c r="C532">
        <v>29</v>
      </c>
      <c r="D532" t="s">
        <v>12</v>
      </c>
      <c r="E532" s="3">
        <v>293</v>
      </c>
      <c r="F532">
        <v>1</v>
      </c>
      <c r="G532">
        <v>9</v>
      </c>
      <c r="H532">
        <v>3.3</v>
      </c>
      <c r="I532" t="s">
        <v>17</v>
      </c>
      <c r="J532" t="s">
        <v>14</v>
      </c>
      <c r="K532" t="str">
        <f t="shared" si="8"/>
        <v>Low</v>
      </c>
    </row>
    <row r="533" spans="1:11" ht="15" customHeight="1" x14ac:dyDescent="0.25">
      <c r="A533" t="s">
        <v>549</v>
      </c>
      <c r="B533">
        <v>30</v>
      </c>
      <c r="C533">
        <v>2</v>
      </c>
      <c r="D533" t="s">
        <v>16</v>
      </c>
      <c r="E533" s="3">
        <v>726</v>
      </c>
      <c r="F533">
        <v>3</v>
      </c>
      <c r="G533">
        <v>2</v>
      </c>
      <c r="H533">
        <v>3.1</v>
      </c>
      <c r="I533" t="s">
        <v>17</v>
      </c>
      <c r="J533" t="s">
        <v>14</v>
      </c>
      <c r="K533" t="str">
        <f t="shared" si="8"/>
        <v>Medium</v>
      </c>
    </row>
    <row r="534" spans="1:11" ht="15" customHeight="1" x14ac:dyDescent="0.25">
      <c r="A534" t="s">
        <v>550</v>
      </c>
      <c r="B534">
        <v>43</v>
      </c>
      <c r="C534">
        <v>14</v>
      </c>
      <c r="D534" t="s">
        <v>12</v>
      </c>
      <c r="E534" s="3">
        <v>396</v>
      </c>
      <c r="F534">
        <v>7</v>
      </c>
      <c r="G534">
        <v>18</v>
      </c>
      <c r="H534">
        <v>4.2</v>
      </c>
      <c r="I534" t="s">
        <v>13</v>
      </c>
      <c r="J534" t="s">
        <v>14</v>
      </c>
      <c r="K534" t="str">
        <f t="shared" si="8"/>
        <v>Medium</v>
      </c>
    </row>
    <row r="535" spans="1:11" ht="15" customHeight="1" x14ac:dyDescent="0.25">
      <c r="A535" t="s">
        <v>551</v>
      </c>
      <c r="B535">
        <v>27</v>
      </c>
      <c r="C535">
        <v>29</v>
      </c>
      <c r="D535" t="s">
        <v>26</v>
      </c>
      <c r="E535" s="3">
        <v>794</v>
      </c>
      <c r="F535">
        <v>2</v>
      </c>
      <c r="G535">
        <v>10</v>
      </c>
      <c r="H535">
        <v>4.2</v>
      </c>
      <c r="I535" t="s">
        <v>13</v>
      </c>
      <c r="J535" t="s">
        <v>14</v>
      </c>
      <c r="K535" t="str">
        <f t="shared" si="8"/>
        <v>Low</v>
      </c>
    </row>
    <row r="536" spans="1:11" ht="15" customHeight="1" x14ac:dyDescent="0.25">
      <c r="A536" t="s">
        <v>552</v>
      </c>
      <c r="B536">
        <v>42</v>
      </c>
      <c r="C536">
        <v>52</v>
      </c>
      <c r="D536" t="s">
        <v>12</v>
      </c>
      <c r="E536" s="3">
        <v>306</v>
      </c>
      <c r="F536">
        <v>2</v>
      </c>
      <c r="G536">
        <v>18</v>
      </c>
      <c r="H536">
        <v>3</v>
      </c>
      <c r="I536" t="s">
        <v>13</v>
      </c>
      <c r="J536" t="s">
        <v>14</v>
      </c>
      <c r="K536" t="str">
        <f t="shared" si="8"/>
        <v>Low</v>
      </c>
    </row>
    <row r="537" spans="1:11" ht="15" customHeight="1" x14ac:dyDescent="0.25">
      <c r="A537" t="s">
        <v>553</v>
      </c>
      <c r="B537">
        <v>24</v>
      </c>
      <c r="C537">
        <v>46</v>
      </c>
      <c r="D537" t="s">
        <v>16</v>
      </c>
      <c r="E537" s="3">
        <v>671</v>
      </c>
      <c r="F537">
        <v>8</v>
      </c>
      <c r="G537">
        <v>12</v>
      </c>
      <c r="H537">
        <v>4.4000000000000004</v>
      </c>
      <c r="I537" t="s">
        <v>17</v>
      </c>
      <c r="J537" t="s">
        <v>14</v>
      </c>
      <c r="K537" t="str">
        <f t="shared" si="8"/>
        <v>Medium</v>
      </c>
    </row>
    <row r="538" spans="1:11" ht="15" customHeight="1" x14ac:dyDescent="0.25">
      <c r="A538" t="s">
        <v>554</v>
      </c>
      <c r="B538">
        <v>60</v>
      </c>
      <c r="C538">
        <v>3</v>
      </c>
      <c r="D538" t="s">
        <v>26</v>
      </c>
      <c r="E538" s="3">
        <v>875</v>
      </c>
      <c r="F538">
        <v>2</v>
      </c>
      <c r="G538">
        <v>20</v>
      </c>
      <c r="H538">
        <v>2</v>
      </c>
      <c r="I538" t="s">
        <v>13</v>
      </c>
      <c r="J538" t="s">
        <v>22</v>
      </c>
      <c r="K538" t="str">
        <f t="shared" si="8"/>
        <v>High</v>
      </c>
    </row>
    <row r="539" spans="1:11" ht="15" customHeight="1" x14ac:dyDescent="0.25">
      <c r="A539" t="s">
        <v>555</v>
      </c>
      <c r="B539">
        <v>29</v>
      </c>
      <c r="C539">
        <v>32</v>
      </c>
      <c r="D539" t="s">
        <v>26</v>
      </c>
      <c r="E539" s="3">
        <v>894</v>
      </c>
      <c r="F539">
        <v>2</v>
      </c>
      <c r="G539">
        <v>8</v>
      </c>
      <c r="H539">
        <v>5</v>
      </c>
      <c r="I539" t="s">
        <v>17</v>
      </c>
      <c r="J539" t="s">
        <v>22</v>
      </c>
      <c r="K539" t="str">
        <f t="shared" si="8"/>
        <v>High</v>
      </c>
    </row>
    <row r="540" spans="1:11" ht="15" customHeight="1" x14ac:dyDescent="0.25">
      <c r="A540" t="s">
        <v>556</v>
      </c>
      <c r="B540">
        <v>53</v>
      </c>
      <c r="C540">
        <v>55</v>
      </c>
      <c r="D540" t="s">
        <v>16</v>
      </c>
      <c r="E540" s="3">
        <v>451</v>
      </c>
      <c r="F540">
        <v>1</v>
      </c>
      <c r="G540">
        <v>17</v>
      </c>
      <c r="H540">
        <v>2.9</v>
      </c>
      <c r="I540" t="s">
        <v>17</v>
      </c>
      <c r="J540" t="s">
        <v>14</v>
      </c>
      <c r="K540" t="str">
        <f t="shared" si="8"/>
        <v>Medium</v>
      </c>
    </row>
    <row r="541" spans="1:11" ht="15" customHeight="1" x14ac:dyDescent="0.25">
      <c r="A541" t="s">
        <v>557</v>
      </c>
      <c r="B541">
        <v>36</v>
      </c>
      <c r="C541">
        <v>40</v>
      </c>
      <c r="D541" t="s">
        <v>16</v>
      </c>
      <c r="E541" s="3">
        <v>570</v>
      </c>
      <c r="F541">
        <v>5</v>
      </c>
      <c r="G541">
        <v>17</v>
      </c>
      <c r="H541">
        <v>3.3</v>
      </c>
      <c r="I541" t="s">
        <v>17</v>
      </c>
      <c r="J541" t="s">
        <v>14</v>
      </c>
      <c r="K541" t="str">
        <f t="shared" si="8"/>
        <v>Medium</v>
      </c>
    </row>
    <row r="542" spans="1:11" ht="15" customHeight="1" x14ac:dyDescent="0.25">
      <c r="A542" t="s">
        <v>558</v>
      </c>
      <c r="B542">
        <v>39</v>
      </c>
      <c r="C542">
        <v>54</v>
      </c>
      <c r="D542" t="s">
        <v>12</v>
      </c>
      <c r="E542" s="3">
        <v>324</v>
      </c>
      <c r="F542">
        <v>6</v>
      </c>
      <c r="G542">
        <v>21</v>
      </c>
      <c r="H542">
        <v>2.9</v>
      </c>
      <c r="I542" t="s">
        <v>17</v>
      </c>
      <c r="J542" t="s">
        <v>22</v>
      </c>
      <c r="K542" t="str">
        <f t="shared" si="8"/>
        <v>High</v>
      </c>
    </row>
    <row r="543" spans="1:11" ht="15" customHeight="1" x14ac:dyDescent="0.25">
      <c r="A543" t="s">
        <v>559</v>
      </c>
      <c r="B543">
        <v>38</v>
      </c>
      <c r="C543">
        <v>27</v>
      </c>
      <c r="D543" t="s">
        <v>26</v>
      </c>
      <c r="E543" s="3">
        <v>1089</v>
      </c>
      <c r="F543">
        <v>6</v>
      </c>
      <c r="G543">
        <v>5</v>
      </c>
      <c r="H543">
        <v>4.3</v>
      </c>
      <c r="I543" t="s">
        <v>17</v>
      </c>
      <c r="J543" t="s">
        <v>14</v>
      </c>
      <c r="K543" t="str">
        <f t="shared" si="8"/>
        <v>Medium</v>
      </c>
    </row>
    <row r="544" spans="1:11" ht="15" customHeight="1" x14ac:dyDescent="0.25">
      <c r="A544" t="s">
        <v>560</v>
      </c>
      <c r="B544">
        <v>62</v>
      </c>
      <c r="C544">
        <v>8</v>
      </c>
      <c r="D544" t="s">
        <v>12</v>
      </c>
      <c r="E544" s="3">
        <v>351</v>
      </c>
      <c r="F544">
        <v>7</v>
      </c>
      <c r="G544">
        <v>28</v>
      </c>
      <c r="H544">
        <v>3.9</v>
      </c>
      <c r="I544" t="s">
        <v>17</v>
      </c>
      <c r="J544" t="s">
        <v>22</v>
      </c>
      <c r="K544" t="str">
        <f t="shared" si="8"/>
        <v>High</v>
      </c>
    </row>
    <row r="545" spans="1:11" ht="15" customHeight="1" x14ac:dyDescent="0.25">
      <c r="A545" t="s">
        <v>561</v>
      </c>
      <c r="B545">
        <v>38</v>
      </c>
      <c r="C545">
        <v>18</v>
      </c>
      <c r="D545" t="s">
        <v>16</v>
      </c>
      <c r="E545" s="3">
        <v>659</v>
      </c>
      <c r="F545">
        <v>8</v>
      </c>
      <c r="G545">
        <v>26</v>
      </c>
      <c r="H545">
        <v>2.5</v>
      </c>
      <c r="I545" t="s">
        <v>17</v>
      </c>
      <c r="J545" t="s">
        <v>14</v>
      </c>
      <c r="K545" t="str">
        <f t="shared" si="8"/>
        <v>Medium</v>
      </c>
    </row>
    <row r="546" spans="1:11" ht="15" customHeight="1" x14ac:dyDescent="0.25">
      <c r="A546" t="s">
        <v>562</v>
      </c>
      <c r="B546">
        <v>46</v>
      </c>
      <c r="C546">
        <v>26</v>
      </c>
      <c r="D546" t="s">
        <v>26</v>
      </c>
      <c r="E546" s="3">
        <v>883</v>
      </c>
      <c r="F546">
        <v>0</v>
      </c>
      <c r="G546">
        <v>10</v>
      </c>
      <c r="H546">
        <v>2.9</v>
      </c>
      <c r="I546" t="s">
        <v>17</v>
      </c>
      <c r="J546" t="s">
        <v>22</v>
      </c>
      <c r="K546" t="str">
        <f t="shared" si="8"/>
        <v>High</v>
      </c>
    </row>
    <row r="547" spans="1:11" ht="15" customHeight="1" x14ac:dyDescent="0.25">
      <c r="A547" t="s">
        <v>563</v>
      </c>
      <c r="B547">
        <v>48</v>
      </c>
      <c r="C547">
        <v>27</v>
      </c>
      <c r="D547" t="s">
        <v>12</v>
      </c>
      <c r="E547" s="3">
        <v>292</v>
      </c>
      <c r="F547">
        <v>1</v>
      </c>
      <c r="G547">
        <v>21</v>
      </c>
      <c r="H547">
        <v>3.6</v>
      </c>
      <c r="I547" t="s">
        <v>17</v>
      </c>
      <c r="J547" t="s">
        <v>22</v>
      </c>
      <c r="K547" t="str">
        <f t="shared" si="8"/>
        <v>High</v>
      </c>
    </row>
    <row r="548" spans="1:11" ht="15" customHeight="1" x14ac:dyDescent="0.25">
      <c r="A548" t="s">
        <v>564</v>
      </c>
      <c r="B548">
        <v>54</v>
      </c>
      <c r="C548">
        <v>2</v>
      </c>
      <c r="D548" t="s">
        <v>26</v>
      </c>
      <c r="E548" s="3">
        <v>796</v>
      </c>
      <c r="F548">
        <v>5</v>
      </c>
      <c r="G548">
        <v>13</v>
      </c>
      <c r="H548">
        <v>3.6</v>
      </c>
      <c r="I548" t="s">
        <v>13</v>
      </c>
      <c r="J548" t="s">
        <v>14</v>
      </c>
      <c r="K548" t="str">
        <f t="shared" si="8"/>
        <v>Medium</v>
      </c>
    </row>
    <row r="549" spans="1:11" ht="15" customHeight="1" x14ac:dyDescent="0.25">
      <c r="A549" t="s">
        <v>565</v>
      </c>
      <c r="B549">
        <v>43</v>
      </c>
      <c r="C549">
        <v>35</v>
      </c>
      <c r="D549" t="s">
        <v>12</v>
      </c>
      <c r="E549" s="3">
        <v>290</v>
      </c>
      <c r="F549">
        <v>3</v>
      </c>
      <c r="G549">
        <v>11</v>
      </c>
      <c r="H549">
        <v>2.4</v>
      </c>
      <c r="I549" t="s">
        <v>13</v>
      </c>
      <c r="J549" t="s">
        <v>14</v>
      </c>
      <c r="K549" t="str">
        <f t="shared" si="8"/>
        <v>Medium</v>
      </c>
    </row>
    <row r="550" spans="1:11" ht="15" customHeight="1" x14ac:dyDescent="0.25">
      <c r="A550" t="s">
        <v>566</v>
      </c>
      <c r="B550">
        <v>41</v>
      </c>
      <c r="C550">
        <v>27</v>
      </c>
      <c r="D550" t="s">
        <v>12</v>
      </c>
      <c r="E550" s="3">
        <v>437</v>
      </c>
      <c r="F550">
        <v>0</v>
      </c>
      <c r="G550">
        <v>29</v>
      </c>
      <c r="H550">
        <v>5</v>
      </c>
      <c r="I550" t="s">
        <v>17</v>
      </c>
      <c r="J550" t="s">
        <v>14</v>
      </c>
      <c r="K550" t="str">
        <f t="shared" si="8"/>
        <v>Low</v>
      </c>
    </row>
    <row r="551" spans="1:11" ht="15" customHeight="1" x14ac:dyDescent="0.25">
      <c r="A551" t="s">
        <v>567</v>
      </c>
      <c r="B551">
        <v>51</v>
      </c>
      <c r="C551">
        <v>3</v>
      </c>
      <c r="D551" t="s">
        <v>12</v>
      </c>
      <c r="E551" s="3">
        <v>327</v>
      </c>
      <c r="F551">
        <v>3</v>
      </c>
      <c r="G551">
        <v>3</v>
      </c>
      <c r="H551">
        <v>3.8</v>
      </c>
      <c r="I551" t="s">
        <v>17</v>
      </c>
      <c r="J551" t="s">
        <v>22</v>
      </c>
      <c r="K551" t="str">
        <f t="shared" si="8"/>
        <v>High</v>
      </c>
    </row>
    <row r="552" spans="1:11" ht="15" customHeight="1" x14ac:dyDescent="0.25">
      <c r="A552" t="s">
        <v>568</v>
      </c>
      <c r="B552">
        <v>44</v>
      </c>
      <c r="C552">
        <v>42</v>
      </c>
      <c r="D552" t="s">
        <v>16</v>
      </c>
      <c r="E552" s="3">
        <v>588</v>
      </c>
      <c r="F552">
        <v>1</v>
      </c>
      <c r="G552">
        <v>4</v>
      </c>
      <c r="H552">
        <v>4.8</v>
      </c>
      <c r="I552" t="s">
        <v>13</v>
      </c>
      <c r="J552" t="s">
        <v>14</v>
      </c>
      <c r="K552" t="str">
        <f t="shared" si="8"/>
        <v>Low</v>
      </c>
    </row>
    <row r="553" spans="1:11" ht="15" customHeight="1" x14ac:dyDescent="0.25">
      <c r="A553" t="s">
        <v>569</v>
      </c>
      <c r="B553">
        <v>20</v>
      </c>
      <c r="C553">
        <v>48</v>
      </c>
      <c r="D553" t="s">
        <v>26</v>
      </c>
      <c r="E553" s="3">
        <v>798</v>
      </c>
      <c r="F553">
        <v>6</v>
      </c>
      <c r="G553">
        <v>8</v>
      </c>
      <c r="H553">
        <v>4.0999999999999996</v>
      </c>
      <c r="I553" t="s">
        <v>13</v>
      </c>
      <c r="J553" t="s">
        <v>14</v>
      </c>
      <c r="K553" t="str">
        <f t="shared" si="8"/>
        <v>Medium</v>
      </c>
    </row>
    <row r="554" spans="1:11" ht="15" customHeight="1" x14ac:dyDescent="0.25">
      <c r="A554" t="s">
        <v>570</v>
      </c>
      <c r="B554">
        <v>40</v>
      </c>
      <c r="C554">
        <v>28</v>
      </c>
      <c r="D554" t="s">
        <v>16</v>
      </c>
      <c r="E554" s="3">
        <v>604</v>
      </c>
      <c r="F554">
        <v>7</v>
      </c>
      <c r="G554">
        <v>8</v>
      </c>
      <c r="H554">
        <v>5</v>
      </c>
      <c r="I554" t="s">
        <v>17</v>
      </c>
      <c r="J554" t="s">
        <v>14</v>
      </c>
      <c r="K554" t="str">
        <f t="shared" si="8"/>
        <v>Medium</v>
      </c>
    </row>
    <row r="555" spans="1:11" ht="15" customHeight="1" x14ac:dyDescent="0.25">
      <c r="A555" t="s">
        <v>571</v>
      </c>
      <c r="B555">
        <v>47</v>
      </c>
      <c r="C555">
        <v>6</v>
      </c>
      <c r="D555" t="s">
        <v>12</v>
      </c>
      <c r="E555" s="3">
        <v>354</v>
      </c>
      <c r="F555">
        <v>7</v>
      </c>
      <c r="G555">
        <v>11</v>
      </c>
      <c r="H555">
        <v>4.9000000000000004</v>
      </c>
      <c r="I555" t="s">
        <v>13</v>
      </c>
      <c r="J555" t="s">
        <v>14</v>
      </c>
      <c r="K555" t="str">
        <f t="shared" si="8"/>
        <v>Medium</v>
      </c>
    </row>
    <row r="556" spans="1:11" ht="15" customHeight="1" x14ac:dyDescent="0.25">
      <c r="A556" t="s">
        <v>572</v>
      </c>
      <c r="B556">
        <v>35</v>
      </c>
      <c r="C556">
        <v>25</v>
      </c>
      <c r="D556" t="s">
        <v>12</v>
      </c>
      <c r="E556" s="3">
        <v>377</v>
      </c>
      <c r="F556">
        <v>8</v>
      </c>
      <c r="G556">
        <v>24</v>
      </c>
      <c r="H556">
        <v>4</v>
      </c>
      <c r="I556" t="s">
        <v>13</v>
      </c>
      <c r="J556" t="s">
        <v>14</v>
      </c>
      <c r="K556" t="str">
        <f t="shared" si="8"/>
        <v>Medium</v>
      </c>
    </row>
    <row r="557" spans="1:11" ht="15" customHeight="1" x14ac:dyDescent="0.25">
      <c r="A557" t="s">
        <v>573</v>
      </c>
      <c r="B557">
        <v>34</v>
      </c>
      <c r="C557">
        <v>29</v>
      </c>
      <c r="D557" t="s">
        <v>16</v>
      </c>
      <c r="E557" s="3">
        <v>505</v>
      </c>
      <c r="F557">
        <v>4</v>
      </c>
      <c r="G557">
        <v>12</v>
      </c>
      <c r="H557">
        <v>3.9</v>
      </c>
      <c r="I557" t="s">
        <v>17</v>
      </c>
      <c r="J557" t="s">
        <v>14</v>
      </c>
      <c r="K557" t="str">
        <f t="shared" si="8"/>
        <v>Low</v>
      </c>
    </row>
    <row r="558" spans="1:11" ht="15" customHeight="1" x14ac:dyDescent="0.25">
      <c r="A558" t="s">
        <v>574</v>
      </c>
      <c r="B558">
        <v>25</v>
      </c>
      <c r="C558">
        <v>7</v>
      </c>
      <c r="D558" t="s">
        <v>16</v>
      </c>
      <c r="E558" s="3">
        <v>700</v>
      </c>
      <c r="F558">
        <v>3</v>
      </c>
      <c r="G558">
        <v>4</v>
      </c>
      <c r="H558">
        <v>4.3</v>
      </c>
      <c r="I558" t="s">
        <v>17</v>
      </c>
      <c r="J558" t="s">
        <v>14</v>
      </c>
      <c r="K558" t="str">
        <f t="shared" si="8"/>
        <v>Medium</v>
      </c>
    </row>
    <row r="559" spans="1:11" ht="15" customHeight="1" x14ac:dyDescent="0.25">
      <c r="A559" t="s">
        <v>575</v>
      </c>
      <c r="B559">
        <v>56</v>
      </c>
      <c r="C559">
        <v>49</v>
      </c>
      <c r="D559" t="s">
        <v>12</v>
      </c>
      <c r="E559" s="3">
        <v>446</v>
      </c>
      <c r="F559">
        <v>6</v>
      </c>
      <c r="G559">
        <v>11</v>
      </c>
      <c r="H559">
        <v>4.5</v>
      </c>
      <c r="I559" t="s">
        <v>13</v>
      </c>
      <c r="J559" t="s">
        <v>14</v>
      </c>
      <c r="K559" t="str">
        <f t="shared" si="8"/>
        <v>Medium</v>
      </c>
    </row>
    <row r="560" spans="1:11" ht="15" customHeight="1" x14ac:dyDescent="0.25">
      <c r="A560" t="s">
        <v>576</v>
      </c>
      <c r="B560">
        <v>22</v>
      </c>
      <c r="C560">
        <v>21</v>
      </c>
      <c r="D560" t="s">
        <v>16</v>
      </c>
      <c r="E560" s="3">
        <v>658</v>
      </c>
      <c r="F560">
        <v>0</v>
      </c>
      <c r="G560">
        <v>10</v>
      </c>
      <c r="H560">
        <v>2.9</v>
      </c>
      <c r="I560" t="s">
        <v>13</v>
      </c>
      <c r="J560" t="s">
        <v>14</v>
      </c>
      <c r="K560" t="str">
        <f t="shared" si="8"/>
        <v>Medium</v>
      </c>
    </row>
    <row r="561" spans="1:11" ht="15" customHeight="1" x14ac:dyDescent="0.25">
      <c r="A561" t="s">
        <v>577</v>
      </c>
      <c r="B561">
        <v>40</v>
      </c>
      <c r="C561">
        <v>42</v>
      </c>
      <c r="D561" t="s">
        <v>12</v>
      </c>
      <c r="E561" s="3">
        <v>368</v>
      </c>
      <c r="F561">
        <v>8</v>
      </c>
      <c r="G561">
        <v>29</v>
      </c>
      <c r="H561">
        <v>2.1</v>
      </c>
      <c r="I561" t="s">
        <v>13</v>
      </c>
      <c r="J561" t="s">
        <v>14</v>
      </c>
      <c r="K561" t="str">
        <f t="shared" si="8"/>
        <v>Medium</v>
      </c>
    </row>
    <row r="562" spans="1:11" ht="15" customHeight="1" x14ac:dyDescent="0.25">
      <c r="A562" t="s">
        <v>578</v>
      </c>
      <c r="B562">
        <v>26</v>
      </c>
      <c r="C562">
        <v>28</v>
      </c>
      <c r="D562" t="s">
        <v>16</v>
      </c>
      <c r="E562" s="3">
        <v>515</v>
      </c>
      <c r="F562">
        <v>0</v>
      </c>
      <c r="G562">
        <v>7</v>
      </c>
      <c r="H562">
        <v>3</v>
      </c>
      <c r="I562" t="s">
        <v>17</v>
      </c>
      <c r="J562" t="s">
        <v>14</v>
      </c>
      <c r="K562" t="str">
        <f t="shared" si="8"/>
        <v>Low</v>
      </c>
    </row>
    <row r="563" spans="1:11" ht="15" customHeight="1" x14ac:dyDescent="0.25">
      <c r="A563" t="s">
        <v>579</v>
      </c>
      <c r="B563">
        <v>27</v>
      </c>
      <c r="C563">
        <v>3</v>
      </c>
      <c r="D563" t="s">
        <v>26</v>
      </c>
      <c r="E563" s="3">
        <v>1070</v>
      </c>
      <c r="F563">
        <v>8</v>
      </c>
      <c r="G563">
        <v>17</v>
      </c>
      <c r="H563">
        <v>3.4</v>
      </c>
      <c r="I563" t="s">
        <v>17</v>
      </c>
      <c r="J563" t="s">
        <v>14</v>
      </c>
      <c r="K563" t="str">
        <f t="shared" si="8"/>
        <v>Medium</v>
      </c>
    </row>
    <row r="564" spans="1:11" ht="15" customHeight="1" x14ac:dyDescent="0.25">
      <c r="A564" t="s">
        <v>580</v>
      </c>
      <c r="B564">
        <v>46</v>
      </c>
      <c r="C564">
        <v>26</v>
      </c>
      <c r="D564" t="s">
        <v>12</v>
      </c>
      <c r="E564" s="3">
        <v>280</v>
      </c>
      <c r="F564">
        <v>4</v>
      </c>
      <c r="G564">
        <v>18</v>
      </c>
      <c r="H564">
        <v>2.7</v>
      </c>
      <c r="I564" t="s">
        <v>17</v>
      </c>
      <c r="J564" t="s">
        <v>22</v>
      </c>
      <c r="K564" t="str">
        <f t="shared" si="8"/>
        <v>High</v>
      </c>
    </row>
    <row r="565" spans="1:11" ht="15" customHeight="1" x14ac:dyDescent="0.25">
      <c r="A565" t="s">
        <v>581</v>
      </c>
      <c r="B565">
        <v>38</v>
      </c>
      <c r="C565">
        <v>34</v>
      </c>
      <c r="D565" t="s">
        <v>16</v>
      </c>
      <c r="E565" s="3">
        <v>640</v>
      </c>
      <c r="F565">
        <v>4</v>
      </c>
      <c r="G565">
        <v>17</v>
      </c>
      <c r="H565">
        <v>5</v>
      </c>
      <c r="I565" t="s">
        <v>17</v>
      </c>
      <c r="J565" t="s">
        <v>14</v>
      </c>
      <c r="K565" t="str">
        <f t="shared" si="8"/>
        <v>Low</v>
      </c>
    </row>
    <row r="566" spans="1:11" ht="15" customHeight="1" x14ac:dyDescent="0.25">
      <c r="A566" t="s">
        <v>582</v>
      </c>
      <c r="B566">
        <v>28</v>
      </c>
      <c r="C566">
        <v>11</v>
      </c>
      <c r="D566" t="s">
        <v>16</v>
      </c>
      <c r="E566" s="3">
        <v>455</v>
      </c>
      <c r="F566">
        <v>6</v>
      </c>
      <c r="G566">
        <v>7</v>
      </c>
      <c r="H566">
        <v>3.7</v>
      </c>
      <c r="I566" t="s">
        <v>13</v>
      </c>
      <c r="J566" t="s">
        <v>22</v>
      </c>
      <c r="K566" t="str">
        <f t="shared" si="8"/>
        <v>High</v>
      </c>
    </row>
    <row r="567" spans="1:11" ht="15" customHeight="1" x14ac:dyDescent="0.25">
      <c r="A567" t="s">
        <v>583</v>
      </c>
      <c r="B567">
        <v>32</v>
      </c>
      <c r="C567">
        <v>13</v>
      </c>
      <c r="D567" t="s">
        <v>16</v>
      </c>
      <c r="E567" s="3">
        <v>684</v>
      </c>
      <c r="F567">
        <v>1</v>
      </c>
      <c r="G567">
        <v>3</v>
      </c>
      <c r="H567">
        <v>3.8</v>
      </c>
      <c r="I567" t="s">
        <v>17</v>
      </c>
      <c r="J567" t="s">
        <v>14</v>
      </c>
      <c r="K567" t="str">
        <f t="shared" si="8"/>
        <v>Low</v>
      </c>
    </row>
    <row r="568" spans="1:11" ht="15" customHeight="1" x14ac:dyDescent="0.25">
      <c r="A568" t="s">
        <v>584</v>
      </c>
      <c r="B568">
        <v>24</v>
      </c>
      <c r="C568">
        <v>23</v>
      </c>
      <c r="D568" t="s">
        <v>16</v>
      </c>
      <c r="E568" s="3">
        <v>626</v>
      </c>
      <c r="F568">
        <v>0</v>
      </c>
      <c r="G568">
        <v>8</v>
      </c>
      <c r="H568">
        <v>3.2</v>
      </c>
      <c r="I568" t="s">
        <v>13</v>
      </c>
      <c r="J568" t="s">
        <v>14</v>
      </c>
      <c r="K568" t="str">
        <f t="shared" si="8"/>
        <v>Low</v>
      </c>
    </row>
    <row r="569" spans="1:11" ht="15" customHeight="1" x14ac:dyDescent="0.25">
      <c r="A569" t="s">
        <v>585</v>
      </c>
      <c r="B569">
        <v>39</v>
      </c>
      <c r="C569">
        <v>24</v>
      </c>
      <c r="D569" t="s">
        <v>16</v>
      </c>
      <c r="E569" s="3">
        <v>580</v>
      </c>
      <c r="F569">
        <v>8</v>
      </c>
      <c r="G569">
        <v>22</v>
      </c>
      <c r="H569">
        <v>5</v>
      </c>
      <c r="I569" t="s">
        <v>13</v>
      </c>
      <c r="J569" t="s">
        <v>22</v>
      </c>
      <c r="K569" t="str">
        <f t="shared" si="8"/>
        <v>High</v>
      </c>
    </row>
    <row r="570" spans="1:11" ht="15" customHeight="1" x14ac:dyDescent="0.25">
      <c r="A570" t="s">
        <v>586</v>
      </c>
      <c r="B570">
        <v>29</v>
      </c>
      <c r="C570">
        <v>7</v>
      </c>
      <c r="D570" t="s">
        <v>16</v>
      </c>
      <c r="E570" s="3">
        <v>541</v>
      </c>
      <c r="F570">
        <v>1</v>
      </c>
      <c r="G570">
        <v>6</v>
      </c>
      <c r="H570">
        <v>3.8</v>
      </c>
      <c r="I570" t="s">
        <v>13</v>
      </c>
      <c r="J570" t="s">
        <v>14</v>
      </c>
      <c r="K570" t="str">
        <f t="shared" si="8"/>
        <v>Medium</v>
      </c>
    </row>
    <row r="571" spans="1:11" ht="15" customHeight="1" x14ac:dyDescent="0.25">
      <c r="A571" t="s">
        <v>587</v>
      </c>
      <c r="B571">
        <v>57</v>
      </c>
      <c r="C571">
        <v>39</v>
      </c>
      <c r="D571" t="s">
        <v>12</v>
      </c>
      <c r="E571" s="3">
        <v>438</v>
      </c>
      <c r="F571">
        <v>2</v>
      </c>
      <c r="G571">
        <v>2</v>
      </c>
      <c r="H571">
        <v>2.4</v>
      </c>
      <c r="I571" t="s">
        <v>13</v>
      </c>
      <c r="J571" t="s">
        <v>14</v>
      </c>
      <c r="K571" t="str">
        <f t="shared" si="8"/>
        <v>Medium</v>
      </c>
    </row>
    <row r="572" spans="1:11" ht="15" customHeight="1" x14ac:dyDescent="0.25">
      <c r="A572" t="s">
        <v>588</v>
      </c>
      <c r="B572">
        <v>25</v>
      </c>
      <c r="C572">
        <v>60</v>
      </c>
      <c r="D572" t="s">
        <v>26</v>
      </c>
      <c r="E572" s="3">
        <v>834</v>
      </c>
      <c r="F572">
        <v>7</v>
      </c>
      <c r="G572">
        <v>29</v>
      </c>
      <c r="H572">
        <v>3.9</v>
      </c>
      <c r="I572" t="s">
        <v>13</v>
      </c>
      <c r="J572" t="s">
        <v>22</v>
      </c>
      <c r="K572" t="str">
        <f t="shared" si="8"/>
        <v>High</v>
      </c>
    </row>
    <row r="573" spans="1:11" ht="15" customHeight="1" x14ac:dyDescent="0.25">
      <c r="A573" t="s">
        <v>589</v>
      </c>
      <c r="B573">
        <v>48</v>
      </c>
      <c r="C573">
        <v>28</v>
      </c>
      <c r="D573" t="s">
        <v>16</v>
      </c>
      <c r="E573" s="3">
        <v>604</v>
      </c>
      <c r="F573">
        <v>1</v>
      </c>
      <c r="G573">
        <v>9</v>
      </c>
      <c r="H573">
        <v>3.5</v>
      </c>
      <c r="I573" t="s">
        <v>17</v>
      </c>
      <c r="J573" t="s">
        <v>14</v>
      </c>
      <c r="K573" t="str">
        <f t="shared" si="8"/>
        <v>Low</v>
      </c>
    </row>
    <row r="574" spans="1:11" ht="15" customHeight="1" x14ac:dyDescent="0.25">
      <c r="A574" t="s">
        <v>590</v>
      </c>
      <c r="B574">
        <v>44</v>
      </c>
      <c r="C574">
        <v>46</v>
      </c>
      <c r="D574" t="s">
        <v>16</v>
      </c>
      <c r="E574" s="3">
        <v>717</v>
      </c>
      <c r="F574">
        <v>8</v>
      </c>
      <c r="G574">
        <v>4</v>
      </c>
      <c r="H574">
        <v>4.8</v>
      </c>
      <c r="I574" t="s">
        <v>13</v>
      </c>
      <c r="J574" t="s">
        <v>14</v>
      </c>
      <c r="K574" t="str">
        <f t="shared" si="8"/>
        <v>Medium</v>
      </c>
    </row>
    <row r="575" spans="1:11" ht="15" customHeight="1" x14ac:dyDescent="0.25">
      <c r="A575" t="s">
        <v>591</v>
      </c>
      <c r="B575">
        <v>37</v>
      </c>
      <c r="C575">
        <v>46</v>
      </c>
      <c r="D575" t="s">
        <v>12</v>
      </c>
      <c r="E575" s="3">
        <v>361</v>
      </c>
      <c r="F575">
        <v>7</v>
      </c>
      <c r="G575">
        <v>24</v>
      </c>
      <c r="H575">
        <v>2.2999999999999998</v>
      </c>
      <c r="I575" t="s">
        <v>13</v>
      </c>
      <c r="J575" t="s">
        <v>14</v>
      </c>
      <c r="K575" t="str">
        <f t="shared" si="8"/>
        <v>Medium</v>
      </c>
    </row>
    <row r="576" spans="1:11" ht="15" customHeight="1" x14ac:dyDescent="0.25">
      <c r="A576" t="s">
        <v>592</v>
      </c>
      <c r="B576">
        <v>55</v>
      </c>
      <c r="C576">
        <v>58</v>
      </c>
      <c r="D576" t="s">
        <v>16</v>
      </c>
      <c r="E576" s="3">
        <v>541</v>
      </c>
      <c r="F576">
        <v>5</v>
      </c>
      <c r="G576">
        <v>29</v>
      </c>
      <c r="H576">
        <v>2.2000000000000002</v>
      </c>
      <c r="I576" t="s">
        <v>13</v>
      </c>
      <c r="J576" t="s">
        <v>22</v>
      </c>
      <c r="K576" t="str">
        <f t="shared" si="8"/>
        <v>High</v>
      </c>
    </row>
    <row r="577" spans="1:11" ht="15" customHeight="1" x14ac:dyDescent="0.25">
      <c r="A577" t="s">
        <v>593</v>
      </c>
      <c r="B577">
        <v>55</v>
      </c>
      <c r="C577">
        <v>57</v>
      </c>
      <c r="D577" t="s">
        <v>26</v>
      </c>
      <c r="E577" s="3">
        <v>941</v>
      </c>
      <c r="F577">
        <v>2</v>
      </c>
      <c r="G577">
        <v>25</v>
      </c>
      <c r="H577">
        <v>3.8</v>
      </c>
      <c r="I577" t="s">
        <v>13</v>
      </c>
      <c r="J577" t="s">
        <v>14</v>
      </c>
      <c r="K577" t="str">
        <f t="shared" si="8"/>
        <v>Low</v>
      </c>
    </row>
    <row r="578" spans="1:11" ht="15" customHeight="1" x14ac:dyDescent="0.25">
      <c r="A578" t="s">
        <v>594</v>
      </c>
      <c r="B578">
        <v>43</v>
      </c>
      <c r="C578">
        <v>34</v>
      </c>
      <c r="D578" t="s">
        <v>12</v>
      </c>
      <c r="E578" s="3">
        <v>400</v>
      </c>
      <c r="F578">
        <v>1</v>
      </c>
      <c r="G578">
        <v>13</v>
      </c>
      <c r="H578">
        <v>4.4000000000000004</v>
      </c>
      <c r="I578" t="s">
        <v>17</v>
      </c>
      <c r="J578" t="s">
        <v>14</v>
      </c>
      <c r="K578" t="str">
        <f t="shared" ref="K578:K641" si="9">IF(J578="Yes","High",IF(OR(H578&lt;3,F578&gt;=5,C578&lt;12),"Medium","Low"))</f>
        <v>Low</v>
      </c>
    </row>
    <row r="579" spans="1:11" ht="15" customHeight="1" x14ac:dyDescent="0.25">
      <c r="A579" t="s">
        <v>595</v>
      </c>
      <c r="B579">
        <v>61</v>
      </c>
      <c r="C579">
        <v>18</v>
      </c>
      <c r="D579" t="s">
        <v>16</v>
      </c>
      <c r="E579" s="3">
        <v>472</v>
      </c>
      <c r="F579">
        <v>4</v>
      </c>
      <c r="G579">
        <v>10</v>
      </c>
      <c r="H579">
        <v>3</v>
      </c>
      <c r="I579" t="s">
        <v>17</v>
      </c>
      <c r="J579" t="s">
        <v>14</v>
      </c>
      <c r="K579" t="str">
        <f t="shared" si="9"/>
        <v>Low</v>
      </c>
    </row>
    <row r="580" spans="1:11" ht="15" customHeight="1" x14ac:dyDescent="0.25">
      <c r="A580" t="s">
        <v>596</v>
      </c>
      <c r="B580">
        <v>21</v>
      </c>
      <c r="C580">
        <v>56</v>
      </c>
      <c r="D580" t="s">
        <v>16</v>
      </c>
      <c r="E580" s="3">
        <v>682</v>
      </c>
      <c r="F580">
        <v>2</v>
      </c>
      <c r="G580">
        <v>17</v>
      </c>
      <c r="H580">
        <v>3.5</v>
      </c>
      <c r="I580" t="s">
        <v>17</v>
      </c>
      <c r="J580" t="s">
        <v>22</v>
      </c>
      <c r="K580" t="str">
        <f t="shared" si="9"/>
        <v>High</v>
      </c>
    </row>
    <row r="581" spans="1:11" ht="15" customHeight="1" x14ac:dyDescent="0.25">
      <c r="A581" t="s">
        <v>597</v>
      </c>
      <c r="B581">
        <v>43</v>
      </c>
      <c r="C581">
        <v>2</v>
      </c>
      <c r="D581" t="s">
        <v>16</v>
      </c>
      <c r="E581" s="3">
        <v>528</v>
      </c>
      <c r="F581">
        <v>2</v>
      </c>
      <c r="G581">
        <v>29</v>
      </c>
      <c r="H581">
        <v>2.2000000000000002</v>
      </c>
      <c r="I581" t="s">
        <v>13</v>
      </c>
      <c r="J581" t="s">
        <v>22</v>
      </c>
      <c r="K581" t="str">
        <f t="shared" si="9"/>
        <v>High</v>
      </c>
    </row>
    <row r="582" spans="1:11" ht="15" customHeight="1" x14ac:dyDescent="0.25">
      <c r="A582" t="s">
        <v>598</v>
      </c>
      <c r="B582">
        <v>27</v>
      </c>
      <c r="C582">
        <v>4</v>
      </c>
      <c r="D582" t="s">
        <v>16</v>
      </c>
      <c r="E582" s="3">
        <v>481</v>
      </c>
      <c r="F582">
        <v>1</v>
      </c>
      <c r="G582">
        <v>29</v>
      </c>
      <c r="H582">
        <v>1</v>
      </c>
      <c r="I582" t="s">
        <v>17</v>
      </c>
      <c r="J582" t="s">
        <v>14</v>
      </c>
      <c r="K582" t="str">
        <f t="shared" si="9"/>
        <v>Medium</v>
      </c>
    </row>
    <row r="583" spans="1:11" ht="15" customHeight="1" x14ac:dyDescent="0.25">
      <c r="A583" t="s">
        <v>599</v>
      </c>
      <c r="B583">
        <v>21</v>
      </c>
      <c r="C583">
        <v>22</v>
      </c>
      <c r="D583" t="s">
        <v>26</v>
      </c>
      <c r="E583" s="3">
        <v>1050</v>
      </c>
      <c r="F583">
        <v>5</v>
      </c>
      <c r="G583">
        <v>18</v>
      </c>
      <c r="H583">
        <v>2.8</v>
      </c>
      <c r="I583" t="s">
        <v>17</v>
      </c>
      <c r="J583" t="s">
        <v>14</v>
      </c>
      <c r="K583" t="str">
        <f t="shared" si="9"/>
        <v>Medium</v>
      </c>
    </row>
    <row r="584" spans="1:11" ht="15" customHeight="1" x14ac:dyDescent="0.25">
      <c r="A584" t="s">
        <v>600</v>
      </c>
      <c r="B584">
        <v>46</v>
      </c>
      <c r="C584">
        <v>54</v>
      </c>
      <c r="D584" t="s">
        <v>16</v>
      </c>
      <c r="E584" s="3">
        <v>483</v>
      </c>
      <c r="F584">
        <v>8</v>
      </c>
      <c r="G584">
        <v>6</v>
      </c>
      <c r="H584">
        <v>3.5</v>
      </c>
      <c r="I584" t="s">
        <v>17</v>
      </c>
      <c r="J584" t="s">
        <v>22</v>
      </c>
      <c r="K584" t="str">
        <f t="shared" si="9"/>
        <v>High</v>
      </c>
    </row>
    <row r="585" spans="1:11" ht="15" customHeight="1" x14ac:dyDescent="0.25">
      <c r="A585" t="s">
        <v>601</v>
      </c>
      <c r="B585">
        <v>32</v>
      </c>
      <c r="C585">
        <v>45</v>
      </c>
      <c r="D585" t="s">
        <v>16</v>
      </c>
      <c r="E585" s="3">
        <v>451</v>
      </c>
      <c r="F585">
        <v>4</v>
      </c>
      <c r="G585">
        <v>19</v>
      </c>
      <c r="H585">
        <v>3.1</v>
      </c>
      <c r="I585" t="s">
        <v>17</v>
      </c>
      <c r="J585" t="s">
        <v>14</v>
      </c>
      <c r="K585" t="str">
        <f t="shared" si="9"/>
        <v>Low</v>
      </c>
    </row>
    <row r="586" spans="1:11" ht="15" customHeight="1" x14ac:dyDescent="0.25">
      <c r="A586" t="s">
        <v>602</v>
      </c>
      <c r="B586">
        <v>56</v>
      </c>
      <c r="C586">
        <v>54</v>
      </c>
      <c r="D586" t="s">
        <v>16</v>
      </c>
      <c r="E586" s="3">
        <v>687</v>
      </c>
      <c r="F586">
        <v>1</v>
      </c>
      <c r="G586">
        <v>4</v>
      </c>
      <c r="H586">
        <v>3.7</v>
      </c>
      <c r="I586" t="s">
        <v>17</v>
      </c>
      <c r="J586" t="s">
        <v>14</v>
      </c>
      <c r="K586" t="str">
        <f t="shared" si="9"/>
        <v>Low</v>
      </c>
    </row>
    <row r="587" spans="1:11" ht="15" customHeight="1" x14ac:dyDescent="0.25">
      <c r="A587" t="s">
        <v>603</v>
      </c>
      <c r="B587">
        <v>21</v>
      </c>
      <c r="C587">
        <v>50</v>
      </c>
      <c r="D587" t="s">
        <v>12</v>
      </c>
      <c r="E587" s="3">
        <v>252</v>
      </c>
      <c r="F587">
        <v>5</v>
      </c>
      <c r="G587">
        <v>16</v>
      </c>
      <c r="H587">
        <v>3.8</v>
      </c>
      <c r="I587" t="s">
        <v>17</v>
      </c>
      <c r="J587" t="s">
        <v>14</v>
      </c>
      <c r="K587" t="str">
        <f t="shared" si="9"/>
        <v>Medium</v>
      </c>
    </row>
    <row r="588" spans="1:11" ht="15" customHeight="1" x14ac:dyDescent="0.25">
      <c r="A588" t="s">
        <v>604</v>
      </c>
      <c r="B588">
        <v>35</v>
      </c>
      <c r="C588">
        <v>20</v>
      </c>
      <c r="D588" t="s">
        <v>26</v>
      </c>
      <c r="E588" s="3">
        <v>1132</v>
      </c>
      <c r="F588">
        <v>2</v>
      </c>
      <c r="G588">
        <v>11</v>
      </c>
      <c r="H588">
        <v>4.8</v>
      </c>
      <c r="I588" t="s">
        <v>17</v>
      </c>
      <c r="J588" t="s">
        <v>22</v>
      </c>
      <c r="K588" t="str">
        <f t="shared" si="9"/>
        <v>High</v>
      </c>
    </row>
    <row r="589" spans="1:11" ht="15" customHeight="1" x14ac:dyDescent="0.25">
      <c r="A589" t="s">
        <v>605</v>
      </c>
      <c r="B589">
        <v>40</v>
      </c>
      <c r="C589">
        <v>27</v>
      </c>
      <c r="D589" t="s">
        <v>12</v>
      </c>
      <c r="E589" s="3">
        <v>298</v>
      </c>
      <c r="F589">
        <v>2</v>
      </c>
      <c r="G589">
        <v>11</v>
      </c>
      <c r="H589">
        <v>4</v>
      </c>
      <c r="I589" t="s">
        <v>17</v>
      </c>
      <c r="J589" t="s">
        <v>14</v>
      </c>
      <c r="K589" t="str">
        <f t="shared" si="9"/>
        <v>Low</v>
      </c>
    </row>
    <row r="590" spans="1:11" ht="15" customHeight="1" x14ac:dyDescent="0.25">
      <c r="A590" t="s">
        <v>606</v>
      </c>
      <c r="B590">
        <v>25</v>
      </c>
      <c r="C590">
        <v>32</v>
      </c>
      <c r="D590" t="s">
        <v>16</v>
      </c>
      <c r="E590" s="3">
        <v>628</v>
      </c>
      <c r="F590">
        <v>8</v>
      </c>
      <c r="G590">
        <v>16</v>
      </c>
      <c r="H590">
        <v>4.2</v>
      </c>
      <c r="I590" t="s">
        <v>17</v>
      </c>
      <c r="J590" t="s">
        <v>14</v>
      </c>
      <c r="K590" t="str">
        <f t="shared" si="9"/>
        <v>Medium</v>
      </c>
    </row>
    <row r="591" spans="1:11" ht="15" customHeight="1" x14ac:dyDescent="0.25">
      <c r="A591" t="s">
        <v>607</v>
      </c>
      <c r="B591">
        <v>57</v>
      </c>
      <c r="C591">
        <v>25</v>
      </c>
      <c r="D591" t="s">
        <v>12</v>
      </c>
      <c r="E591" s="3">
        <v>395</v>
      </c>
      <c r="F591">
        <v>6</v>
      </c>
      <c r="G591">
        <v>13</v>
      </c>
      <c r="H591">
        <v>2.2999999999999998</v>
      </c>
      <c r="I591" t="s">
        <v>17</v>
      </c>
      <c r="J591" t="s">
        <v>14</v>
      </c>
      <c r="K591" t="str">
        <f t="shared" si="9"/>
        <v>Medium</v>
      </c>
    </row>
    <row r="592" spans="1:11" ht="15" customHeight="1" x14ac:dyDescent="0.25">
      <c r="A592" t="s">
        <v>608</v>
      </c>
      <c r="B592">
        <v>38</v>
      </c>
      <c r="C592">
        <v>14</v>
      </c>
      <c r="D592" t="s">
        <v>12</v>
      </c>
      <c r="E592" s="3">
        <v>378</v>
      </c>
      <c r="F592">
        <v>4</v>
      </c>
      <c r="G592">
        <v>4</v>
      </c>
      <c r="H592">
        <v>2.9</v>
      </c>
      <c r="I592" t="s">
        <v>17</v>
      </c>
      <c r="J592" t="s">
        <v>22</v>
      </c>
      <c r="K592" t="str">
        <f t="shared" si="9"/>
        <v>High</v>
      </c>
    </row>
    <row r="593" spans="1:11" ht="15" customHeight="1" x14ac:dyDescent="0.25">
      <c r="A593" t="s">
        <v>609</v>
      </c>
      <c r="B593">
        <v>27</v>
      </c>
      <c r="C593">
        <v>34</v>
      </c>
      <c r="D593" t="s">
        <v>16</v>
      </c>
      <c r="E593" s="3">
        <v>693</v>
      </c>
      <c r="F593">
        <v>7</v>
      </c>
      <c r="G593">
        <v>20</v>
      </c>
      <c r="H593">
        <v>3.4</v>
      </c>
      <c r="I593" t="s">
        <v>17</v>
      </c>
      <c r="J593" t="s">
        <v>14</v>
      </c>
      <c r="K593" t="str">
        <f t="shared" si="9"/>
        <v>Medium</v>
      </c>
    </row>
    <row r="594" spans="1:11" ht="15" customHeight="1" x14ac:dyDescent="0.25">
      <c r="A594" t="s">
        <v>610</v>
      </c>
      <c r="B594">
        <v>62</v>
      </c>
      <c r="C594">
        <v>38</v>
      </c>
      <c r="D594" t="s">
        <v>26</v>
      </c>
      <c r="E594" s="3">
        <v>1072</v>
      </c>
      <c r="F594">
        <v>5</v>
      </c>
      <c r="G594">
        <v>29</v>
      </c>
      <c r="H594">
        <v>3.9</v>
      </c>
      <c r="I594" t="s">
        <v>17</v>
      </c>
      <c r="J594" t="s">
        <v>14</v>
      </c>
      <c r="K594" t="str">
        <f t="shared" si="9"/>
        <v>Medium</v>
      </c>
    </row>
    <row r="595" spans="1:11" ht="15" customHeight="1" x14ac:dyDescent="0.25">
      <c r="A595" t="s">
        <v>611</v>
      </c>
      <c r="B595">
        <v>26</v>
      </c>
      <c r="C595">
        <v>12</v>
      </c>
      <c r="D595" t="s">
        <v>26</v>
      </c>
      <c r="E595" s="3">
        <v>989</v>
      </c>
      <c r="F595">
        <v>8</v>
      </c>
      <c r="G595">
        <v>7</v>
      </c>
      <c r="H595">
        <v>3.2</v>
      </c>
      <c r="I595" t="s">
        <v>13</v>
      </c>
      <c r="J595" t="s">
        <v>14</v>
      </c>
      <c r="K595" t="str">
        <f t="shared" si="9"/>
        <v>Medium</v>
      </c>
    </row>
    <row r="596" spans="1:11" ht="15" customHeight="1" x14ac:dyDescent="0.25">
      <c r="A596" t="s">
        <v>612</v>
      </c>
      <c r="B596">
        <v>59</v>
      </c>
      <c r="C596">
        <v>30</v>
      </c>
      <c r="D596" t="s">
        <v>16</v>
      </c>
      <c r="E596" s="3">
        <v>672</v>
      </c>
      <c r="F596">
        <v>6</v>
      </c>
      <c r="G596">
        <v>17</v>
      </c>
      <c r="H596">
        <v>3.8</v>
      </c>
      <c r="I596" t="s">
        <v>17</v>
      </c>
      <c r="J596" t="s">
        <v>14</v>
      </c>
      <c r="K596" t="str">
        <f t="shared" si="9"/>
        <v>Medium</v>
      </c>
    </row>
    <row r="597" spans="1:11" ht="15" customHeight="1" x14ac:dyDescent="0.25">
      <c r="A597" t="s">
        <v>613</v>
      </c>
      <c r="B597">
        <v>63</v>
      </c>
      <c r="C597">
        <v>26</v>
      </c>
      <c r="D597" t="s">
        <v>12</v>
      </c>
      <c r="E597" s="3">
        <v>309</v>
      </c>
      <c r="F597">
        <v>6</v>
      </c>
      <c r="G597">
        <v>15</v>
      </c>
      <c r="H597">
        <v>2.9</v>
      </c>
      <c r="I597" t="s">
        <v>13</v>
      </c>
      <c r="J597" t="s">
        <v>14</v>
      </c>
      <c r="K597" t="str">
        <f t="shared" si="9"/>
        <v>Medium</v>
      </c>
    </row>
    <row r="598" spans="1:11" ht="15" customHeight="1" x14ac:dyDescent="0.25">
      <c r="A598" t="s">
        <v>614</v>
      </c>
      <c r="B598">
        <v>45</v>
      </c>
      <c r="C598">
        <v>38</v>
      </c>
      <c r="D598" t="s">
        <v>12</v>
      </c>
      <c r="E598" s="3">
        <v>381</v>
      </c>
      <c r="F598">
        <v>8</v>
      </c>
      <c r="G598">
        <v>8</v>
      </c>
      <c r="H598">
        <v>4.5999999999999996</v>
      </c>
      <c r="I598" t="s">
        <v>17</v>
      </c>
      <c r="J598" t="s">
        <v>14</v>
      </c>
      <c r="K598" t="str">
        <f t="shared" si="9"/>
        <v>Medium</v>
      </c>
    </row>
    <row r="599" spans="1:11" ht="15" customHeight="1" x14ac:dyDescent="0.25">
      <c r="A599" t="s">
        <v>615</v>
      </c>
      <c r="B599">
        <v>23</v>
      </c>
      <c r="C599">
        <v>6</v>
      </c>
      <c r="D599" t="s">
        <v>12</v>
      </c>
      <c r="E599" s="3">
        <v>446</v>
      </c>
      <c r="F599">
        <v>5</v>
      </c>
      <c r="G599">
        <v>16</v>
      </c>
      <c r="H599">
        <v>3.2</v>
      </c>
      <c r="I599" t="s">
        <v>17</v>
      </c>
      <c r="J599" t="s">
        <v>14</v>
      </c>
      <c r="K599" t="str">
        <f t="shared" si="9"/>
        <v>Medium</v>
      </c>
    </row>
    <row r="600" spans="1:11" ht="15" customHeight="1" x14ac:dyDescent="0.25">
      <c r="A600" t="s">
        <v>616</v>
      </c>
      <c r="B600">
        <v>62</v>
      </c>
      <c r="C600">
        <v>10</v>
      </c>
      <c r="D600" t="s">
        <v>12</v>
      </c>
      <c r="E600" s="3">
        <v>294</v>
      </c>
      <c r="F600">
        <v>1</v>
      </c>
      <c r="G600">
        <v>7</v>
      </c>
      <c r="H600">
        <v>3.6</v>
      </c>
      <c r="I600" t="s">
        <v>17</v>
      </c>
      <c r="J600" t="s">
        <v>22</v>
      </c>
      <c r="K600" t="str">
        <f t="shared" si="9"/>
        <v>High</v>
      </c>
    </row>
    <row r="601" spans="1:11" ht="15" customHeight="1" x14ac:dyDescent="0.25">
      <c r="A601" t="s">
        <v>617</v>
      </c>
      <c r="B601">
        <v>63</v>
      </c>
      <c r="C601">
        <v>36</v>
      </c>
      <c r="D601" t="s">
        <v>26</v>
      </c>
      <c r="E601" s="3">
        <v>994</v>
      </c>
      <c r="F601">
        <v>2</v>
      </c>
      <c r="G601">
        <v>13</v>
      </c>
      <c r="H601">
        <v>4.0999999999999996</v>
      </c>
      <c r="I601" t="s">
        <v>17</v>
      </c>
      <c r="J601" t="s">
        <v>14</v>
      </c>
      <c r="K601" t="str">
        <f t="shared" si="9"/>
        <v>Low</v>
      </c>
    </row>
    <row r="602" spans="1:11" ht="15" customHeight="1" x14ac:dyDescent="0.25">
      <c r="A602" t="s">
        <v>618</v>
      </c>
      <c r="B602">
        <v>45</v>
      </c>
      <c r="C602">
        <v>45</v>
      </c>
      <c r="D602" t="s">
        <v>12</v>
      </c>
      <c r="E602" s="3">
        <v>370</v>
      </c>
      <c r="F602">
        <v>7</v>
      </c>
      <c r="G602">
        <v>24</v>
      </c>
      <c r="H602">
        <v>3.6</v>
      </c>
      <c r="I602" t="s">
        <v>17</v>
      </c>
      <c r="J602" t="s">
        <v>22</v>
      </c>
      <c r="K602" t="str">
        <f t="shared" si="9"/>
        <v>High</v>
      </c>
    </row>
    <row r="603" spans="1:11" ht="15" customHeight="1" x14ac:dyDescent="0.25">
      <c r="A603" t="s">
        <v>619</v>
      </c>
      <c r="B603">
        <v>28</v>
      </c>
      <c r="C603">
        <v>26</v>
      </c>
      <c r="D603" t="s">
        <v>16</v>
      </c>
      <c r="E603" s="3">
        <v>667</v>
      </c>
      <c r="F603">
        <v>6</v>
      </c>
      <c r="G603">
        <v>19</v>
      </c>
      <c r="H603">
        <v>5</v>
      </c>
      <c r="I603" t="s">
        <v>17</v>
      </c>
      <c r="J603" t="s">
        <v>14</v>
      </c>
      <c r="K603" t="str">
        <f t="shared" si="9"/>
        <v>Medium</v>
      </c>
    </row>
    <row r="604" spans="1:11" ht="15" customHeight="1" x14ac:dyDescent="0.25">
      <c r="A604" t="s">
        <v>620</v>
      </c>
      <c r="B604">
        <v>57</v>
      </c>
      <c r="C604">
        <v>2</v>
      </c>
      <c r="D604" t="s">
        <v>12</v>
      </c>
      <c r="E604" s="3">
        <v>405</v>
      </c>
      <c r="F604">
        <v>3</v>
      </c>
      <c r="G604">
        <v>13</v>
      </c>
      <c r="H604">
        <v>2.8</v>
      </c>
      <c r="I604" t="s">
        <v>17</v>
      </c>
      <c r="J604" t="s">
        <v>14</v>
      </c>
      <c r="K604" t="str">
        <f t="shared" si="9"/>
        <v>Medium</v>
      </c>
    </row>
    <row r="605" spans="1:11" ht="15" customHeight="1" x14ac:dyDescent="0.25">
      <c r="A605" t="s">
        <v>621</v>
      </c>
      <c r="B605">
        <v>45</v>
      </c>
      <c r="C605">
        <v>59</v>
      </c>
      <c r="D605" t="s">
        <v>12</v>
      </c>
      <c r="E605" s="3">
        <v>308</v>
      </c>
      <c r="F605">
        <v>3</v>
      </c>
      <c r="G605">
        <v>3</v>
      </c>
      <c r="H605">
        <v>4.3</v>
      </c>
      <c r="I605" t="s">
        <v>17</v>
      </c>
      <c r="J605" t="s">
        <v>14</v>
      </c>
      <c r="K605" t="str">
        <f t="shared" si="9"/>
        <v>Low</v>
      </c>
    </row>
    <row r="606" spans="1:11" ht="15" customHeight="1" x14ac:dyDescent="0.25">
      <c r="A606" t="s">
        <v>622</v>
      </c>
      <c r="B606">
        <v>41</v>
      </c>
      <c r="C606">
        <v>25</v>
      </c>
      <c r="D606" t="s">
        <v>16</v>
      </c>
      <c r="E606" s="3">
        <v>527</v>
      </c>
      <c r="F606">
        <v>4</v>
      </c>
      <c r="G606">
        <v>14</v>
      </c>
      <c r="H606">
        <v>3</v>
      </c>
      <c r="I606" t="s">
        <v>17</v>
      </c>
      <c r="J606" t="s">
        <v>14</v>
      </c>
      <c r="K606" t="str">
        <f t="shared" si="9"/>
        <v>Low</v>
      </c>
    </row>
    <row r="607" spans="1:11" ht="15" customHeight="1" x14ac:dyDescent="0.25">
      <c r="A607" t="s">
        <v>623</v>
      </c>
      <c r="B607">
        <v>31</v>
      </c>
      <c r="C607">
        <v>11</v>
      </c>
      <c r="D607" t="s">
        <v>16</v>
      </c>
      <c r="E607" s="3">
        <v>504</v>
      </c>
      <c r="F607">
        <v>1</v>
      </c>
      <c r="G607">
        <v>13</v>
      </c>
      <c r="H607">
        <v>2.6</v>
      </c>
      <c r="I607" t="s">
        <v>13</v>
      </c>
      <c r="J607" t="s">
        <v>22</v>
      </c>
      <c r="K607" t="str">
        <f t="shared" si="9"/>
        <v>High</v>
      </c>
    </row>
    <row r="608" spans="1:11" ht="15" customHeight="1" x14ac:dyDescent="0.25">
      <c r="A608" t="s">
        <v>624</v>
      </c>
      <c r="B608">
        <v>45</v>
      </c>
      <c r="C608">
        <v>52</v>
      </c>
      <c r="D608" t="s">
        <v>26</v>
      </c>
      <c r="E608" s="3">
        <v>815</v>
      </c>
      <c r="F608">
        <v>8</v>
      </c>
      <c r="G608">
        <v>14</v>
      </c>
      <c r="H608">
        <v>3.4</v>
      </c>
      <c r="I608" t="s">
        <v>13</v>
      </c>
      <c r="J608" t="s">
        <v>14</v>
      </c>
      <c r="K608" t="str">
        <f t="shared" si="9"/>
        <v>Medium</v>
      </c>
    </row>
    <row r="609" spans="1:11" ht="15" customHeight="1" x14ac:dyDescent="0.25">
      <c r="A609" t="s">
        <v>625</v>
      </c>
      <c r="B609">
        <v>47</v>
      </c>
      <c r="C609">
        <v>50</v>
      </c>
      <c r="D609" t="s">
        <v>12</v>
      </c>
      <c r="E609" s="3">
        <v>358</v>
      </c>
      <c r="F609">
        <v>1</v>
      </c>
      <c r="G609">
        <v>21</v>
      </c>
      <c r="H609">
        <v>3.4</v>
      </c>
      <c r="I609" t="s">
        <v>13</v>
      </c>
      <c r="J609" t="s">
        <v>14</v>
      </c>
      <c r="K609" t="str">
        <f t="shared" si="9"/>
        <v>Low</v>
      </c>
    </row>
    <row r="610" spans="1:11" ht="15" customHeight="1" x14ac:dyDescent="0.25">
      <c r="A610" t="s">
        <v>626</v>
      </c>
      <c r="B610">
        <v>52</v>
      </c>
      <c r="C610">
        <v>24</v>
      </c>
      <c r="D610" t="s">
        <v>16</v>
      </c>
      <c r="E610" s="3">
        <v>621</v>
      </c>
      <c r="F610">
        <v>8</v>
      </c>
      <c r="G610">
        <v>13</v>
      </c>
      <c r="H610">
        <v>3.9</v>
      </c>
      <c r="I610" t="s">
        <v>17</v>
      </c>
      <c r="J610" t="s">
        <v>14</v>
      </c>
      <c r="K610" t="str">
        <f t="shared" si="9"/>
        <v>Medium</v>
      </c>
    </row>
    <row r="611" spans="1:11" ht="15" customHeight="1" x14ac:dyDescent="0.25">
      <c r="A611" t="s">
        <v>627</v>
      </c>
      <c r="B611">
        <v>63</v>
      </c>
      <c r="C611">
        <v>6</v>
      </c>
      <c r="D611" t="s">
        <v>12</v>
      </c>
      <c r="E611" s="3">
        <v>336</v>
      </c>
      <c r="F611">
        <v>8</v>
      </c>
      <c r="G611">
        <v>28</v>
      </c>
      <c r="H611">
        <v>3.9</v>
      </c>
      <c r="I611" t="s">
        <v>17</v>
      </c>
      <c r="J611" t="s">
        <v>14</v>
      </c>
      <c r="K611" t="str">
        <f t="shared" si="9"/>
        <v>Medium</v>
      </c>
    </row>
    <row r="612" spans="1:11" ht="15" customHeight="1" x14ac:dyDescent="0.25">
      <c r="A612" t="s">
        <v>628</v>
      </c>
      <c r="B612">
        <v>47</v>
      </c>
      <c r="C612">
        <v>4</v>
      </c>
      <c r="D612" t="s">
        <v>16</v>
      </c>
      <c r="E612" s="3">
        <v>512</v>
      </c>
      <c r="F612">
        <v>7</v>
      </c>
      <c r="G612">
        <v>16</v>
      </c>
      <c r="H612">
        <v>2.2000000000000002</v>
      </c>
      <c r="I612" t="s">
        <v>13</v>
      </c>
      <c r="J612" t="s">
        <v>22</v>
      </c>
      <c r="K612" t="str">
        <f t="shared" si="9"/>
        <v>High</v>
      </c>
    </row>
    <row r="613" spans="1:11" ht="15" customHeight="1" x14ac:dyDescent="0.25">
      <c r="A613" t="s">
        <v>629</v>
      </c>
      <c r="B613">
        <v>41</v>
      </c>
      <c r="C613">
        <v>44</v>
      </c>
      <c r="D613" t="s">
        <v>12</v>
      </c>
      <c r="E613" s="3">
        <v>256</v>
      </c>
      <c r="F613">
        <v>2</v>
      </c>
      <c r="G613">
        <v>11</v>
      </c>
      <c r="H613">
        <v>4.9000000000000004</v>
      </c>
      <c r="I613" t="s">
        <v>17</v>
      </c>
      <c r="J613" t="s">
        <v>22</v>
      </c>
      <c r="K613" t="str">
        <f t="shared" si="9"/>
        <v>High</v>
      </c>
    </row>
    <row r="614" spans="1:11" ht="15" customHeight="1" x14ac:dyDescent="0.25">
      <c r="A614" t="s">
        <v>630</v>
      </c>
      <c r="B614">
        <v>40</v>
      </c>
      <c r="C614">
        <v>20</v>
      </c>
      <c r="D614" t="s">
        <v>16</v>
      </c>
      <c r="E614" s="3">
        <v>507</v>
      </c>
      <c r="F614">
        <v>0</v>
      </c>
      <c r="G614">
        <v>19</v>
      </c>
      <c r="H614">
        <v>3.5</v>
      </c>
      <c r="I614" t="s">
        <v>17</v>
      </c>
      <c r="J614" t="s">
        <v>22</v>
      </c>
      <c r="K614" t="str">
        <f t="shared" si="9"/>
        <v>High</v>
      </c>
    </row>
    <row r="615" spans="1:11" ht="15" customHeight="1" x14ac:dyDescent="0.25">
      <c r="A615" t="s">
        <v>631</v>
      </c>
      <c r="B615">
        <v>29</v>
      </c>
      <c r="C615">
        <v>41</v>
      </c>
      <c r="D615" t="s">
        <v>16</v>
      </c>
      <c r="E615" s="3">
        <v>626</v>
      </c>
      <c r="F615">
        <v>3</v>
      </c>
      <c r="G615">
        <v>28</v>
      </c>
      <c r="H615">
        <v>2.8</v>
      </c>
      <c r="I615" t="s">
        <v>13</v>
      </c>
      <c r="J615" t="s">
        <v>14</v>
      </c>
      <c r="K615" t="str">
        <f t="shared" si="9"/>
        <v>Medium</v>
      </c>
    </row>
    <row r="616" spans="1:11" ht="15" customHeight="1" x14ac:dyDescent="0.25">
      <c r="A616" t="s">
        <v>632</v>
      </c>
      <c r="B616">
        <v>53</v>
      </c>
      <c r="C616">
        <v>37</v>
      </c>
      <c r="D616" t="s">
        <v>16</v>
      </c>
      <c r="E616" s="3">
        <v>617</v>
      </c>
      <c r="F616">
        <v>0</v>
      </c>
      <c r="G616">
        <v>6</v>
      </c>
      <c r="H616">
        <v>2.4</v>
      </c>
      <c r="I616" t="s">
        <v>13</v>
      </c>
      <c r="J616" t="s">
        <v>22</v>
      </c>
      <c r="K616" t="str">
        <f t="shared" si="9"/>
        <v>High</v>
      </c>
    </row>
    <row r="617" spans="1:11" ht="15" customHeight="1" x14ac:dyDescent="0.25">
      <c r="A617" t="s">
        <v>633</v>
      </c>
      <c r="B617">
        <v>52</v>
      </c>
      <c r="C617">
        <v>47</v>
      </c>
      <c r="D617" t="s">
        <v>12</v>
      </c>
      <c r="E617" s="3">
        <v>413</v>
      </c>
      <c r="F617">
        <v>6</v>
      </c>
      <c r="G617">
        <v>2</v>
      </c>
      <c r="H617">
        <v>2.6</v>
      </c>
      <c r="I617" t="s">
        <v>17</v>
      </c>
      <c r="J617" t="s">
        <v>14</v>
      </c>
      <c r="K617" t="str">
        <f t="shared" si="9"/>
        <v>Medium</v>
      </c>
    </row>
    <row r="618" spans="1:11" ht="15" customHeight="1" x14ac:dyDescent="0.25">
      <c r="A618" t="s">
        <v>634</v>
      </c>
      <c r="B618">
        <v>61</v>
      </c>
      <c r="C618">
        <v>48</v>
      </c>
      <c r="D618" t="s">
        <v>26</v>
      </c>
      <c r="E618" s="3">
        <v>1156</v>
      </c>
      <c r="F618">
        <v>3</v>
      </c>
      <c r="G618">
        <v>20</v>
      </c>
      <c r="H618">
        <v>3.4</v>
      </c>
      <c r="I618" t="s">
        <v>17</v>
      </c>
      <c r="J618" t="s">
        <v>14</v>
      </c>
      <c r="K618" t="str">
        <f t="shared" si="9"/>
        <v>Low</v>
      </c>
    </row>
    <row r="619" spans="1:11" ht="15" customHeight="1" x14ac:dyDescent="0.25">
      <c r="A619" t="s">
        <v>635</v>
      </c>
      <c r="B619">
        <v>35</v>
      </c>
      <c r="C619">
        <v>45</v>
      </c>
      <c r="D619" t="s">
        <v>16</v>
      </c>
      <c r="E619" s="3">
        <v>743</v>
      </c>
      <c r="F619">
        <v>3</v>
      </c>
      <c r="G619">
        <v>26</v>
      </c>
      <c r="H619">
        <v>4.3</v>
      </c>
      <c r="I619" t="s">
        <v>13</v>
      </c>
      <c r="J619" t="s">
        <v>14</v>
      </c>
      <c r="K619" t="str">
        <f t="shared" si="9"/>
        <v>Low</v>
      </c>
    </row>
    <row r="620" spans="1:11" ht="15" customHeight="1" x14ac:dyDescent="0.25">
      <c r="A620" t="s">
        <v>636</v>
      </c>
      <c r="B620">
        <v>64</v>
      </c>
      <c r="C620">
        <v>50</v>
      </c>
      <c r="D620" t="s">
        <v>12</v>
      </c>
      <c r="E620" s="3">
        <v>378</v>
      </c>
      <c r="F620">
        <v>6</v>
      </c>
      <c r="G620">
        <v>7</v>
      </c>
      <c r="H620">
        <v>3.2</v>
      </c>
      <c r="I620" t="s">
        <v>17</v>
      </c>
      <c r="J620" t="s">
        <v>22</v>
      </c>
      <c r="K620" t="str">
        <f t="shared" si="9"/>
        <v>High</v>
      </c>
    </row>
    <row r="621" spans="1:11" ht="15" customHeight="1" x14ac:dyDescent="0.25">
      <c r="A621" t="s">
        <v>637</v>
      </c>
      <c r="B621">
        <v>46</v>
      </c>
      <c r="C621">
        <v>43</v>
      </c>
      <c r="D621" t="s">
        <v>12</v>
      </c>
      <c r="E621" s="3">
        <v>318</v>
      </c>
      <c r="F621">
        <v>5</v>
      </c>
      <c r="G621">
        <v>5</v>
      </c>
      <c r="H621">
        <v>2.9</v>
      </c>
      <c r="I621" t="s">
        <v>17</v>
      </c>
      <c r="J621" t="s">
        <v>22</v>
      </c>
      <c r="K621" t="str">
        <f t="shared" si="9"/>
        <v>High</v>
      </c>
    </row>
    <row r="622" spans="1:11" ht="15" customHeight="1" x14ac:dyDescent="0.25">
      <c r="A622" t="s">
        <v>638</v>
      </c>
      <c r="B622">
        <v>40</v>
      </c>
      <c r="C622">
        <v>15</v>
      </c>
      <c r="D622" t="s">
        <v>12</v>
      </c>
      <c r="E622" s="3">
        <v>323</v>
      </c>
      <c r="F622">
        <v>6</v>
      </c>
      <c r="G622">
        <v>22</v>
      </c>
      <c r="H622">
        <v>2.6</v>
      </c>
      <c r="I622" t="s">
        <v>17</v>
      </c>
      <c r="J622" t="s">
        <v>14</v>
      </c>
      <c r="K622" t="str">
        <f t="shared" si="9"/>
        <v>Medium</v>
      </c>
    </row>
    <row r="623" spans="1:11" ht="15" customHeight="1" x14ac:dyDescent="0.25">
      <c r="A623" t="s">
        <v>639</v>
      </c>
      <c r="B623">
        <v>41</v>
      </c>
      <c r="C623">
        <v>22</v>
      </c>
      <c r="D623" t="s">
        <v>12</v>
      </c>
      <c r="E623" s="3">
        <v>363</v>
      </c>
      <c r="F623">
        <v>7</v>
      </c>
      <c r="G623">
        <v>8</v>
      </c>
      <c r="H623">
        <v>2.9</v>
      </c>
      <c r="I623" t="s">
        <v>17</v>
      </c>
      <c r="J623" t="s">
        <v>22</v>
      </c>
      <c r="K623" t="str">
        <f t="shared" si="9"/>
        <v>High</v>
      </c>
    </row>
    <row r="624" spans="1:11" ht="15" customHeight="1" x14ac:dyDescent="0.25">
      <c r="A624" t="s">
        <v>640</v>
      </c>
      <c r="B624">
        <v>44</v>
      </c>
      <c r="C624">
        <v>17</v>
      </c>
      <c r="D624" t="s">
        <v>16</v>
      </c>
      <c r="E624" s="3">
        <v>742</v>
      </c>
      <c r="F624">
        <v>7</v>
      </c>
      <c r="G624">
        <v>19</v>
      </c>
      <c r="H624">
        <v>3.9</v>
      </c>
      <c r="I624" t="s">
        <v>13</v>
      </c>
      <c r="J624" t="s">
        <v>14</v>
      </c>
      <c r="K624" t="str">
        <f t="shared" si="9"/>
        <v>Medium</v>
      </c>
    </row>
    <row r="625" spans="1:11" ht="15" customHeight="1" x14ac:dyDescent="0.25">
      <c r="A625" t="s">
        <v>641</v>
      </c>
      <c r="B625">
        <v>39</v>
      </c>
      <c r="C625">
        <v>19</v>
      </c>
      <c r="D625" t="s">
        <v>16</v>
      </c>
      <c r="E625" s="3">
        <v>689</v>
      </c>
      <c r="F625">
        <v>2</v>
      </c>
      <c r="G625">
        <v>21</v>
      </c>
      <c r="H625">
        <v>3.5</v>
      </c>
      <c r="I625" t="s">
        <v>17</v>
      </c>
      <c r="J625" t="s">
        <v>14</v>
      </c>
      <c r="K625" t="str">
        <f t="shared" si="9"/>
        <v>Low</v>
      </c>
    </row>
    <row r="626" spans="1:11" ht="15" customHeight="1" x14ac:dyDescent="0.25">
      <c r="A626" t="s">
        <v>642</v>
      </c>
      <c r="B626">
        <v>56</v>
      </c>
      <c r="C626">
        <v>28</v>
      </c>
      <c r="D626" t="s">
        <v>16</v>
      </c>
      <c r="E626" s="3">
        <v>461</v>
      </c>
      <c r="F626">
        <v>4</v>
      </c>
      <c r="G626">
        <v>19</v>
      </c>
      <c r="H626">
        <v>3.4</v>
      </c>
      <c r="I626" t="s">
        <v>17</v>
      </c>
      <c r="J626" t="s">
        <v>14</v>
      </c>
      <c r="K626" t="str">
        <f t="shared" si="9"/>
        <v>Low</v>
      </c>
    </row>
    <row r="627" spans="1:11" ht="15" customHeight="1" x14ac:dyDescent="0.25">
      <c r="A627" t="s">
        <v>643</v>
      </c>
      <c r="B627">
        <v>44</v>
      </c>
      <c r="C627">
        <v>39</v>
      </c>
      <c r="D627" t="s">
        <v>26</v>
      </c>
      <c r="E627" s="3">
        <v>952</v>
      </c>
      <c r="F627">
        <v>3</v>
      </c>
      <c r="G627">
        <v>8</v>
      </c>
      <c r="H627">
        <v>1</v>
      </c>
      <c r="I627" t="s">
        <v>13</v>
      </c>
      <c r="J627" t="s">
        <v>14</v>
      </c>
      <c r="K627" t="str">
        <f t="shared" si="9"/>
        <v>Medium</v>
      </c>
    </row>
    <row r="628" spans="1:11" ht="15" customHeight="1" x14ac:dyDescent="0.25">
      <c r="A628" t="s">
        <v>644</v>
      </c>
      <c r="B628">
        <v>31</v>
      </c>
      <c r="C628">
        <v>56</v>
      </c>
      <c r="D628" t="s">
        <v>12</v>
      </c>
      <c r="E628" s="3">
        <v>449</v>
      </c>
      <c r="F628">
        <v>6</v>
      </c>
      <c r="G628">
        <v>13</v>
      </c>
      <c r="H628">
        <v>3.5</v>
      </c>
      <c r="I628" t="s">
        <v>17</v>
      </c>
      <c r="J628" t="s">
        <v>22</v>
      </c>
      <c r="K628" t="str">
        <f t="shared" si="9"/>
        <v>High</v>
      </c>
    </row>
    <row r="629" spans="1:11" ht="15" customHeight="1" x14ac:dyDescent="0.25">
      <c r="A629" t="s">
        <v>645</v>
      </c>
      <c r="B629">
        <v>43</v>
      </c>
      <c r="C629">
        <v>41</v>
      </c>
      <c r="D629" t="s">
        <v>12</v>
      </c>
      <c r="E629" s="3">
        <v>425</v>
      </c>
      <c r="F629">
        <v>8</v>
      </c>
      <c r="G629">
        <v>19</v>
      </c>
      <c r="H629">
        <v>2.6</v>
      </c>
      <c r="I629" t="s">
        <v>17</v>
      </c>
      <c r="J629" t="s">
        <v>14</v>
      </c>
      <c r="K629" t="str">
        <f t="shared" si="9"/>
        <v>Medium</v>
      </c>
    </row>
    <row r="630" spans="1:11" ht="15" customHeight="1" x14ac:dyDescent="0.25">
      <c r="A630" t="s">
        <v>646</v>
      </c>
      <c r="B630">
        <v>51</v>
      </c>
      <c r="C630">
        <v>49</v>
      </c>
      <c r="D630" t="s">
        <v>16</v>
      </c>
      <c r="E630" s="3">
        <v>530</v>
      </c>
      <c r="F630">
        <v>2</v>
      </c>
      <c r="G630">
        <v>14</v>
      </c>
      <c r="H630">
        <v>3.2</v>
      </c>
      <c r="I630" t="s">
        <v>17</v>
      </c>
      <c r="J630" t="s">
        <v>14</v>
      </c>
      <c r="K630" t="str">
        <f t="shared" si="9"/>
        <v>Low</v>
      </c>
    </row>
    <row r="631" spans="1:11" ht="15" customHeight="1" x14ac:dyDescent="0.25">
      <c r="A631" t="s">
        <v>647</v>
      </c>
      <c r="B631">
        <v>31</v>
      </c>
      <c r="C631">
        <v>44</v>
      </c>
      <c r="D631" t="s">
        <v>26</v>
      </c>
      <c r="E631" s="3">
        <v>1084</v>
      </c>
      <c r="F631">
        <v>6</v>
      </c>
      <c r="G631">
        <v>15</v>
      </c>
      <c r="H631">
        <v>4.5999999999999996</v>
      </c>
      <c r="I631" t="s">
        <v>17</v>
      </c>
      <c r="J631" t="s">
        <v>14</v>
      </c>
      <c r="K631" t="str">
        <f t="shared" si="9"/>
        <v>Medium</v>
      </c>
    </row>
    <row r="632" spans="1:11" ht="15" customHeight="1" x14ac:dyDescent="0.25">
      <c r="A632" t="s">
        <v>648</v>
      </c>
      <c r="B632">
        <v>59</v>
      </c>
      <c r="C632">
        <v>15</v>
      </c>
      <c r="D632" t="s">
        <v>12</v>
      </c>
      <c r="E632" s="3">
        <v>408</v>
      </c>
      <c r="F632">
        <v>6</v>
      </c>
      <c r="G632">
        <v>2</v>
      </c>
      <c r="H632">
        <v>3.2</v>
      </c>
      <c r="I632" t="s">
        <v>17</v>
      </c>
      <c r="J632" t="s">
        <v>14</v>
      </c>
      <c r="K632" t="str">
        <f t="shared" si="9"/>
        <v>Medium</v>
      </c>
    </row>
    <row r="633" spans="1:11" ht="15" customHeight="1" x14ac:dyDescent="0.25">
      <c r="A633" t="s">
        <v>649</v>
      </c>
      <c r="B633">
        <v>25</v>
      </c>
      <c r="C633">
        <v>24</v>
      </c>
      <c r="D633" t="s">
        <v>12</v>
      </c>
      <c r="E633" s="3">
        <v>403</v>
      </c>
      <c r="F633">
        <v>8</v>
      </c>
      <c r="G633">
        <v>29</v>
      </c>
      <c r="H633">
        <v>4.0999999999999996</v>
      </c>
      <c r="I633" t="s">
        <v>17</v>
      </c>
      <c r="J633" t="s">
        <v>14</v>
      </c>
      <c r="K633" t="str">
        <f t="shared" si="9"/>
        <v>Medium</v>
      </c>
    </row>
    <row r="634" spans="1:11" ht="15" customHeight="1" x14ac:dyDescent="0.25">
      <c r="A634" t="s">
        <v>650</v>
      </c>
      <c r="B634">
        <v>49</v>
      </c>
      <c r="C634">
        <v>24</v>
      </c>
      <c r="D634" t="s">
        <v>16</v>
      </c>
      <c r="E634" s="3">
        <v>539</v>
      </c>
      <c r="F634">
        <v>3</v>
      </c>
      <c r="G634">
        <v>12</v>
      </c>
      <c r="H634">
        <v>3.7</v>
      </c>
      <c r="I634" t="s">
        <v>17</v>
      </c>
      <c r="J634" t="s">
        <v>14</v>
      </c>
      <c r="K634" t="str">
        <f t="shared" si="9"/>
        <v>Low</v>
      </c>
    </row>
    <row r="635" spans="1:11" ht="15" customHeight="1" x14ac:dyDescent="0.25">
      <c r="A635" t="s">
        <v>651</v>
      </c>
      <c r="B635">
        <v>49</v>
      </c>
      <c r="C635">
        <v>16</v>
      </c>
      <c r="D635" t="s">
        <v>16</v>
      </c>
      <c r="E635" s="3">
        <v>573</v>
      </c>
      <c r="F635">
        <v>2</v>
      </c>
      <c r="G635">
        <v>16</v>
      </c>
      <c r="H635">
        <v>3.7</v>
      </c>
      <c r="I635" t="s">
        <v>17</v>
      </c>
      <c r="J635" t="s">
        <v>22</v>
      </c>
      <c r="K635" t="str">
        <f t="shared" si="9"/>
        <v>High</v>
      </c>
    </row>
    <row r="636" spans="1:11" ht="15" customHeight="1" x14ac:dyDescent="0.25">
      <c r="A636" t="s">
        <v>652</v>
      </c>
      <c r="B636">
        <v>58</v>
      </c>
      <c r="C636">
        <v>54</v>
      </c>
      <c r="D636" t="s">
        <v>12</v>
      </c>
      <c r="E636" s="3">
        <v>290</v>
      </c>
      <c r="F636">
        <v>1</v>
      </c>
      <c r="G636">
        <v>2</v>
      </c>
      <c r="H636">
        <v>3.5</v>
      </c>
      <c r="I636" t="s">
        <v>17</v>
      </c>
      <c r="J636" t="s">
        <v>14</v>
      </c>
      <c r="K636" t="str">
        <f t="shared" si="9"/>
        <v>Low</v>
      </c>
    </row>
    <row r="637" spans="1:11" ht="15" customHeight="1" x14ac:dyDescent="0.25">
      <c r="A637" t="s">
        <v>653</v>
      </c>
      <c r="B637">
        <v>50</v>
      </c>
      <c r="C637">
        <v>56</v>
      </c>
      <c r="D637" t="s">
        <v>16</v>
      </c>
      <c r="E637" s="3">
        <v>663</v>
      </c>
      <c r="F637">
        <v>8</v>
      </c>
      <c r="G637">
        <v>5</v>
      </c>
      <c r="H637">
        <v>2.1</v>
      </c>
      <c r="I637" t="s">
        <v>13</v>
      </c>
      <c r="J637" t="s">
        <v>14</v>
      </c>
      <c r="K637" t="str">
        <f t="shared" si="9"/>
        <v>Medium</v>
      </c>
    </row>
    <row r="638" spans="1:11" ht="15" customHeight="1" x14ac:dyDescent="0.25">
      <c r="A638" t="s">
        <v>654</v>
      </c>
      <c r="B638">
        <v>54</v>
      </c>
      <c r="C638">
        <v>46</v>
      </c>
      <c r="D638" t="s">
        <v>12</v>
      </c>
      <c r="E638" s="3">
        <v>373</v>
      </c>
      <c r="F638">
        <v>6</v>
      </c>
      <c r="G638">
        <v>28</v>
      </c>
      <c r="H638">
        <v>4.2</v>
      </c>
      <c r="I638" t="s">
        <v>17</v>
      </c>
      <c r="J638" t="s">
        <v>14</v>
      </c>
      <c r="K638" t="str">
        <f t="shared" si="9"/>
        <v>Medium</v>
      </c>
    </row>
    <row r="639" spans="1:11" ht="15" customHeight="1" x14ac:dyDescent="0.25">
      <c r="A639" t="s">
        <v>655</v>
      </c>
      <c r="B639">
        <v>52</v>
      </c>
      <c r="C639">
        <v>41</v>
      </c>
      <c r="D639" t="s">
        <v>16</v>
      </c>
      <c r="E639" s="3">
        <v>513</v>
      </c>
      <c r="F639">
        <v>2</v>
      </c>
      <c r="G639">
        <v>29</v>
      </c>
      <c r="H639">
        <v>2.1</v>
      </c>
      <c r="I639" t="s">
        <v>17</v>
      </c>
      <c r="J639" t="s">
        <v>14</v>
      </c>
      <c r="K639" t="str">
        <f t="shared" si="9"/>
        <v>Medium</v>
      </c>
    </row>
    <row r="640" spans="1:11" ht="15" customHeight="1" x14ac:dyDescent="0.25">
      <c r="A640" t="s">
        <v>656</v>
      </c>
      <c r="B640">
        <v>27</v>
      </c>
      <c r="C640">
        <v>47</v>
      </c>
      <c r="D640" t="s">
        <v>12</v>
      </c>
      <c r="E640" s="3">
        <v>355</v>
      </c>
      <c r="F640">
        <v>3</v>
      </c>
      <c r="G640">
        <v>27</v>
      </c>
      <c r="H640">
        <v>2.8</v>
      </c>
      <c r="I640" t="s">
        <v>17</v>
      </c>
      <c r="J640" t="s">
        <v>14</v>
      </c>
      <c r="K640" t="str">
        <f t="shared" si="9"/>
        <v>Medium</v>
      </c>
    </row>
    <row r="641" spans="1:11" ht="15" customHeight="1" x14ac:dyDescent="0.25">
      <c r="A641" t="s">
        <v>657</v>
      </c>
      <c r="B641">
        <v>49</v>
      </c>
      <c r="C641">
        <v>58</v>
      </c>
      <c r="D641" t="s">
        <v>16</v>
      </c>
      <c r="E641" s="3">
        <v>575</v>
      </c>
      <c r="F641">
        <v>4</v>
      </c>
      <c r="G641">
        <v>12</v>
      </c>
      <c r="H641">
        <v>3.6</v>
      </c>
      <c r="I641" t="s">
        <v>17</v>
      </c>
      <c r="J641" t="s">
        <v>14</v>
      </c>
      <c r="K641" t="str">
        <f t="shared" si="9"/>
        <v>Low</v>
      </c>
    </row>
    <row r="642" spans="1:11" ht="15" customHeight="1" x14ac:dyDescent="0.25">
      <c r="A642" t="s">
        <v>658</v>
      </c>
      <c r="B642">
        <v>48</v>
      </c>
      <c r="C642">
        <v>45</v>
      </c>
      <c r="D642" t="s">
        <v>12</v>
      </c>
      <c r="E642" s="3">
        <v>320</v>
      </c>
      <c r="F642">
        <v>2</v>
      </c>
      <c r="G642">
        <v>6</v>
      </c>
      <c r="H642">
        <v>3.3</v>
      </c>
      <c r="I642" t="s">
        <v>13</v>
      </c>
      <c r="J642" t="s">
        <v>14</v>
      </c>
      <c r="K642" t="str">
        <f t="shared" ref="K642:K705" si="10">IF(J642="Yes","High",IF(OR(H642&lt;3,F642&gt;=5,C642&lt;12),"Medium","Low"))</f>
        <v>Low</v>
      </c>
    </row>
    <row r="643" spans="1:11" ht="15" customHeight="1" x14ac:dyDescent="0.25">
      <c r="A643" t="s">
        <v>659</v>
      </c>
      <c r="B643">
        <v>65</v>
      </c>
      <c r="C643">
        <v>19</v>
      </c>
      <c r="D643" t="s">
        <v>12</v>
      </c>
      <c r="E643" s="3">
        <v>433</v>
      </c>
      <c r="F643">
        <v>4</v>
      </c>
      <c r="G643">
        <v>17</v>
      </c>
      <c r="H643">
        <v>3.5</v>
      </c>
      <c r="I643" t="s">
        <v>13</v>
      </c>
      <c r="J643" t="s">
        <v>14</v>
      </c>
      <c r="K643" t="str">
        <f t="shared" si="10"/>
        <v>Low</v>
      </c>
    </row>
    <row r="644" spans="1:11" ht="15" customHeight="1" x14ac:dyDescent="0.25">
      <c r="A644" t="s">
        <v>660</v>
      </c>
      <c r="B644">
        <v>29</v>
      </c>
      <c r="C644">
        <v>48</v>
      </c>
      <c r="D644" t="s">
        <v>26</v>
      </c>
      <c r="E644" s="3">
        <v>1061</v>
      </c>
      <c r="F644">
        <v>4</v>
      </c>
      <c r="G644">
        <v>29</v>
      </c>
      <c r="H644">
        <v>2.5</v>
      </c>
      <c r="I644" t="s">
        <v>17</v>
      </c>
      <c r="J644" t="s">
        <v>22</v>
      </c>
      <c r="K644" t="str">
        <f t="shared" si="10"/>
        <v>High</v>
      </c>
    </row>
    <row r="645" spans="1:11" ht="15" customHeight="1" x14ac:dyDescent="0.25">
      <c r="A645" t="s">
        <v>661</v>
      </c>
      <c r="B645">
        <v>39</v>
      </c>
      <c r="C645">
        <v>10</v>
      </c>
      <c r="D645" t="s">
        <v>16</v>
      </c>
      <c r="E645" s="3">
        <v>636</v>
      </c>
      <c r="F645">
        <v>8</v>
      </c>
      <c r="G645">
        <v>25</v>
      </c>
      <c r="H645">
        <v>4.4000000000000004</v>
      </c>
      <c r="I645" t="s">
        <v>13</v>
      </c>
      <c r="J645" t="s">
        <v>14</v>
      </c>
      <c r="K645" t="str">
        <f t="shared" si="10"/>
        <v>Medium</v>
      </c>
    </row>
    <row r="646" spans="1:11" ht="15" customHeight="1" x14ac:dyDescent="0.25">
      <c r="A646" t="s">
        <v>662</v>
      </c>
      <c r="B646">
        <v>50</v>
      </c>
      <c r="C646">
        <v>40</v>
      </c>
      <c r="D646" t="s">
        <v>26</v>
      </c>
      <c r="E646" s="3">
        <v>1050</v>
      </c>
      <c r="F646">
        <v>8</v>
      </c>
      <c r="G646">
        <v>12</v>
      </c>
      <c r="H646">
        <v>2.6</v>
      </c>
      <c r="I646" t="s">
        <v>13</v>
      </c>
      <c r="J646" t="s">
        <v>14</v>
      </c>
      <c r="K646" t="str">
        <f t="shared" si="10"/>
        <v>Medium</v>
      </c>
    </row>
    <row r="647" spans="1:11" ht="15" customHeight="1" x14ac:dyDescent="0.25">
      <c r="A647" t="s">
        <v>663</v>
      </c>
      <c r="B647">
        <v>53</v>
      </c>
      <c r="C647">
        <v>31</v>
      </c>
      <c r="D647" t="s">
        <v>12</v>
      </c>
      <c r="E647" s="3">
        <v>347</v>
      </c>
      <c r="F647">
        <v>1</v>
      </c>
      <c r="G647">
        <v>12</v>
      </c>
      <c r="H647">
        <v>3.4</v>
      </c>
      <c r="I647" t="s">
        <v>17</v>
      </c>
      <c r="J647" t="s">
        <v>22</v>
      </c>
      <c r="K647" t="str">
        <f t="shared" si="10"/>
        <v>High</v>
      </c>
    </row>
    <row r="648" spans="1:11" ht="15" customHeight="1" x14ac:dyDescent="0.25">
      <c r="A648" t="s">
        <v>664</v>
      </c>
      <c r="B648">
        <v>29</v>
      </c>
      <c r="C648">
        <v>18</v>
      </c>
      <c r="D648" t="s">
        <v>16</v>
      </c>
      <c r="E648" s="3">
        <v>511</v>
      </c>
      <c r="F648">
        <v>3</v>
      </c>
      <c r="G648">
        <v>13</v>
      </c>
      <c r="H648">
        <v>2.2999999999999998</v>
      </c>
      <c r="I648" t="s">
        <v>17</v>
      </c>
      <c r="J648" t="s">
        <v>22</v>
      </c>
      <c r="K648" t="str">
        <f t="shared" si="10"/>
        <v>High</v>
      </c>
    </row>
    <row r="649" spans="1:11" ht="15" customHeight="1" x14ac:dyDescent="0.25">
      <c r="A649" t="s">
        <v>665</v>
      </c>
      <c r="B649">
        <v>53</v>
      </c>
      <c r="C649">
        <v>58</v>
      </c>
      <c r="D649" t="s">
        <v>12</v>
      </c>
      <c r="E649" s="3">
        <v>301</v>
      </c>
      <c r="F649">
        <v>0</v>
      </c>
      <c r="G649">
        <v>14</v>
      </c>
      <c r="H649">
        <v>3.5</v>
      </c>
      <c r="I649" t="s">
        <v>17</v>
      </c>
      <c r="J649" t="s">
        <v>14</v>
      </c>
      <c r="K649" t="str">
        <f t="shared" si="10"/>
        <v>Low</v>
      </c>
    </row>
    <row r="650" spans="1:11" ht="15" customHeight="1" x14ac:dyDescent="0.25">
      <c r="A650" t="s">
        <v>666</v>
      </c>
      <c r="B650">
        <v>52</v>
      </c>
      <c r="C650">
        <v>5</v>
      </c>
      <c r="D650" t="s">
        <v>12</v>
      </c>
      <c r="E650" s="3">
        <v>386</v>
      </c>
      <c r="F650">
        <v>1</v>
      </c>
      <c r="G650">
        <v>27</v>
      </c>
      <c r="H650">
        <v>4.5999999999999996</v>
      </c>
      <c r="I650" t="s">
        <v>17</v>
      </c>
      <c r="J650" t="s">
        <v>22</v>
      </c>
      <c r="K650" t="str">
        <f t="shared" si="10"/>
        <v>High</v>
      </c>
    </row>
    <row r="651" spans="1:11" ht="15" customHeight="1" x14ac:dyDescent="0.25">
      <c r="A651" t="s">
        <v>667</v>
      </c>
      <c r="B651">
        <v>31</v>
      </c>
      <c r="C651">
        <v>45</v>
      </c>
      <c r="D651" t="s">
        <v>26</v>
      </c>
      <c r="E651" s="3">
        <v>1103</v>
      </c>
      <c r="F651">
        <v>7</v>
      </c>
      <c r="G651">
        <v>7</v>
      </c>
      <c r="H651">
        <v>3.9</v>
      </c>
      <c r="I651" t="s">
        <v>17</v>
      </c>
      <c r="J651" t="s">
        <v>14</v>
      </c>
      <c r="K651" t="str">
        <f t="shared" si="10"/>
        <v>Medium</v>
      </c>
    </row>
    <row r="652" spans="1:11" ht="15" customHeight="1" x14ac:dyDescent="0.25">
      <c r="A652" t="s">
        <v>668</v>
      </c>
      <c r="B652">
        <v>55</v>
      </c>
      <c r="C652">
        <v>18</v>
      </c>
      <c r="D652" t="s">
        <v>12</v>
      </c>
      <c r="E652" s="3">
        <v>298</v>
      </c>
      <c r="F652">
        <v>8</v>
      </c>
      <c r="G652">
        <v>11</v>
      </c>
      <c r="H652">
        <v>4.0999999999999996</v>
      </c>
      <c r="I652" t="s">
        <v>17</v>
      </c>
      <c r="J652" t="s">
        <v>14</v>
      </c>
      <c r="K652" t="str">
        <f t="shared" si="10"/>
        <v>Medium</v>
      </c>
    </row>
    <row r="653" spans="1:11" ht="15" customHeight="1" x14ac:dyDescent="0.25">
      <c r="A653" t="s">
        <v>669</v>
      </c>
      <c r="B653">
        <v>49</v>
      </c>
      <c r="C653">
        <v>7</v>
      </c>
      <c r="D653" t="s">
        <v>16</v>
      </c>
      <c r="E653" s="3">
        <v>476</v>
      </c>
      <c r="F653">
        <v>1</v>
      </c>
      <c r="G653">
        <v>8</v>
      </c>
      <c r="H653">
        <v>3.7</v>
      </c>
      <c r="I653" t="s">
        <v>17</v>
      </c>
      <c r="J653" t="s">
        <v>14</v>
      </c>
      <c r="K653" t="str">
        <f t="shared" si="10"/>
        <v>Medium</v>
      </c>
    </row>
    <row r="654" spans="1:11" ht="15" customHeight="1" x14ac:dyDescent="0.25">
      <c r="A654" t="s">
        <v>670</v>
      </c>
      <c r="B654">
        <v>50</v>
      </c>
      <c r="C654">
        <v>13</v>
      </c>
      <c r="D654" t="s">
        <v>12</v>
      </c>
      <c r="E654" s="3">
        <v>400</v>
      </c>
      <c r="F654">
        <v>7</v>
      </c>
      <c r="G654">
        <v>11</v>
      </c>
      <c r="H654">
        <v>2.4</v>
      </c>
      <c r="I654" t="s">
        <v>13</v>
      </c>
      <c r="J654" t="s">
        <v>22</v>
      </c>
      <c r="K654" t="str">
        <f t="shared" si="10"/>
        <v>High</v>
      </c>
    </row>
    <row r="655" spans="1:11" ht="15" customHeight="1" x14ac:dyDescent="0.25">
      <c r="A655" t="s">
        <v>671</v>
      </c>
      <c r="B655">
        <v>48</v>
      </c>
      <c r="C655">
        <v>50</v>
      </c>
      <c r="D655" t="s">
        <v>16</v>
      </c>
      <c r="E655" s="3">
        <v>683</v>
      </c>
      <c r="F655">
        <v>4</v>
      </c>
      <c r="G655">
        <v>26</v>
      </c>
      <c r="H655">
        <v>3</v>
      </c>
      <c r="I655" t="s">
        <v>17</v>
      </c>
      <c r="J655" t="s">
        <v>14</v>
      </c>
      <c r="K655" t="str">
        <f t="shared" si="10"/>
        <v>Low</v>
      </c>
    </row>
    <row r="656" spans="1:11" ht="15" customHeight="1" x14ac:dyDescent="0.25">
      <c r="A656" t="s">
        <v>672</v>
      </c>
      <c r="B656">
        <v>60</v>
      </c>
      <c r="C656">
        <v>12</v>
      </c>
      <c r="D656" t="s">
        <v>12</v>
      </c>
      <c r="E656" s="3">
        <v>373</v>
      </c>
      <c r="F656">
        <v>4</v>
      </c>
      <c r="G656">
        <v>10</v>
      </c>
      <c r="H656">
        <v>4</v>
      </c>
      <c r="I656" t="s">
        <v>17</v>
      </c>
      <c r="J656" t="s">
        <v>14</v>
      </c>
      <c r="K656" t="str">
        <f t="shared" si="10"/>
        <v>Low</v>
      </c>
    </row>
    <row r="657" spans="1:11" ht="15" customHeight="1" x14ac:dyDescent="0.25">
      <c r="A657" t="s">
        <v>673</v>
      </c>
      <c r="B657">
        <v>39</v>
      </c>
      <c r="C657">
        <v>41</v>
      </c>
      <c r="D657" t="s">
        <v>16</v>
      </c>
      <c r="E657" s="3">
        <v>543</v>
      </c>
      <c r="F657">
        <v>0</v>
      </c>
      <c r="G657">
        <v>12</v>
      </c>
      <c r="H657">
        <v>3</v>
      </c>
      <c r="I657" t="s">
        <v>13</v>
      </c>
      <c r="J657" t="s">
        <v>14</v>
      </c>
      <c r="K657" t="str">
        <f t="shared" si="10"/>
        <v>Low</v>
      </c>
    </row>
    <row r="658" spans="1:11" ht="15" customHeight="1" x14ac:dyDescent="0.25">
      <c r="A658" t="s">
        <v>674</v>
      </c>
      <c r="B658">
        <v>51</v>
      </c>
      <c r="C658">
        <v>11</v>
      </c>
      <c r="D658" t="s">
        <v>12</v>
      </c>
      <c r="E658" s="3">
        <v>444</v>
      </c>
      <c r="F658">
        <v>4</v>
      </c>
      <c r="G658">
        <v>5</v>
      </c>
      <c r="H658">
        <v>4.4000000000000004</v>
      </c>
      <c r="I658" t="s">
        <v>17</v>
      </c>
      <c r="J658" t="s">
        <v>14</v>
      </c>
      <c r="K658" t="str">
        <f t="shared" si="10"/>
        <v>Medium</v>
      </c>
    </row>
    <row r="659" spans="1:11" ht="15" customHeight="1" x14ac:dyDescent="0.25">
      <c r="A659" t="s">
        <v>675</v>
      </c>
      <c r="B659">
        <v>31</v>
      </c>
      <c r="C659">
        <v>13</v>
      </c>
      <c r="D659" t="s">
        <v>16</v>
      </c>
      <c r="E659" s="3">
        <v>568</v>
      </c>
      <c r="F659">
        <v>4</v>
      </c>
      <c r="G659">
        <v>18</v>
      </c>
      <c r="H659">
        <v>3.1</v>
      </c>
      <c r="I659" t="s">
        <v>17</v>
      </c>
      <c r="J659" t="s">
        <v>14</v>
      </c>
      <c r="K659" t="str">
        <f t="shared" si="10"/>
        <v>Low</v>
      </c>
    </row>
    <row r="660" spans="1:11" ht="15" customHeight="1" x14ac:dyDescent="0.25">
      <c r="A660" t="s">
        <v>676</v>
      </c>
      <c r="B660">
        <v>50</v>
      </c>
      <c r="C660">
        <v>7</v>
      </c>
      <c r="D660" t="s">
        <v>16</v>
      </c>
      <c r="E660" s="3">
        <v>557</v>
      </c>
      <c r="F660">
        <v>2</v>
      </c>
      <c r="G660">
        <v>12</v>
      </c>
      <c r="H660">
        <v>4.4000000000000004</v>
      </c>
      <c r="I660" t="s">
        <v>13</v>
      </c>
      <c r="J660" t="s">
        <v>14</v>
      </c>
      <c r="K660" t="str">
        <f t="shared" si="10"/>
        <v>Medium</v>
      </c>
    </row>
    <row r="661" spans="1:11" ht="15" customHeight="1" x14ac:dyDescent="0.25">
      <c r="A661" t="s">
        <v>677</v>
      </c>
      <c r="B661">
        <v>59</v>
      </c>
      <c r="C661">
        <v>43</v>
      </c>
      <c r="D661" t="s">
        <v>12</v>
      </c>
      <c r="E661" s="3">
        <v>382</v>
      </c>
      <c r="F661">
        <v>6</v>
      </c>
      <c r="G661">
        <v>26</v>
      </c>
      <c r="H661">
        <v>4.8</v>
      </c>
      <c r="I661" t="s">
        <v>13</v>
      </c>
      <c r="J661" t="s">
        <v>22</v>
      </c>
      <c r="K661" t="str">
        <f t="shared" si="10"/>
        <v>High</v>
      </c>
    </row>
    <row r="662" spans="1:11" ht="15" customHeight="1" x14ac:dyDescent="0.25">
      <c r="A662" t="s">
        <v>678</v>
      </c>
      <c r="B662">
        <v>36</v>
      </c>
      <c r="C662">
        <v>31</v>
      </c>
      <c r="D662" t="s">
        <v>26</v>
      </c>
      <c r="E662" s="3">
        <v>824</v>
      </c>
      <c r="F662">
        <v>4</v>
      </c>
      <c r="G662">
        <v>12</v>
      </c>
      <c r="H662">
        <v>3.3</v>
      </c>
      <c r="I662" t="s">
        <v>17</v>
      </c>
      <c r="J662" t="s">
        <v>14</v>
      </c>
      <c r="K662" t="str">
        <f t="shared" si="10"/>
        <v>Low</v>
      </c>
    </row>
    <row r="663" spans="1:11" ht="15" customHeight="1" x14ac:dyDescent="0.25">
      <c r="A663" t="s">
        <v>679</v>
      </c>
      <c r="B663">
        <v>56</v>
      </c>
      <c r="C663">
        <v>26</v>
      </c>
      <c r="D663" t="s">
        <v>16</v>
      </c>
      <c r="E663" s="3">
        <v>656</v>
      </c>
      <c r="F663">
        <v>6</v>
      </c>
      <c r="G663">
        <v>13</v>
      </c>
      <c r="H663">
        <v>1.8</v>
      </c>
      <c r="I663" t="s">
        <v>17</v>
      </c>
      <c r="J663" t="s">
        <v>22</v>
      </c>
      <c r="K663" t="str">
        <f t="shared" si="10"/>
        <v>High</v>
      </c>
    </row>
    <row r="664" spans="1:11" ht="15" customHeight="1" x14ac:dyDescent="0.25">
      <c r="A664" t="s">
        <v>680</v>
      </c>
      <c r="B664">
        <v>49</v>
      </c>
      <c r="C664">
        <v>50</v>
      </c>
      <c r="D664" t="s">
        <v>12</v>
      </c>
      <c r="E664" s="3">
        <v>430</v>
      </c>
      <c r="F664">
        <v>4</v>
      </c>
      <c r="G664">
        <v>11</v>
      </c>
      <c r="H664">
        <v>3.6</v>
      </c>
      <c r="I664" t="s">
        <v>17</v>
      </c>
      <c r="J664" t="s">
        <v>14</v>
      </c>
      <c r="K664" t="str">
        <f t="shared" si="10"/>
        <v>Low</v>
      </c>
    </row>
    <row r="665" spans="1:11" ht="15" customHeight="1" x14ac:dyDescent="0.25">
      <c r="A665" t="s">
        <v>681</v>
      </c>
      <c r="B665">
        <v>55</v>
      </c>
      <c r="C665">
        <v>36</v>
      </c>
      <c r="D665" t="s">
        <v>16</v>
      </c>
      <c r="E665" s="3">
        <v>707</v>
      </c>
      <c r="F665">
        <v>4</v>
      </c>
      <c r="G665">
        <v>5</v>
      </c>
      <c r="H665">
        <v>3.3</v>
      </c>
      <c r="I665" t="s">
        <v>17</v>
      </c>
      <c r="J665" t="s">
        <v>22</v>
      </c>
      <c r="K665" t="str">
        <f t="shared" si="10"/>
        <v>High</v>
      </c>
    </row>
    <row r="666" spans="1:11" ht="15" customHeight="1" x14ac:dyDescent="0.25">
      <c r="A666" t="s">
        <v>682</v>
      </c>
      <c r="B666">
        <v>50</v>
      </c>
      <c r="C666">
        <v>47</v>
      </c>
      <c r="D666" t="s">
        <v>16</v>
      </c>
      <c r="E666" s="3">
        <v>649</v>
      </c>
      <c r="F666">
        <v>7</v>
      </c>
      <c r="G666">
        <v>9</v>
      </c>
      <c r="H666">
        <v>3.3</v>
      </c>
      <c r="I666" t="s">
        <v>17</v>
      </c>
      <c r="J666" t="s">
        <v>22</v>
      </c>
      <c r="K666" t="str">
        <f t="shared" si="10"/>
        <v>High</v>
      </c>
    </row>
    <row r="667" spans="1:11" ht="15" customHeight="1" x14ac:dyDescent="0.25">
      <c r="A667" t="s">
        <v>683</v>
      </c>
      <c r="B667">
        <v>60</v>
      </c>
      <c r="C667">
        <v>22</v>
      </c>
      <c r="D667" t="s">
        <v>12</v>
      </c>
      <c r="E667" s="3">
        <v>344</v>
      </c>
      <c r="F667">
        <v>1</v>
      </c>
      <c r="G667">
        <v>17</v>
      </c>
      <c r="H667">
        <v>4.7</v>
      </c>
      <c r="I667" t="s">
        <v>17</v>
      </c>
      <c r="J667" t="s">
        <v>14</v>
      </c>
      <c r="K667" t="str">
        <f t="shared" si="10"/>
        <v>Low</v>
      </c>
    </row>
    <row r="668" spans="1:11" ht="15" customHeight="1" x14ac:dyDescent="0.25">
      <c r="A668" t="s">
        <v>684</v>
      </c>
      <c r="B668">
        <v>40</v>
      </c>
      <c r="C668">
        <v>50</v>
      </c>
      <c r="D668" t="s">
        <v>16</v>
      </c>
      <c r="E668" s="3">
        <v>527</v>
      </c>
      <c r="F668">
        <v>4</v>
      </c>
      <c r="G668">
        <v>20</v>
      </c>
      <c r="H668">
        <v>3.6</v>
      </c>
      <c r="I668" t="s">
        <v>17</v>
      </c>
      <c r="J668" t="s">
        <v>14</v>
      </c>
      <c r="K668" t="str">
        <f t="shared" si="10"/>
        <v>Low</v>
      </c>
    </row>
    <row r="669" spans="1:11" ht="15" customHeight="1" x14ac:dyDescent="0.25">
      <c r="A669" t="s">
        <v>685</v>
      </c>
      <c r="B669">
        <v>62</v>
      </c>
      <c r="C669">
        <v>17</v>
      </c>
      <c r="D669" t="s">
        <v>16</v>
      </c>
      <c r="E669" s="3">
        <v>461</v>
      </c>
      <c r="F669">
        <v>1</v>
      </c>
      <c r="G669">
        <v>29</v>
      </c>
      <c r="H669">
        <v>3.9</v>
      </c>
      <c r="I669" t="s">
        <v>13</v>
      </c>
      <c r="J669" t="s">
        <v>14</v>
      </c>
      <c r="K669" t="str">
        <f t="shared" si="10"/>
        <v>Low</v>
      </c>
    </row>
    <row r="670" spans="1:11" ht="15" customHeight="1" x14ac:dyDescent="0.25">
      <c r="A670" t="s">
        <v>686</v>
      </c>
      <c r="B670">
        <v>40</v>
      </c>
      <c r="C670">
        <v>55</v>
      </c>
      <c r="D670" t="s">
        <v>16</v>
      </c>
      <c r="E670" s="3">
        <v>678</v>
      </c>
      <c r="F670">
        <v>3</v>
      </c>
      <c r="G670">
        <v>7</v>
      </c>
      <c r="H670">
        <v>3.2</v>
      </c>
      <c r="I670" t="s">
        <v>17</v>
      </c>
      <c r="J670" t="s">
        <v>22</v>
      </c>
      <c r="K670" t="str">
        <f t="shared" si="10"/>
        <v>High</v>
      </c>
    </row>
    <row r="671" spans="1:11" ht="15" customHeight="1" x14ac:dyDescent="0.25">
      <c r="A671" t="s">
        <v>687</v>
      </c>
      <c r="B671">
        <v>65</v>
      </c>
      <c r="C671">
        <v>17</v>
      </c>
      <c r="D671" t="s">
        <v>12</v>
      </c>
      <c r="E671" s="3">
        <v>441</v>
      </c>
      <c r="F671">
        <v>1</v>
      </c>
      <c r="G671">
        <v>22</v>
      </c>
      <c r="H671">
        <v>4.0999999999999996</v>
      </c>
      <c r="I671" t="s">
        <v>17</v>
      </c>
      <c r="J671" t="s">
        <v>14</v>
      </c>
      <c r="K671" t="str">
        <f t="shared" si="10"/>
        <v>Low</v>
      </c>
    </row>
    <row r="672" spans="1:11" ht="15" customHeight="1" x14ac:dyDescent="0.25">
      <c r="A672" t="s">
        <v>688</v>
      </c>
      <c r="B672">
        <v>51</v>
      </c>
      <c r="C672">
        <v>52</v>
      </c>
      <c r="D672" t="s">
        <v>12</v>
      </c>
      <c r="E672" s="3">
        <v>385</v>
      </c>
      <c r="F672">
        <v>5</v>
      </c>
      <c r="G672">
        <v>2</v>
      </c>
      <c r="H672">
        <v>1</v>
      </c>
      <c r="I672" t="s">
        <v>13</v>
      </c>
      <c r="J672" t="s">
        <v>14</v>
      </c>
      <c r="K672" t="str">
        <f t="shared" si="10"/>
        <v>Medium</v>
      </c>
    </row>
    <row r="673" spans="1:11" ht="15" customHeight="1" x14ac:dyDescent="0.25">
      <c r="A673" t="s">
        <v>689</v>
      </c>
      <c r="B673">
        <v>40</v>
      </c>
      <c r="C673">
        <v>51</v>
      </c>
      <c r="D673" t="s">
        <v>16</v>
      </c>
      <c r="E673" s="3">
        <v>744</v>
      </c>
      <c r="F673">
        <v>1</v>
      </c>
      <c r="G673">
        <v>25</v>
      </c>
      <c r="H673">
        <v>2.2999999999999998</v>
      </c>
      <c r="I673" t="s">
        <v>17</v>
      </c>
      <c r="J673" t="s">
        <v>22</v>
      </c>
      <c r="K673" t="str">
        <f t="shared" si="10"/>
        <v>High</v>
      </c>
    </row>
    <row r="674" spans="1:11" ht="15" customHeight="1" x14ac:dyDescent="0.25">
      <c r="A674" t="s">
        <v>690</v>
      </c>
      <c r="B674">
        <v>55</v>
      </c>
      <c r="C674">
        <v>50</v>
      </c>
      <c r="D674" t="s">
        <v>12</v>
      </c>
      <c r="E674" s="3">
        <v>290</v>
      </c>
      <c r="F674">
        <v>1</v>
      </c>
      <c r="G674">
        <v>20</v>
      </c>
      <c r="H674">
        <v>4.5999999999999996</v>
      </c>
      <c r="I674" t="s">
        <v>13</v>
      </c>
      <c r="J674" t="s">
        <v>14</v>
      </c>
      <c r="K674" t="str">
        <f t="shared" si="10"/>
        <v>Low</v>
      </c>
    </row>
    <row r="675" spans="1:11" ht="15" customHeight="1" x14ac:dyDescent="0.25">
      <c r="A675" t="s">
        <v>691</v>
      </c>
      <c r="B675">
        <v>63</v>
      </c>
      <c r="C675">
        <v>28</v>
      </c>
      <c r="D675" t="s">
        <v>26</v>
      </c>
      <c r="E675" s="3">
        <v>1200</v>
      </c>
      <c r="F675">
        <v>2</v>
      </c>
      <c r="G675">
        <v>22</v>
      </c>
      <c r="H675">
        <v>2.9</v>
      </c>
      <c r="I675" t="s">
        <v>17</v>
      </c>
      <c r="J675" t="s">
        <v>22</v>
      </c>
      <c r="K675" t="str">
        <f t="shared" si="10"/>
        <v>High</v>
      </c>
    </row>
    <row r="676" spans="1:11" ht="15" customHeight="1" x14ac:dyDescent="0.25">
      <c r="A676" t="s">
        <v>692</v>
      </c>
      <c r="B676">
        <v>56</v>
      </c>
      <c r="C676">
        <v>22</v>
      </c>
      <c r="D676" t="s">
        <v>16</v>
      </c>
      <c r="E676" s="3">
        <v>671</v>
      </c>
      <c r="F676">
        <v>6</v>
      </c>
      <c r="G676">
        <v>20</v>
      </c>
      <c r="H676">
        <v>3.2</v>
      </c>
      <c r="I676" t="s">
        <v>17</v>
      </c>
      <c r="J676" t="s">
        <v>22</v>
      </c>
      <c r="K676" t="str">
        <f t="shared" si="10"/>
        <v>High</v>
      </c>
    </row>
    <row r="677" spans="1:11" ht="15" customHeight="1" x14ac:dyDescent="0.25">
      <c r="A677" t="s">
        <v>693</v>
      </c>
      <c r="B677">
        <v>40</v>
      </c>
      <c r="C677">
        <v>28</v>
      </c>
      <c r="D677" t="s">
        <v>12</v>
      </c>
      <c r="E677" s="3">
        <v>307</v>
      </c>
      <c r="F677">
        <v>5</v>
      </c>
      <c r="G677">
        <v>19</v>
      </c>
      <c r="H677">
        <v>4.7</v>
      </c>
      <c r="I677" t="s">
        <v>17</v>
      </c>
      <c r="J677" t="s">
        <v>14</v>
      </c>
      <c r="K677" t="str">
        <f t="shared" si="10"/>
        <v>Medium</v>
      </c>
    </row>
    <row r="678" spans="1:11" ht="15" customHeight="1" x14ac:dyDescent="0.25">
      <c r="A678" t="s">
        <v>694</v>
      </c>
      <c r="B678">
        <v>56</v>
      </c>
      <c r="C678">
        <v>60</v>
      </c>
      <c r="D678" t="s">
        <v>16</v>
      </c>
      <c r="E678" s="3">
        <v>745</v>
      </c>
      <c r="F678">
        <v>3</v>
      </c>
      <c r="G678">
        <v>26</v>
      </c>
      <c r="H678">
        <v>4</v>
      </c>
      <c r="I678" t="s">
        <v>17</v>
      </c>
      <c r="J678" t="s">
        <v>14</v>
      </c>
      <c r="K678" t="str">
        <f t="shared" si="10"/>
        <v>Low</v>
      </c>
    </row>
    <row r="679" spans="1:11" ht="15" customHeight="1" x14ac:dyDescent="0.25">
      <c r="A679" t="s">
        <v>695</v>
      </c>
      <c r="B679">
        <v>22</v>
      </c>
      <c r="C679">
        <v>50</v>
      </c>
      <c r="D679" t="s">
        <v>12</v>
      </c>
      <c r="E679" s="3">
        <v>339</v>
      </c>
      <c r="F679">
        <v>5</v>
      </c>
      <c r="G679">
        <v>9</v>
      </c>
      <c r="H679">
        <v>4.0999999999999996</v>
      </c>
      <c r="I679" t="s">
        <v>13</v>
      </c>
      <c r="J679" t="s">
        <v>22</v>
      </c>
      <c r="K679" t="str">
        <f t="shared" si="10"/>
        <v>High</v>
      </c>
    </row>
    <row r="680" spans="1:11" ht="15" customHeight="1" x14ac:dyDescent="0.25">
      <c r="A680" t="s">
        <v>696</v>
      </c>
      <c r="B680">
        <v>30</v>
      </c>
      <c r="C680">
        <v>28</v>
      </c>
      <c r="D680" t="s">
        <v>26</v>
      </c>
      <c r="E680" s="3">
        <v>1145</v>
      </c>
      <c r="F680">
        <v>5</v>
      </c>
      <c r="G680">
        <v>2</v>
      </c>
      <c r="H680">
        <v>4.8</v>
      </c>
      <c r="I680" t="s">
        <v>17</v>
      </c>
      <c r="J680" t="s">
        <v>14</v>
      </c>
      <c r="K680" t="str">
        <f t="shared" si="10"/>
        <v>Medium</v>
      </c>
    </row>
    <row r="681" spans="1:11" ht="15" customHeight="1" x14ac:dyDescent="0.25">
      <c r="A681" t="s">
        <v>697</v>
      </c>
      <c r="B681">
        <v>44</v>
      </c>
      <c r="C681">
        <v>2</v>
      </c>
      <c r="D681" t="s">
        <v>16</v>
      </c>
      <c r="E681" s="3">
        <v>556</v>
      </c>
      <c r="F681">
        <v>0</v>
      </c>
      <c r="G681">
        <v>16</v>
      </c>
      <c r="H681">
        <v>5</v>
      </c>
      <c r="I681" t="s">
        <v>17</v>
      </c>
      <c r="J681" t="s">
        <v>22</v>
      </c>
      <c r="K681" t="str">
        <f t="shared" si="10"/>
        <v>High</v>
      </c>
    </row>
    <row r="682" spans="1:11" ht="15" customHeight="1" x14ac:dyDescent="0.25">
      <c r="A682" t="s">
        <v>698</v>
      </c>
      <c r="B682">
        <v>44</v>
      </c>
      <c r="C682">
        <v>38</v>
      </c>
      <c r="D682" t="s">
        <v>26</v>
      </c>
      <c r="E682" s="3">
        <v>1009</v>
      </c>
      <c r="F682">
        <v>8</v>
      </c>
      <c r="G682">
        <v>5</v>
      </c>
      <c r="H682">
        <v>3.8</v>
      </c>
      <c r="I682" t="s">
        <v>13</v>
      </c>
      <c r="J682" t="s">
        <v>14</v>
      </c>
      <c r="K682" t="str">
        <f t="shared" si="10"/>
        <v>Medium</v>
      </c>
    </row>
    <row r="683" spans="1:11" ht="15" customHeight="1" x14ac:dyDescent="0.25">
      <c r="A683" t="s">
        <v>699</v>
      </c>
      <c r="B683">
        <v>42</v>
      </c>
      <c r="C683">
        <v>48</v>
      </c>
      <c r="D683" t="s">
        <v>26</v>
      </c>
      <c r="E683" s="3">
        <v>857</v>
      </c>
      <c r="F683">
        <v>1</v>
      </c>
      <c r="G683">
        <v>27</v>
      </c>
      <c r="H683">
        <v>4</v>
      </c>
      <c r="I683" t="s">
        <v>17</v>
      </c>
      <c r="J683" t="s">
        <v>14</v>
      </c>
      <c r="K683" t="str">
        <f t="shared" si="10"/>
        <v>Low</v>
      </c>
    </row>
    <row r="684" spans="1:11" ht="15" customHeight="1" x14ac:dyDescent="0.25">
      <c r="A684" t="s">
        <v>700</v>
      </c>
      <c r="B684">
        <v>52</v>
      </c>
      <c r="C684">
        <v>8</v>
      </c>
      <c r="D684" t="s">
        <v>26</v>
      </c>
      <c r="E684" s="3">
        <v>944</v>
      </c>
      <c r="F684">
        <v>6</v>
      </c>
      <c r="G684">
        <v>14</v>
      </c>
      <c r="H684">
        <v>3.9</v>
      </c>
      <c r="I684" t="s">
        <v>17</v>
      </c>
      <c r="J684" t="s">
        <v>22</v>
      </c>
      <c r="K684" t="str">
        <f t="shared" si="10"/>
        <v>High</v>
      </c>
    </row>
    <row r="685" spans="1:11" ht="15" customHeight="1" x14ac:dyDescent="0.25">
      <c r="A685" t="s">
        <v>701</v>
      </c>
      <c r="B685">
        <v>24</v>
      </c>
      <c r="C685">
        <v>28</v>
      </c>
      <c r="D685" t="s">
        <v>26</v>
      </c>
      <c r="E685" s="3">
        <v>867</v>
      </c>
      <c r="F685">
        <v>1</v>
      </c>
      <c r="G685">
        <v>22</v>
      </c>
      <c r="H685">
        <v>3.4</v>
      </c>
      <c r="I685" t="s">
        <v>17</v>
      </c>
      <c r="J685" t="s">
        <v>14</v>
      </c>
      <c r="K685" t="str">
        <f t="shared" si="10"/>
        <v>Low</v>
      </c>
    </row>
    <row r="686" spans="1:11" ht="15" customHeight="1" x14ac:dyDescent="0.25">
      <c r="A686" t="s">
        <v>702</v>
      </c>
      <c r="B686">
        <v>50</v>
      </c>
      <c r="C686">
        <v>2</v>
      </c>
      <c r="D686" t="s">
        <v>26</v>
      </c>
      <c r="E686" s="3">
        <v>773</v>
      </c>
      <c r="F686">
        <v>2</v>
      </c>
      <c r="G686">
        <v>29</v>
      </c>
      <c r="H686">
        <v>3.5</v>
      </c>
      <c r="I686" t="s">
        <v>17</v>
      </c>
      <c r="J686" t="s">
        <v>22</v>
      </c>
      <c r="K686" t="str">
        <f t="shared" si="10"/>
        <v>High</v>
      </c>
    </row>
    <row r="687" spans="1:11" ht="15" customHeight="1" x14ac:dyDescent="0.25">
      <c r="A687" t="s">
        <v>703</v>
      </c>
      <c r="B687">
        <v>64</v>
      </c>
      <c r="C687">
        <v>31</v>
      </c>
      <c r="D687" t="s">
        <v>16</v>
      </c>
      <c r="E687" s="3">
        <v>557</v>
      </c>
      <c r="F687">
        <v>4</v>
      </c>
      <c r="G687">
        <v>13</v>
      </c>
      <c r="H687">
        <v>4.7</v>
      </c>
      <c r="I687" t="s">
        <v>17</v>
      </c>
      <c r="J687" t="s">
        <v>14</v>
      </c>
      <c r="K687" t="str">
        <f t="shared" si="10"/>
        <v>Low</v>
      </c>
    </row>
    <row r="688" spans="1:11" ht="15" customHeight="1" x14ac:dyDescent="0.25">
      <c r="A688" t="s">
        <v>704</v>
      </c>
      <c r="B688">
        <v>46</v>
      </c>
      <c r="C688">
        <v>12</v>
      </c>
      <c r="D688" t="s">
        <v>12</v>
      </c>
      <c r="E688" s="3">
        <v>382</v>
      </c>
      <c r="F688">
        <v>2</v>
      </c>
      <c r="G688">
        <v>13</v>
      </c>
      <c r="H688">
        <v>3.8</v>
      </c>
      <c r="I688" t="s">
        <v>17</v>
      </c>
      <c r="J688" t="s">
        <v>14</v>
      </c>
      <c r="K688" t="str">
        <f t="shared" si="10"/>
        <v>Low</v>
      </c>
    </row>
    <row r="689" spans="1:11" ht="15" customHeight="1" x14ac:dyDescent="0.25">
      <c r="A689" t="s">
        <v>705</v>
      </c>
      <c r="B689">
        <v>39</v>
      </c>
      <c r="C689">
        <v>26</v>
      </c>
      <c r="D689" t="s">
        <v>16</v>
      </c>
      <c r="E689" s="3">
        <v>614</v>
      </c>
      <c r="F689">
        <v>0</v>
      </c>
      <c r="G689">
        <v>12</v>
      </c>
      <c r="H689">
        <v>3.2</v>
      </c>
      <c r="I689" t="s">
        <v>17</v>
      </c>
      <c r="J689" t="s">
        <v>14</v>
      </c>
      <c r="K689" t="str">
        <f t="shared" si="10"/>
        <v>Low</v>
      </c>
    </row>
    <row r="690" spans="1:11" ht="15" customHeight="1" x14ac:dyDescent="0.25">
      <c r="A690" t="s">
        <v>706</v>
      </c>
      <c r="B690">
        <v>29</v>
      </c>
      <c r="C690">
        <v>59</v>
      </c>
      <c r="D690" t="s">
        <v>16</v>
      </c>
      <c r="E690" s="3">
        <v>643</v>
      </c>
      <c r="F690">
        <v>8</v>
      </c>
      <c r="G690">
        <v>7</v>
      </c>
      <c r="H690">
        <v>3.6</v>
      </c>
      <c r="I690" t="s">
        <v>13</v>
      </c>
      <c r="J690" t="s">
        <v>22</v>
      </c>
      <c r="K690" t="str">
        <f t="shared" si="10"/>
        <v>High</v>
      </c>
    </row>
    <row r="691" spans="1:11" ht="15" customHeight="1" x14ac:dyDescent="0.25">
      <c r="A691" t="s">
        <v>707</v>
      </c>
      <c r="B691">
        <v>24</v>
      </c>
      <c r="C691">
        <v>8</v>
      </c>
      <c r="D691" t="s">
        <v>26</v>
      </c>
      <c r="E691" s="3">
        <v>1188</v>
      </c>
      <c r="F691">
        <v>8</v>
      </c>
      <c r="G691">
        <v>16</v>
      </c>
      <c r="H691">
        <v>3.6</v>
      </c>
      <c r="I691" t="s">
        <v>17</v>
      </c>
      <c r="J691" t="s">
        <v>14</v>
      </c>
      <c r="K691" t="str">
        <f t="shared" si="10"/>
        <v>Medium</v>
      </c>
    </row>
    <row r="692" spans="1:11" ht="15" customHeight="1" x14ac:dyDescent="0.25">
      <c r="A692" t="s">
        <v>708</v>
      </c>
      <c r="B692">
        <v>60</v>
      </c>
      <c r="C692">
        <v>1</v>
      </c>
      <c r="D692" t="s">
        <v>12</v>
      </c>
      <c r="E692" s="3">
        <v>370</v>
      </c>
      <c r="F692">
        <v>5</v>
      </c>
      <c r="G692">
        <v>23</v>
      </c>
      <c r="H692">
        <v>1.3</v>
      </c>
      <c r="I692" t="s">
        <v>13</v>
      </c>
      <c r="J692" t="s">
        <v>22</v>
      </c>
      <c r="K692" t="str">
        <f t="shared" si="10"/>
        <v>High</v>
      </c>
    </row>
    <row r="693" spans="1:11" ht="15" customHeight="1" x14ac:dyDescent="0.25">
      <c r="A693" t="s">
        <v>709</v>
      </c>
      <c r="B693">
        <v>51</v>
      </c>
      <c r="C693">
        <v>48</v>
      </c>
      <c r="D693" t="s">
        <v>26</v>
      </c>
      <c r="E693" s="3">
        <v>814</v>
      </c>
      <c r="F693">
        <v>3</v>
      </c>
      <c r="G693">
        <v>18</v>
      </c>
      <c r="H693">
        <v>2.9</v>
      </c>
      <c r="I693" t="s">
        <v>17</v>
      </c>
      <c r="J693" t="s">
        <v>14</v>
      </c>
      <c r="K693" t="str">
        <f t="shared" si="10"/>
        <v>Medium</v>
      </c>
    </row>
    <row r="694" spans="1:11" ht="15" customHeight="1" x14ac:dyDescent="0.25">
      <c r="A694" t="s">
        <v>710</v>
      </c>
      <c r="B694">
        <v>34</v>
      </c>
      <c r="C694">
        <v>43</v>
      </c>
      <c r="D694" t="s">
        <v>12</v>
      </c>
      <c r="E694" s="3">
        <v>274</v>
      </c>
      <c r="F694">
        <v>1</v>
      </c>
      <c r="G694">
        <v>9</v>
      </c>
      <c r="H694">
        <v>3.6</v>
      </c>
      <c r="I694" t="s">
        <v>13</v>
      </c>
      <c r="J694" t="s">
        <v>14</v>
      </c>
      <c r="K694" t="str">
        <f t="shared" si="10"/>
        <v>Low</v>
      </c>
    </row>
    <row r="695" spans="1:11" ht="15" customHeight="1" x14ac:dyDescent="0.25">
      <c r="A695" t="s">
        <v>711</v>
      </c>
      <c r="B695">
        <v>49</v>
      </c>
      <c r="C695">
        <v>43</v>
      </c>
      <c r="D695" t="s">
        <v>16</v>
      </c>
      <c r="E695" s="3">
        <v>745</v>
      </c>
      <c r="F695">
        <v>2</v>
      </c>
      <c r="G695">
        <v>12</v>
      </c>
      <c r="H695">
        <v>4.0999999999999996</v>
      </c>
      <c r="I695" t="s">
        <v>17</v>
      </c>
      <c r="J695" t="s">
        <v>14</v>
      </c>
      <c r="K695" t="str">
        <f t="shared" si="10"/>
        <v>Low</v>
      </c>
    </row>
    <row r="696" spans="1:11" ht="15" customHeight="1" x14ac:dyDescent="0.25">
      <c r="A696" t="s">
        <v>712</v>
      </c>
      <c r="B696">
        <v>57</v>
      </c>
      <c r="C696">
        <v>48</v>
      </c>
      <c r="D696" t="s">
        <v>26</v>
      </c>
      <c r="E696" s="3">
        <v>1073</v>
      </c>
      <c r="F696">
        <v>0</v>
      </c>
      <c r="G696">
        <v>27</v>
      </c>
      <c r="H696">
        <v>3.7</v>
      </c>
      <c r="I696" t="s">
        <v>17</v>
      </c>
      <c r="J696" t="s">
        <v>22</v>
      </c>
      <c r="K696" t="str">
        <f t="shared" si="10"/>
        <v>High</v>
      </c>
    </row>
    <row r="697" spans="1:11" ht="15" customHeight="1" x14ac:dyDescent="0.25">
      <c r="A697" t="s">
        <v>713</v>
      </c>
      <c r="B697">
        <v>35</v>
      </c>
      <c r="C697">
        <v>11</v>
      </c>
      <c r="D697" t="s">
        <v>16</v>
      </c>
      <c r="E697" s="3">
        <v>742</v>
      </c>
      <c r="F697">
        <v>7</v>
      </c>
      <c r="G697">
        <v>29</v>
      </c>
      <c r="H697">
        <v>4</v>
      </c>
      <c r="I697" t="s">
        <v>17</v>
      </c>
      <c r="J697" t="s">
        <v>14</v>
      </c>
      <c r="K697" t="str">
        <f t="shared" si="10"/>
        <v>Medium</v>
      </c>
    </row>
    <row r="698" spans="1:11" ht="15" customHeight="1" x14ac:dyDescent="0.25">
      <c r="A698" t="s">
        <v>714</v>
      </c>
      <c r="B698">
        <v>56</v>
      </c>
      <c r="C698">
        <v>26</v>
      </c>
      <c r="D698" t="s">
        <v>16</v>
      </c>
      <c r="E698" s="3">
        <v>682</v>
      </c>
      <c r="F698">
        <v>4</v>
      </c>
      <c r="G698">
        <v>19</v>
      </c>
      <c r="H698">
        <v>2.1</v>
      </c>
      <c r="I698" t="s">
        <v>13</v>
      </c>
      <c r="J698" t="s">
        <v>14</v>
      </c>
      <c r="K698" t="str">
        <f t="shared" si="10"/>
        <v>Medium</v>
      </c>
    </row>
    <row r="699" spans="1:11" ht="15" customHeight="1" x14ac:dyDescent="0.25">
      <c r="A699" t="s">
        <v>715</v>
      </c>
      <c r="B699">
        <v>41</v>
      </c>
      <c r="C699">
        <v>22</v>
      </c>
      <c r="D699" t="s">
        <v>26</v>
      </c>
      <c r="E699" s="3">
        <v>924</v>
      </c>
      <c r="F699">
        <v>7</v>
      </c>
      <c r="G699">
        <v>26</v>
      </c>
      <c r="H699">
        <v>4</v>
      </c>
      <c r="I699" t="s">
        <v>17</v>
      </c>
      <c r="J699" t="s">
        <v>14</v>
      </c>
      <c r="K699" t="str">
        <f t="shared" si="10"/>
        <v>Medium</v>
      </c>
    </row>
    <row r="700" spans="1:11" ht="15" customHeight="1" x14ac:dyDescent="0.25">
      <c r="A700" t="s">
        <v>716</v>
      </c>
      <c r="B700">
        <v>62</v>
      </c>
      <c r="C700">
        <v>55</v>
      </c>
      <c r="D700" t="s">
        <v>12</v>
      </c>
      <c r="E700" s="3">
        <v>382</v>
      </c>
      <c r="F700">
        <v>5</v>
      </c>
      <c r="G700">
        <v>15</v>
      </c>
      <c r="H700">
        <v>2</v>
      </c>
      <c r="I700" t="s">
        <v>17</v>
      </c>
      <c r="J700" t="s">
        <v>22</v>
      </c>
      <c r="K700" t="str">
        <f t="shared" si="10"/>
        <v>High</v>
      </c>
    </row>
    <row r="701" spans="1:11" ht="15" customHeight="1" x14ac:dyDescent="0.25">
      <c r="A701" t="s">
        <v>717</v>
      </c>
      <c r="B701">
        <v>49</v>
      </c>
      <c r="C701">
        <v>54</v>
      </c>
      <c r="D701" t="s">
        <v>12</v>
      </c>
      <c r="E701" s="3">
        <v>390</v>
      </c>
      <c r="F701">
        <v>5</v>
      </c>
      <c r="G701">
        <v>11</v>
      </c>
      <c r="H701">
        <v>1.7</v>
      </c>
      <c r="I701" t="s">
        <v>17</v>
      </c>
      <c r="J701" t="s">
        <v>14</v>
      </c>
      <c r="K701" t="str">
        <f t="shared" si="10"/>
        <v>Medium</v>
      </c>
    </row>
    <row r="702" spans="1:11" ht="15" customHeight="1" x14ac:dyDescent="0.25">
      <c r="A702" t="s">
        <v>718</v>
      </c>
      <c r="B702">
        <v>25</v>
      </c>
      <c r="C702">
        <v>56</v>
      </c>
      <c r="D702" t="s">
        <v>26</v>
      </c>
      <c r="E702" s="3">
        <v>1169</v>
      </c>
      <c r="F702">
        <v>8</v>
      </c>
      <c r="G702">
        <v>8</v>
      </c>
      <c r="H702">
        <v>4.4000000000000004</v>
      </c>
      <c r="I702" t="s">
        <v>13</v>
      </c>
      <c r="J702" t="s">
        <v>22</v>
      </c>
      <c r="K702" t="str">
        <f t="shared" si="10"/>
        <v>High</v>
      </c>
    </row>
    <row r="703" spans="1:11" ht="15" customHeight="1" x14ac:dyDescent="0.25">
      <c r="A703" t="s">
        <v>719</v>
      </c>
      <c r="B703">
        <v>42</v>
      </c>
      <c r="C703">
        <v>34</v>
      </c>
      <c r="D703" t="s">
        <v>16</v>
      </c>
      <c r="E703" s="3">
        <v>738</v>
      </c>
      <c r="F703">
        <v>8</v>
      </c>
      <c r="G703">
        <v>18</v>
      </c>
      <c r="H703">
        <v>4.5999999999999996</v>
      </c>
      <c r="I703" t="s">
        <v>17</v>
      </c>
      <c r="J703" t="s">
        <v>14</v>
      </c>
      <c r="K703" t="str">
        <f t="shared" si="10"/>
        <v>Medium</v>
      </c>
    </row>
    <row r="704" spans="1:11" ht="15" customHeight="1" x14ac:dyDescent="0.25">
      <c r="A704" t="s">
        <v>720</v>
      </c>
      <c r="B704">
        <v>54</v>
      </c>
      <c r="C704">
        <v>15</v>
      </c>
      <c r="D704" t="s">
        <v>16</v>
      </c>
      <c r="E704" s="3">
        <v>535</v>
      </c>
      <c r="F704">
        <v>2</v>
      </c>
      <c r="G704">
        <v>5</v>
      </c>
      <c r="H704">
        <v>3</v>
      </c>
      <c r="I704" t="s">
        <v>13</v>
      </c>
      <c r="J704" t="s">
        <v>14</v>
      </c>
      <c r="K704" t="str">
        <f t="shared" si="10"/>
        <v>Low</v>
      </c>
    </row>
    <row r="705" spans="1:11" ht="15" customHeight="1" x14ac:dyDescent="0.25">
      <c r="A705" t="s">
        <v>721</v>
      </c>
      <c r="B705">
        <v>65</v>
      </c>
      <c r="C705">
        <v>10</v>
      </c>
      <c r="D705" t="s">
        <v>16</v>
      </c>
      <c r="E705" s="3">
        <v>667</v>
      </c>
      <c r="F705">
        <v>3</v>
      </c>
      <c r="G705">
        <v>10</v>
      </c>
      <c r="H705">
        <v>2.2999999999999998</v>
      </c>
      <c r="I705" t="s">
        <v>17</v>
      </c>
      <c r="J705" t="s">
        <v>14</v>
      </c>
      <c r="K705" t="str">
        <f t="shared" si="10"/>
        <v>Medium</v>
      </c>
    </row>
    <row r="706" spans="1:11" ht="15" customHeight="1" x14ac:dyDescent="0.25">
      <c r="A706" t="s">
        <v>722</v>
      </c>
      <c r="B706">
        <v>45</v>
      </c>
      <c r="C706">
        <v>19</v>
      </c>
      <c r="D706" t="s">
        <v>16</v>
      </c>
      <c r="E706" s="3">
        <v>665</v>
      </c>
      <c r="F706">
        <v>7</v>
      </c>
      <c r="G706">
        <v>12</v>
      </c>
      <c r="H706">
        <v>4.9000000000000004</v>
      </c>
      <c r="I706" t="s">
        <v>17</v>
      </c>
      <c r="J706" t="s">
        <v>22</v>
      </c>
      <c r="K706" t="str">
        <f t="shared" ref="K706:K769" si="11">IF(J706="Yes","High",IF(OR(H706&lt;3,F706&gt;=5,C706&lt;12),"Medium","Low"))</f>
        <v>High</v>
      </c>
    </row>
    <row r="707" spans="1:11" ht="15" customHeight="1" x14ac:dyDescent="0.25">
      <c r="A707" t="s">
        <v>723</v>
      </c>
      <c r="B707">
        <v>55</v>
      </c>
      <c r="C707">
        <v>43</v>
      </c>
      <c r="D707" t="s">
        <v>12</v>
      </c>
      <c r="E707" s="3">
        <v>437</v>
      </c>
      <c r="F707">
        <v>6</v>
      </c>
      <c r="G707">
        <v>6</v>
      </c>
      <c r="H707">
        <v>5</v>
      </c>
      <c r="I707" t="s">
        <v>17</v>
      </c>
      <c r="J707" t="s">
        <v>14</v>
      </c>
      <c r="K707" t="str">
        <f t="shared" si="11"/>
        <v>Medium</v>
      </c>
    </row>
    <row r="708" spans="1:11" ht="15" customHeight="1" x14ac:dyDescent="0.25">
      <c r="A708" t="s">
        <v>724</v>
      </c>
      <c r="B708">
        <v>35</v>
      </c>
      <c r="C708">
        <v>26</v>
      </c>
      <c r="D708" t="s">
        <v>16</v>
      </c>
      <c r="E708" s="3">
        <v>664</v>
      </c>
      <c r="F708">
        <v>3</v>
      </c>
      <c r="G708">
        <v>9</v>
      </c>
      <c r="H708">
        <v>3.7</v>
      </c>
      <c r="I708" t="s">
        <v>13</v>
      </c>
      <c r="J708" t="s">
        <v>14</v>
      </c>
      <c r="K708" t="str">
        <f t="shared" si="11"/>
        <v>Low</v>
      </c>
    </row>
    <row r="709" spans="1:11" ht="15" customHeight="1" x14ac:dyDescent="0.25">
      <c r="A709" t="s">
        <v>725</v>
      </c>
      <c r="B709">
        <v>45</v>
      </c>
      <c r="C709">
        <v>8</v>
      </c>
      <c r="D709" t="s">
        <v>16</v>
      </c>
      <c r="E709" s="3">
        <v>527</v>
      </c>
      <c r="F709">
        <v>7</v>
      </c>
      <c r="G709">
        <v>6</v>
      </c>
      <c r="H709">
        <v>3.2</v>
      </c>
      <c r="I709" t="s">
        <v>13</v>
      </c>
      <c r="J709" t="s">
        <v>14</v>
      </c>
      <c r="K709" t="str">
        <f t="shared" si="11"/>
        <v>Medium</v>
      </c>
    </row>
    <row r="710" spans="1:11" ht="15" customHeight="1" x14ac:dyDescent="0.25">
      <c r="A710" t="s">
        <v>726</v>
      </c>
      <c r="B710">
        <v>20</v>
      </c>
      <c r="C710">
        <v>41</v>
      </c>
      <c r="D710" t="s">
        <v>12</v>
      </c>
      <c r="E710" s="3">
        <v>329</v>
      </c>
      <c r="F710">
        <v>7</v>
      </c>
      <c r="G710">
        <v>9</v>
      </c>
      <c r="H710">
        <v>3.1</v>
      </c>
      <c r="I710" t="s">
        <v>17</v>
      </c>
      <c r="J710" t="s">
        <v>14</v>
      </c>
      <c r="K710" t="str">
        <f t="shared" si="11"/>
        <v>Medium</v>
      </c>
    </row>
    <row r="711" spans="1:11" ht="15" customHeight="1" x14ac:dyDescent="0.25">
      <c r="A711" t="s">
        <v>727</v>
      </c>
      <c r="B711">
        <v>49</v>
      </c>
      <c r="C711">
        <v>10</v>
      </c>
      <c r="D711" t="s">
        <v>12</v>
      </c>
      <c r="E711" s="3">
        <v>443</v>
      </c>
      <c r="F711">
        <v>4</v>
      </c>
      <c r="G711">
        <v>3</v>
      </c>
      <c r="H711">
        <v>2.9</v>
      </c>
      <c r="I711" t="s">
        <v>17</v>
      </c>
      <c r="J711" t="s">
        <v>14</v>
      </c>
      <c r="K711" t="str">
        <f t="shared" si="11"/>
        <v>Medium</v>
      </c>
    </row>
    <row r="712" spans="1:11" ht="15" customHeight="1" x14ac:dyDescent="0.25">
      <c r="A712" t="s">
        <v>728</v>
      </c>
      <c r="B712">
        <v>27</v>
      </c>
      <c r="C712">
        <v>41</v>
      </c>
      <c r="D712" t="s">
        <v>16</v>
      </c>
      <c r="E712" s="3">
        <v>536</v>
      </c>
      <c r="F712">
        <v>7</v>
      </c>
      <c r="G712">
        <v>26</v>
      </c>
      <c r="H712">
        <v>3.2</v>
      </c>
      <c r="I712" t="s">
        <v>17</v>
      </c>
      <c r="J712" t="s">
        <v>14</v>
      </c>
      <c r="K712" t="str">
        <f t="shared" si="11"/>
        <v>Medium</v>
      </c>
    </row>
    <row r="713" spans="1:11" ht="15" customHeight="1" x14ac:dyDescent="0.25">
      <c r="A713" t="s">
        <v>729</v>
      </c>
      <c r="B713">
        <v>58</v>
      </c>
      <c r="C713">
        <v>56</v>
      </c>
      <c r="D713" t="s">
        <v>16</v>
      </c>
      <c r="E713" s="3">
        <v>703</v>
      </c>
      <c r="F713">
        <v>6</v>
      </c>
      <c r="G713">
        <v>15</v>
      </c>
      <c r="H713">
        <v>4.5999999999999996</v>
      </c>
      <c r="I713" t="s">
        <v>17</v>
      </c>
      <c r="J713" t="s">
        <v>22</v>
      </c>
      <c r="K713" t="str">
        <f t="shared" si="11"/>
        <v>High</v>
      </c>
    </row>
    <row r="714" spans="1:11" ht="15" customHeight="1" x14ac:dyDescent="0.25">
      <c r="A714" t="s">
        <v>730</v>
      </c>
      <c r="B714">
        <v>37</v>
      </c>
      <c r="C714">
        <v>54</v>
      </c>
      <c r="D714" t="s">
        <v>16</v>
      </c>
      <c r="E714" s="3">
        <v>578</v>
      </c>
      <c r="F714">
        <v>8</v>
      </c>
      <c r="G714">
        <v>12</v>
      </c>
      <c r="H714">
        <v>2</v>
      </c>
      <c r="I714" t="s">
        <v>13</v>
      </c>
      <c r="J714" t="s">
        <v>22</v>
      </c>
      <c r="K714" t="str">
        <f t="shared" si="11"/>
        <v>High</v>
      </c>
    </row>
    <row r="715" spans="1:11" ht="15" customHeight="1" x14ac:dyDescent="0.25">
      <c r="A715" t="s">
        <v>731</v>
      </c>
      <c r="B715">
        <v>26</v>
      </c>
      <c r="C715">
        <v>46</v>
      </c>
      <c r="D715" t="s">
        <v>26</v>
      </c>
      <c r="E715" s="3">
        <v>1003</v>
      </c>
      <c r="F715">
        <v>3</v>
      </c>
      <c r="G715">
        <v>20</v>
      </c>
      <c r="H715">
        <v>4.3</v>
      </c>
      <c r="I715" t="s">
        <v>17</v>
      </c>
      <c r="J715" t="s">
        <v>14</v>
      </c>
      <c r="K715" t="str">
        <f t="shared" si="11"/>
        <v>Low</v>
      </c>
    </row>
    <row r="716" spans="1:11" ht="15" customHeight="1" x14ac:dyDescent="0.25">
      <c r="A716" t="s">
        <v>732</v>
      </c>
      <c r="B716">
        <v>65</v>
      </c>
      <c r="C716">
        <v>32</v>
      </c>
      <c r="D716" t="s">
        <v>16</v>
      </c>
      <c r="E716" s="3">
        <v>642</v>
      </c>
      <c r="F716">
        <v>8</v>
      </c>
      <c r="G716">
        <v>29</v>
      </c>
      <c r="H716">
        <v>4.3</v>
      </c>
      <c r="I716" t="s">
        <v>17</v>
      </c>
      <c r="J716" t="s">
        <v>14</v>
      </c>
      <c r="K716" t="str">
        <f t="shared" si="11"/>
        <v>Medium</v>
      </c>
    </row>
    <row r="717" spans="1:11" ht="15" customHeight="1" x14ac:dyDescent="0.25">
      <c r="A717" t="s">
        <v>733</v>
      </c>
      <c r="B717">
        <v>61</v>
      </c>
      <c r="C717">
        <v>7</v>
      </c>
      <c r="D717" t="s">
        <v>16</v>
      </c>
      <c r="E717" s="3">
        <v>572</v>
      </c>
      <c r="F717">
        <v>6</v>
      </c>
      <c r="G717">
        <v>28</v>
      </c>
      <c r="H717">
        <v>3.1</v>
      </c>
      <c r="I717" t="s">
        <v>17</v>
      </c>
      <c r="J717" t="s">
        <v>14</v>
      </c>
      <c r="K717" t="str">
        <f t="shared" si="11"/>
        <v>Medium</v>
      </c>
    </row>
    <row r="718" spans="1:11" ht="15" customHeight="1" x14ac:dyDescent="0.25">
      <c r="A718" t="s">
        <v>734</v>
      </c>
      <c r="B718">
        <v>42</v>
      </c>
      <c r="C718">
        <v>42</v>
      </c>
      <c r="D718" t="s">
        <v>16</v>
      </c>
      <c r="E718" s="3">
        <v>743</v>
      </c>
      <c r="F718">
        <v>8</v>
      </c>
      <c r="G718">
        <v>3</v>
      </c>
      <c r="H718">
        <v>5</v>
      </c>
      <c r="I718" t="s">
        <v>17</v>
      </c>
      <c r="J718" t="s">
        <v>14</v>
      </c>
      <c r="K718" t="str">
        <f t="shared" si="11"/>
        <v>Medium</v>
      </c>
    </row>
    <row r="719" spans="1:11" ht="15" customHeight="1" x14ac:dyDescent="0.25">
      <c r="A719" t="s">
        <v>735</v>
      </c>
      <c r="B719">
        <v>62</v>
      </c>
      <c r="C719">
        <v>59</v>
      </c>
      <c r="D719" t="s">
        <v>12</v>
      </c>
      <c r="E719" s="3">
        <v>395</v>
      </c>
      <c r="F719">
        <v>5</v>
      </c>
      <c r="G719">
        <v>5</v>
      </c>
      <c r="H719">
        <v>2.9</v>
      </c>
      <c r="I719" t="s">
        <v>17</v>
      </c>
      <c r="J719" t="s">
        <v>22</v>
      </c>
      <c r="K719" t="str">
        <f t="shared" si="11"/>
        <v>High</v>
      </c>
    </row>
    <row r="720" spans="1:11" ht="15" customHeight="1" x14ac:dyDescent="0.25">
      <c r="A720" t="s">
        <v>736</v>
      </c>
      <c r="B720">
        <v>21</v>
      </c>
      <c r="C720">
        <v>47</v>
      </c>
      <c r="D720" t="s">
        <v>16</v>
      </c>
      <c r="E720" s="3">
        <v>633</v>
      </c>
      <c r="F720">
        <v>5</v>
      </c>
      <c r="G720">
        <v>13</v>
      </c>
      <c r="H720">
        <v>4.2</v>
      </c>
      <c r="I720" t="s">
        <v>17</v>
      </c>
      <c r="J720" t="s">
        <v>22</v>
      </c>
      <c r="K720" t="str">
        <f t="shared" si="11"/>
        <v>High</v>
      </c>
    </row>
    <row r="721" spans="1:11" ht="15" customHeight="1" x14ac:dyDescent="0.25">
      <c r="A721" t="s">
        <v>737</v>
      </c>
      <c r="B721">
        <v>49</v>
      </c>
      <c r="C721">
        <v>45</v>
      </c>
      <c r="D721" t="s">
        <v>26</v>
      </c>
      <c r="E721" s="3">
        <v>857</v>
      </c>
      <c r="F721">
        <v>8</v>
      </c>
      <c r="G721">
        <v>26</v>
      </c>
      <c r="H721">
        <v>3.4</v>
      </c>
      <c r="I721" t="s">
        <v>13</v>
      </c>
      <c r="J721" t="s">
        <v>14</v>
      </c>
      <c r="K721" t="str">
        <f t="shared" si="11"/>
        <v>Medium</v>
      </c>
    </row>
    <row r="722" spans="1:11" ht="15" customHeight="1" x14ac:dyDescent="0.25">
      <c r="A722" t="s">
        <v>738</v>
      </c>
      <c r="B722">
        <v>45</v>
      </c>
      <c r="C722">
        <v>49</v>
      </c>
      <c r="D722" t="s">
        <v>12</v>
      </c>
      <c r="E722" s="3">
        <v>294</v>
      </c>
      <c r="F722">
        <v>1</v>
      </c>
      <c r="G722">
        <v>12</v>
      </c>
      <c r="H722">
        <v>2.8</v>
      </c>
      <c r="I722" t="s">
        <v>13</v>
      </c>
      <c r="J722" t="s">
        <v>14</v>
      </c>
      <c r="K722" t="str">
        <f t="shared" si="11"/>
        <v>Medium</v>
      </c>
    </row>
    <row r="723" spans="1:11" ht="15" customHeight="1" x14ac:dyDescent="0.25">
      <c r="A723" t="s">
        <v>739</v>
      </c>
      <c r="B723">
        <v>40</v>
      </c>
      <c r="C723">
        <v>54</v>
      </c>
      <c r="D723" t="s">
        <v>12</v>
      </c>
      <c r="E723" s="3">
        <v>434</v>
      </c>
      <c r="F723">
        <v>6</v>
      </c>
      <c r="G723">
        <v>12</v>
      </c>
      <c r="H723">
        <v>4.4000000000000004</v>
      </c>
      <c r="I723" t="s">
        <v>17</v>
      </c>
      <c r="J723" t="s">
        <v>14</v>
      </c>
      <c r="K723" t="str">
        <f t="shared" si="11"/>
        <v>Medium</v>
      </c>
    </row>
    <row r="724" spans="1:11" ht="15" customHeight="1" x14ac:dyDescent="0.25">
      <c r="A724" t="s">
        <v>740</v>
      </c>
      <c r="B724">
        <v>44</v>
      </c>
      <c r="C724">
        <v>13</v>
      </c>
      <c r="D724" t="s">
        <v>12</v>
      </c>
      <c r="E724" s="3">
        <v>431</v>
      </c>
      <c r="F724">
        <v>5</v>
      </c>
      <c r="G724">
        <v>27</v>
      </c>
      <c r="H724">
        <v>2.7</v>
      </c>
      <c r="I724" t="s">
        <v>17</v>
      </c>
      <c r="J724" t="s">
        <v>22</v>
      </c>
      <c r="K724" t="str">
        <f t="shared" si="11"/>
        <v>High</v>
      </c>
    </row>
    <row r="725" spans="1:11" ht="15" customHeight="1" x14ac:dyDescent="0.25">
      <c r="A725" t="s">
        <v>741</v>
      </c>
      <c r="B725">
        <v>21</v>
      </c>
      <c r="C725">
        <v>8</v>
      </c>
      <c r="D725" t="s">
        <v>12</v>
      </c>
      <c r="E725" s="3">
        <v>329</v>
      </c>
      <c r="F725">
        <v>8</v>
      </c>
      <c r="G725">
        <v>11</v>
      </c>
      <c r="H725">
        <v>3.8</v>
      </c>
      <c r="I725" t="s">
        <v>13</v>
      </c>
      <c r="J725" t="s">
        <v>14</v>
      </c>
      <c r="K725" t="str">
        <f t="shared" si="11"/>
        <v>Medium</v>
      </c>
    </row>
    <row r="726" spans="1:11" ht="15" customHeight="1" x14ac:dyDescent="0.25">
      <c r="A726" t="s">
        <v>742</v>
      </c>
      <c r="B726">
        <v>45</v>
      </c>
      <c r="C726">
        <v>40</v>
      </c>
      <c r="D726" t="s">
        <v>16</v>
      </c>
      <c r="E726" s="3">
        <v>497</v>
      </c>
      <c r="F726">
        <v>6</v>
      </c>
      <c r="G726">
        <v>29</v>
      </c>
      <c r="H726">
        <v>3.4</v>
      </c>
      <c r="I726" t="s">
        <v>17</v>
      </c>
      <c r="J726" t="s">
        <v>14</v>
      </c>
      <c r="K726" t="str">
        <f t="shared" si="11"/>
        <v>Medium</v>
      </c>
    </row>
    <row r="727" spans="1:11" ht="15" customHeight="1" x14ac:dyDescent="0.25">
      <c r="A727" t="s">
        <v>743</v>
      </c>
      <c r="B727">
        <v>44</v>
      </c>
      <c r="C727">
        <v>7</v>
      </c>
      <c r="D727" t="s">
        <v>26</v>
      </c>
      <c r="E727" s="3">
        <v>1064</v>
      </c>
      <c r="F727">
        <v>1</v>
      </c>
      <c r="G727">
        <v>12</v>
      </c>
      <c r="H727">
        <v>4.9000000000000004</v>
      </c>
      <c r="I727" t="s">
        <v>13</v>
      </c>
      <c r="J727" t="s">
        <v>14</v>
      </c>
      <c r="K727" t="str">
        <f t="shared" si="11"/>
        <v>Medium</v>
      </c>
    </row>
    <row r="728" spans="1:11" ht="15" customHeight="1" x14ac:dyDescent="0.25">
      <c r="A728" t="s">
        <v>744</v>
      </c>
      <c r="B728">
        <v>22</v>
      </c>
      <c r="C728">
        <v>16</v>
      </c>
      <c r="D728" t="s">
        <v>16</v>
      </c>
      <c r="E728" s="3">
        <v>590</v>
      </c>
      <c r="F728">
        <v>7</v>
      </c>
      <c r="G728">
        <v>9</v>
      </c>
      <c r="H728">
        <v>4.8</v>
      </c>
      <c r="I728" t="s">
        <v>17</v>
      </c>
      <c r="J728" t="s">
        <v>22</v>
      </c>
      <c r="K728" t="str">
        <f t="shared" si="11"/>
        <v>High</v>
      </c>
    </row>
    <row r="729" spans="1:11" ht="15" customHeight="1" x14ac:dyDescent="0.25">
      <c r="A729" t="s">
        <v>745</v>
      </c>
      <c r="B729">
        <v>61</v>
      </c>
      <c r="C729">
        <v>52</v>
      </c>
      <c r="D729" t="s">
        <v>12</v>
      </c>
      <c r="E729" s="3">
        <v>253</v>
      </c>
      <c r="F729">
        <v>0</v>
      </c>
      <c r="G729">
        <v>29</v>
      </c>
      <c r="H729">
        <v>1.3</v>
      </c>
      <c r="I729" t="s">
        <v>17</v>
      </c>
      <c r="J729" t="s">
        <v>14</v>
      </c>
      <c r="K729" t="str">
        <f t="shared" si="11"/>
        <v>Medium</v>
      </c>
    </row>
    <row r="730" spans="1:11" ht="15" customHeight="1" x14ac:dyDescent="0.25">
      <c r="A730" t="s">
        <v>746</v>
      </c>
      <c r="B730">
        <v>46</v>
      </c>
      <c r="C730">
        <v>36</v>
      </c>
      <c r="D730" t="s">
        <v>16</v>
      </c>
      <c r="E730" s="3">
        <v>548</v>
      </c>
      <c r="F730">
        <v>2</v>
      </c>
      <c r="G730">
        <v>29</v>
      </c>
      <c r="H730">
        <v>2.6</v>
      </c>
      <c r="I730" t="s">
        <v>17</v>
      </c>
      <c r="J730" t="s">
        <v>14</v>
      </c>
      <c r="K730" t="str">
        <f t="shared" si="11"/>
        <v>Medium</v>
      </c>
    </row>
    <row r="731" spans="1:11" ht="15" customHeight="1" x14ac:dyDescent="0.25">
      <c r="A731" t="s">
        <v>747</v>
      </c>
      <c r="B731">
        <v>44</v>
      </c>
      <c r="C731">
        <v>48</v>
      </c>
      <c r="D731" t="s">
        <v>12</v>
      </c>
      <c r="E731" s="3">
        <v>343</v>
      </c>
      <c r="F731">
        <v>5</v>
      </c>
      <c r="G731">
        <v>13</v>
      </c>
      <c r="H731">
        <v>3.4</v>
      </c>
      <c r="I731" t="s">
        <v>13</v>
      </c>
      <c r="J731" t="s">
        <v>14</v>
      </c>
      <c r="K731" t="str">
        <f t="shared" si="11"/>
        <v>Medium</v>
      </c>
    </row>
    <row r="732" spans="1:11" ht="15" customHeight="1" x14ac:dyDescent="0.25">
      <c r="A732" t="s">
        <v>748</v>
      </c>
      <c r="B732">
        <v>40</v>
      </c>
      <c r="C732">
        <v>35</v>
      </c>
      <c r="D732" t="s">
        <v>16</v>
      </c>
      <c r="E732" s="3">
        <v>518</v>
      </c>
      <c r="F732">
        <v>3</v>
      </c>
      <c r="G732">
        <v>27</v>
      </c>
      <c r="H732">
        <v>3</v>
      </c>
      <c r="I732" t="s">
        <v>13</v>
      </c>
      <c r="J732" t="s">
        <v>14</v>
      </c>
      <c r="K732" t="str">
        <f t="shared" si="11"/>
        <v>Low</v>
      </c>
    </row>
    <row r="733" spans="1:11" ht="15" customHeight="1" x14ac:dyDescent="0.25">
      <c r="A733" t="s">
        <v>749</v>
      </c>
      <c r="B733">
        <v>52</v>
      </c>
      <c r="C733">
        <v>46</v>
      </c>
      <c r="D733" t="s">
        <v>16</v>
      </c>
      <c r="E733" s="3">
        <v>503</v>
      </c>
      <c r="F733">
        <v>3</v>
      </c>
      <c r="G733">
        <v>25</v>
      </c>
      <c r="H733">
        <v>3.4</v>
      </c>
      <c r="I733" t="s">
        <v>17</v>
      </c>
      <c r="J733" t="s">
        <v>14</v>
      </c>
      <c r="K733" t="str">
        <f t="shared" si="11"/>
        <v>Low</v>
      </c>
    </row>
    <row r="734" spans="1:11" ht="15" customHeight="1" x14ac:dyDescent="0.25">
      <c r="A734" t="s">
        <v>750</v>
      </c>
      <c r="B734">
        <v>55</v>
      </c>
      <c r="C734">
        <v>53</v>
      </c>
      <c r="D734" t="s">
        <v>26</v>
      </c>
      <c r="E734" s="3">
        <v>1044</v>
      </c>
      <c r="F734">
        <v>0</v>
      </c>
      <c r="G734">
        <v>16</v>
      </c>
      <c r="H734">
        <v>2.7</v>
      </c>
      <c r="I734" t="s">
        <v>17</v>
      </c>
      <c r="J734" t="s">
        <v>14</v>
      </c>
      <c r="K734" t="str">
        <f t="shared" si="11"/>
        <v>Medium</v>
      </c>
    </row>
    <row r="735" spans="1:11" ht="15" customHeight="1" x14ac:dyDescent="0.25">
      <c r="A735" t="s">
        <v>751</v>
      </c>
      <c r="B735">
        <v>30</v>
      </c>
      <c r="C735">
        <v>2</v>
      </c>
      <c r="D735" t="s">
        <v>16</v>
      </c>
      <c r="E735" s="3">
        <v>479</v>
      </c>
      <c r="F735">
        <v>7</v>
      </c>
      <c r="G735">
        <v>29</v>
      </c>
      <c r="H735">
        <v>2.8</v>
      </c>
      <c r="I735" t="s">
        <v>13</v>
      </c>
      <c r="J735" t="s">
        <v>22</v>
      </c>
      <c r="K735" t="str">
        <f t="shared" si="11"/>
        <v>High</v>
      </c>
    </row>
    <row r="736" spans="1:11" ht="15" customHeight="1" x14ac:dyDescent="0.25">
      <c r="A736" t="s">
        <v>752</v>
      </c>
      <c r="B736">
        <v>42</v>
      </c>
      <c r="C736">
        <v>5</v>
      </c>
      <c r="D736" t="s">
        <v>26</v>
      </c>
      <c r="E736" s="3">
        <v>879</v>
      </c>
      <c r="F736">
        <v>0</v>
      </c>
      <c r="G736">
        <v>24</v>
      </c>
      <c r="H736">
        <v>2.7</v>
      </c>
      <c r="I736" t="s">
        <v>13</v>
      </c>
      <c r="J736" t="s">
        <v>22</v>
      </c>
      <c r="K736" t="str">
        <f t="shared" si="11"/>
        <v>High</v>
      </c>
    </row>
    <row r="737" spans="1:11" ht="15" customHeight="1" x14ac:dyDescent="0.25">
      <c r="A737" t="s">
        <v>753</v>
      </c>
      <c r="B737">
        <v>45</v>
      </c>
      <c r="C737">
        <v>14</v>
      </c>
      <c r="D737" t="s">
        <v>16</v>
      </c>
      <c r="E737" s="3">
        <v>725</v>
      </c>
      <c r="F737">
        <v>4</v>
      </c>
      <c r="G737">
        <v>12</v>
      </c>
      <c r="H737">
        <v>2.9</v>
      </c>
      <c r="I737" t="s">
        <v>17</v>
      </c>
      <c r="J737" t="s">
        <v>14</v>
      </c>
      <c r="K737" t="str">
        <f t="shared" si="11"/>
        <v>Medium</v>
      </c>
    </row>
    <row r="738" spans="1:11" ht="15" customHeight="1" x14ac:dyDescent="0.25">
      <c r="A738" t="s">
        <v>754</v>
      </c>
      <c r="B738">
        <v>52</v>
      </c>
      <c r="C738">
        <v>27</v>
      </c>
      <c r="D738" t="s">
        <v>12</v>
      </c>
      <c r="E738" s="3">
        <v>388</v>
      </c>
      <c r="F738">
        <v>0</v>
      </c>
      <c r="G738">
        <v>21</v>
      </c>
      <c r="H738">
        <v>4.9000000000000004</v>
      </c>
      <c r="I738" t="s">
        <v>17</v>
      </c>
      <c r="J738" t="s">
        <v>14</v>
      </c>
      <c r="K738" t="str">
        <f t="shared" si="11"/>
        <v>Low</v>
      </c>
    </row>
    <row r="739" spans="1:11" ht="15" customHeight="1" x14ac:dyDescent="0.25">
      <c r="A739" t="s">
        <v>755</v>
      </c>
      <c r="B739">
        <v>24</v>
      </c>
      <c r="C739">
        <v>40</v>
      </c>
      <c r="D739" t="s">
        <v>12</v>
      </c>
      <c r="E739" s="3">
        <v>355</v>
      </c>
      <c r="F739">
        <v>3</v>
      </c>
      <c r="G739">
        <v>9</v>
      </c>
      <c r="H739">
        <v>4</v>
      </c>
      <c r="I739" t="s">
        <v>13</v>
      </c>
      <c r="J739" t="s">
        <v>14</v>
      </c>
      <c r="K739" t="str">
        <f t="shared" si="11"/>
        <v>Low</v>
      </c>
    </row>
    <row r="740" spans="1:11" ht="15" customHeight="1" x14ac:dyDescent="0.25">
      <c r="A740" t="s">
        <v>756</v>
      </c>
      <c r="B740">
        <v>31</v>
      </c>
      <c r="C740">
        <v>54</v>
      </c>
      <c r="D740" t="s">
        <v>12</v>
      </c>
      <c r="E740" s="3">
        <v>416</v>
      </c>
      <c r="F740">
        <v>1</v>
      </c>
      <c r="G740">
        <v>12</v>
      </c>
      <c r="H740">
        <v>5</v>
      </c>
      <c r="I740" t="s">
        <v>17</v>
      </c>
      <c r="J740" t="s">
        <v>14</v>
      </c>
      <c r="K740" t="str">
        <f t="shared" si="11"/>
        <v>Low</v>
      </c>
    </row>
    <row r="741" spans="1:11" ht="15" customHeight="1" x14ac:dyDescent="0.25">
      <c r="A741" t="s">
        <v>757</v>
      </c>
      <c r="B741">
        <v>44</v>
      </c>
      <c r="C741">
        <v>52</v>
      </c>
      <c r="D741" t="s">
        <v>16</v>
      </c>
      <c r="E741" s="3">
        <v>692</v>
      </c>
      <c r="F741">
        <v>5</v>
      </c>
      <c r="G741">
        <v>7</v>
      </c>
      <c r="H741">
        <v>4.7</v>
      </c>
      <c r="I741" t="s">
        <v>17</v>
      </c>
      <c r="J741" t="s">
        <v>22</v>
      </c>
      <c r="K741" t="str">
        <f t="shared" si="11"/>
        <v>High</v>
      </c>
    </row>
    <row r="742" spans="1:11" ht="15" customHeight="1" x14ac:dyDescent="0.25">
      <c r="A742" t="s">
        <v>758</v>
      </c>
      <c r="B742">
        <v>65</v>
      </c>
      <c r="C742">
        <v>28</v>
      </c>
      <c r="D742" t="s">
        <v>26</v>
      </c>
      <c r="E742" s="3">
        <v>844</v>
      </c>
      <c r="F742">
        <v>4</v>
      </c>
      <c r="G742">
        <v>14</v>
      </c>
      <c r="H742">
        <v>3.8</v>
      </c>
      <c r="I742" t="s">
        <v>17</v>
      </c>
      <c r="J742" t="s">
        <v>22</v>
      </c>
      <c r="K742" t="str">
        <f t="shared" si="11"/>
        <v>High</v>
      </c>
    </row>
    <row r="743" spans="1:11" ht="15" customHeight="1" x14ac:dyDescent="0.25">
      <c r="A743" t="s">
        <v>759</v>
      </c>
      <c r="B743">
        <v>48</v>
      </c>
      <c r="C743">
        <v>49</v>
      </c>
      <c r="D743" t="s">
        <v>12</v>
      </c>
      <c r="E743" s="3">
        <v>315</v>
      </c>
      <c r="F743">
        <v>0</v>
      </c>
      <c r="G743">
        <v>19</v>
      </c>
      <c r="H743">
        <v>4.3</v>
      </c>
      <c r="I743" t="s">
        <v>17</v>
      </c>
      <c r="J743" t="s">
        <v>14</v>
      </c>
      <c r="K743" t="str">
        <f t="shared" si="11"/>
        <v>Low</v>
      </c>
    </row>
    <row r="744" spans="1:11" ht="15" customHeight="1" x14ac:dyDescent="0.25">
      <c r="A744" t="s">
        <v>760</v>
      </c>
      <c r="B744">
        <v>30</v>
      </c>
      <c r="C744">
        <v>1</v>
      </c>
      <c r="D744" t="s">
        <v>26</v>
      </c>
      <c r="E744" s="3">
        <v>752</v>
      </c>
      <c r="F744">
        <v>5</v>
      </c>
      <c r="G744">
        <v>14</v>
      </c>
      <c r="H744">
        <v>2.9</v>
      </c>
      <c r="I744" t="s">
        <v>17</v>
      </c>
      <c r="J744" t="s">
        <v>22</v>
      </c>
      <c r="K744" t="str">
        <f t="shared" si="11"/>
        <v>High</v>
      </c>
    </row>
    <row r="745" spans="1:11" ht="15" customHeight="1" x14ac:dyDescent="0.25">
      <c r="A745" t="s">
        <v>761</v>
      </c>
      <c r="B745">
        <v>24</v>
      </c>
      <c r="C745">
        <v>12</v>
      </c>
      <c r="D745" t="s">
        <v>12</v>
      </c>
      <c r="E745" s="3">
        <v>408</v>
      </c>
      <c r="F745">
        <v>8</v>
      </c>
      <c r="G745">
        <v>8</v>
      </c>
      <c r="H745">
        <v>5</v>
      </c>
      <c r="I745" t="s">
        <v>13</v>
      </c>
      <c r="J745" t="s">
        <v>22</v>
      </c>
      <c r="K745" t="str">
        <f t="shared" si="11"/>
        <v>High</v>
      </c>
    </row>
    <row r="746" spans="1:11" ht="15" customHeight="1" x14ac:dyDescent="0.25">
      <c r="A746" t="s">
        <v>762</v>
      </c>
      <c r="B746">
        <v>63</v>
      </c>
      <c r="C746">
        <v>59</v>
      </c>
      <c r="D746" t="s">
        <v>12</v>
      </c>
      <c r="E746" s="3">
        <v>345</v>
      </c>
      <c r="F746">
        <v>7</v>
      </c>
      <c r="G746">
        <v>24</v>
      </c>
      <c r="H746">
        <v>4.4000000000000004</v>
      </c>
      <c r="I746" t="s">
        <v>17</v>
      </c>
      <c r="J746" t="s">
        <v>14</v>
      </c>
      <c r="K746" t="str">
        <f t="shared" si="11"/>
        <v>Medium</v>
      </c>
    </row>
    <row r="747" spans="1:11" ht="15" customHeight="1" x14ac:dyDescent="0.25">
      <c r="A747" t="s">
        <v>763</v>
      </c>
      <c r="B747">
        <v>48</v>
      </c>
      <c r="C747">
        <v>2</v>
      </c>
      <c r="D747" t="s">
        <v>16</v>
      </c>
      <c r="E747" s="3">
        <v>511</v>
      </c>
      <c r="F747">
        <v>4</v>
      </c>
      <c r="G747">
        <v>11</v>
      </c>
      <c r="H747">
        <v>2.2000000000000002</v>
      </c>
      <c r="I747" t="s">
        <v>17</v>
      </c>
      <c r="J747" t="s">
        <v>14</v>
      </c>
      <c r="K747" t="str">
        <f t="shared" si="11"/>
        <v>Medium</v>
      </c>
    </row>
    <row r="748" spans="1:11" ht="15" customHeight="1" x14ac:dyDescent="0.25">
      <c r="A748" t="s">
        <v>764</v>
      </c>
      <c r="B748">
        <v>57</v>
      </c>
      <c r="C748">
        <v>34</v>
      </c>
      <c r="D748" t="s">
        <v>12</v>
      </c>
      <c r="E748" s="3">
        <v>275</v>
      </c>
      <c r="F748">
        <v>2</v>
      </c>
      <c r="G748">
        <v>21</v>
      </c>
      <c r="H748">
        <v>5</v>
      </c>
      <c r="I748" t="s">
        <v>13</v>
      </c>
      <c r="J748" t="s">
        <v>14</v>
      </c>
      <c r="K748" t="str">
        <f t="shared" si="11"/>
        <v>Low</v>
      </c>
    </row>
    <row r="749" spans="1:11" ht="15" customHeight="1" x14ac:dyDescent="0.25">
      <c r="A749" t="s">
        <v>765</v>
      </c>
      <c r="B749">
        <v>44</v>
      </c>
      <c r="C749">
        <v>51</v>
      </c>
      <c r="D749" t="s">
        <v>16</v>
      </c>
      <c r="E749" s="3">
        <v>733</v>
      </c>
      <c r="F749">
        <v>5</v>
      </c>
      <c r="G749">
        <v>9</v>
      </c>
      <c r="H749">
        <v>2.5</v>
      </c>
      <c r="I749" t="s">
        <v>17</v>
      </c>
      <c r="J749" t="s">
        <v>22</v>
      </c>
      <c r="K749" t="str">
        <f t="shared" si="11"/>
        <v>High</v>
      </c>
    </row>
    <row r="750" spans="1:11" ht="15" customHeight="1" x14ac:dyDescent="0.25">
      <c r="A750" t="s">
        <v>766</v>
      </c>
      <c r="B750">
        <v>51</v>
      </c>
      <c r="C750">
        <v>13</v>
      </c>
      <c r="D750" t="s">
        <v>16</v>
      </c>
      <c r="E750" s="3">
        <v>633</v>
      </c>
      <c r="F750">
        <v>7</v>
      </c>
      <c r="G750">
        <v>27</v>
      </c>
      <c r="H750">
        <v>4.2</v>
      </c>
      <c r="I750" t="s">
        <v>13</v>
      </c>
      <c r="J750" t="s">
        <v>14</v>
      </c>
      <c r="K750" t="str">
        <f t="shared" si="11"/>
        <v>Medium</v>
      </c>
    </row>
    <row r="751" spans="1:11" ht="15" customHeight="1" x14ac:dyDescent="0.25">
      <c r="A751" t="s">
        <v>767</v>
      </c>
      <c r="B751">
        <v>53</v>
      </c>
      <c r="C751">
        <v>6</v>
      </c>
      <c r="D751" t="s">
        <v>16</v>
      </c>
      <c r="E751" s="3">
        <v>719</v>
      </c>
      <c r="F751">
        <v>8</v>
      </c>
      <c r="G751">
        <v>18</v>
      </c>
      <c r="H751">
        <v>2.4</v>
      </c>
      <c r="I751" t="s">
        <v>17</v>
      </c>
      <c r="J751" t="s">
        <v>22</v>
      </c>
      <c r="K751" t="str">
        <f t="shared" si="11"/>
        <v>High</v>
      </c>
    </row>
    <row r="752" spans="1:11" ht="15" customHeight="1" x14ac:dyDescent="0.25">
      <c r="A752" t="s">
        <v>768</v>
      </c>
      <c r="B752">
        <v>32</v>
      </c>
      <c r="C752">
        <v>19</v>
      </c>
      <c r="D752" t="s">
        <v>12</v>
      </c>
      <c r="E752" s="3">
        <v>364</v>
      </c>
      <c r="F752">
        <v>6</v>
      </c>
      <c r="G752">
        <v>14</v>
      </c>
      <c r="H752">
        <v>3.2</v>
      </c>
      <c r="I752" t="s">
        <v>17</v>
      </c>
      <c r="J752" t="s">
        <v>22</v>
      </c>
      <c r="K752" t="str">
        <f t="shared" si="11"/>
        <v>High</v>
      </c>
    </row>
    <row r="753" spans="1:11" ht="15" customHeight="1" x14ac:dyDescent="0.25">
      <c r="A753" t="s">
        <v>769</v>
      </c>
      <c r="B753">
        <v>55</v>
      </c>
      <c r="C753">
        <v>31</v>
      </c>
      <c r="D753" t="s">
        <v>16</v>
      </c>
      <c r="E753" s="3">
        <v>704</v>
      </c>
      <c r="F753">
        <v>4</v>
      </c>
      <c r="G753">
        <v>26</v>
      </c>
      <c r="H753">
        <v>3.6</v>
      </c>
      <c r="I753" t="s">
        <v>13</v>
      </c>
      <c r="J753" t="s">
        <v>22</v>
      </c>
      <c r="K753" t="str">
        <f t="shared" si="11"/>
        <v>High</v>
      </c>
    </row>
    <row r="754" spans="1:11" ht="15" customHeight="1" x14ac:dyDescent="0.25">
      <c r="A754" t="s">
        <v>770</v>
      </c>
      <c r="B754">
        <v>22</v>
      </c>
      <c r="C754">
        <v>13</v>
      </c>
      <c r="D754" t="s">
        <v>26</v>
      </c>
      <c r="E754" s="3">
        <v>1132</v>
      </c>
      <c r="F754">
        <v>8</v>
      </c>
      <c r="G754">
        <v>7</v>
      </c>
      <c r="H754">
        <v>2.6</v>
      </c>
      <c r="I754" t="s">
        <v>17</v>
      </c>
      <c r="J754" t="s">
        <v>22</v>
      </c>
      <c r="K754" t="str">
        <f t="shared" si="11"/>
        <v>High</v>
      </c>
    </row>
    <row r="755" spans="1:11" ht="15" customHeight="1" x14ac:dyDescent="0.25">
      <c r="A755" t="s">
        <v>771</v>
      </c>
      <c r="B755">
        <v>39</v>
      </c>
      <c r="C755">
        <v>25</v>
      </c>
      <c r="D755" t="s">
        <v>12</v>
      </c>
      <c r="E755" s="3">
        <v>387</v>
      </c>
      <c r="F755">
        <v>6</v>
      </c>
      <c r="G755">
        <v>25</v>
      </c>
      <c r="H755">
        <v>2.4</v>
      </c>
      <c r="I755" t="s">
        <v>17</v>
      </c>
      <c r="J755" t="s">
        <v>14</v>
      </c>
      <c r="K755" t="str">
        <f t="shared" si="11"/>
        <v>Medium</v>
      </c>
    </row>
    <row r="756" spans="1:11" ht="15" customHeight="1" x14ac:dyDescent="0.25">
      <c r="A756" t="s">
        <v>772</v>
      </c>
      <c r="B756">
        <v>52</v>
      </c>
      <c r="C756">
        <v>24</v>
      </c>
      <c r="D756" t="s">
        <v>16</v>
      </c>
      <c r="E756" s="3">
        <v>559</v>
      </c>
      <c r="F756">
        <v>7</v>
      </c>
      <c r="G756">
        <v>7</v>
      </c>
      <c r="H756">
        <v>4.5999999999999996</v>
      </c>
      <c r="I756" t="s">
        <v>17</v>
      </c>
      <c r="J756" t="s">
        <v>22</v>
      </c>
      <c r="K756" t="str">
        <f t="shared" si="11"/>
        <v>High</v>
      </c>
    </row>
    <row r="757" spans="1:11" ht="15" customHeight="1" x14ac:dyDescent="0.25">
      <c r="A757" t="s">
        <v>773</v>
      </c>
      <c r="B757">
        <v>33</v>
      </c>
      <c r="C757">
        <v>37</v>
      </c>
      <c r="D757" t="s">
        <v>16</v>
      </c>
      <c r="E757" s="3">
        <v>473</v>
      </c>
      <c r="F757">
        <v>3</v>
      </c>
      <c r="G757">
        <v>30</v>
      </c>
      <c r="H757">
        <v>2.6</v>
      </c>
      <c r="I757" t="s">
        <v>13</v>
      </c>
      <c r="J757" t="s">
        <v>14</v>
      </c>
      <c r="K757" t="str">
        <f t="shared" si="11"/>
        <v>Medium</v>
      </c>
    </row>
    <row r="758" spans="1:11" ht="15" customHeight="1" x14ac:dyDescent="0.25">
      <c r="A758" t="s">
        <v>774</v>
      </c>
      <c r="B758">
        <v>20</v>
      </c>
      <c r="C758">
        <v>58</v>
      </c>
      <c r="D758" t="s">
        <v>12</v>
      </c>
      <c r="E758" s="3">
        <v>334</v>
      </c>
      <c r="F758">
        <v>3</v>
      </c>
      <c r="G758">
        <v>13</v>
      </c>
      <c r="H758">
        <v>4.3</v>
      </c>
      <c r="I758" t="s">
        <v>17</v>
      </c>
      <c r="J758" t="s">
        <v>14</v>
      </c>
      <c r="K758" t="str">
        <f t="shared" si="11"/>
        <v>Low</v>
      </c>
    </row>
    <row r="759" spans="1:11" ht="15" customHeight="1" x14ac:dyDescent="0.25">
      <c r="A759" t="s">
        <v>775</v>
      </c>
      <c r="B759">
        <v>59</v>
      </c>
      <c r="C759">
        <v>43</v>
      </c>
      <c r="D759" t="s">
        <v>12</v>
      </c>
      <c r="E759" s="3">
        <v>358</v>
      </c>
      <c r="F759">
        <v>4</v>
      </c>
      <c r="G759">
        <v>8</v>
      </c>
      <c r="H759">
        <v>3</v>
      </c>
      <c r="I759" t="s">
        <v>13</v>
      </c>
      <c r="J759" t="s">
        <v>14</v>
      </c>
      <c r="K759" t="str">
        <f t="shared" si="11"/>
        <v>Low</v>
      </c>
    </row>
    <row r="760" spans="1:11" ht="15" customHeight="1" x14ac:dyDescent="0.25">
      <c r="A760" t="s">
        <v>776</v>
      </c>
      <c r="B760">
        <v>37</v>
      </c>
      <c r="C760">
        <v>27</v>
      </c>
      <c r="D760" t="s">
        <v>16</v>
      </c>
      <c r="E760" s="3">
        <v>661</v>
      </c>
      <c r="F760">
        <v>4</v>
      </c>
      <c r="G760">
        <v>28</v>
      </c>
      <c r="H760">
        <v>4.8</v>
      </c>
      <c r="I760" t="s">
        <v>17</v>
      </c>
      <c r="J760" t="s">
        <v>14</v>
      </c>
      <c r="K760" t="str">
        <f t="shared" si="11"/>
        <v>Low</v>
      </c>
    </row>
    <row r="761" spans="1:11" ht="15" customHeight="1" x14ac:dyDescent="0.25">
      <c r="A761" t="s">
        <v>777</v>
      </c>
      <c r="B761">
        <v>60</v>
      </c>
      <c r="C761">
        <v>45</v>
      </c>
      <c r="D761" t="s">
        <v>16</v>
      </c>
      <c r="E761" s="3">
        <v>679</v>
      </c>
      <c r="F761">
        <v>3</v>
      </c>
      <c r="G761">
        <v>4</v>
      </c>
      <c r="H761">
        <v>2.5</v>
      </c>
      <c r="I761" t="s">
        <v>17</v>
      </c>
      <c r="J761" t="s">
        <v>22</v>
      </c>
      <c r="K761" t="str">
        <f t="shared" si="11"/>
        <v>High</v>
      </c>
    </row>
    <row r="762" spans="1:11" ht="15" customHeight="1" x14ac:dyDescent="0.25">
      <c r="A762" t="s">
        <v>778</v>
      </c>
      <c r="B762">
        <v>51</v>
      </c>
      <c r="C762">
        <v>5</v>
      </c>
      <c r="D762" t="s">
        <v>12</v>
      </c>
      <c r="E762" s="3">
        <v>333</v>
      </c>
      <c r="F762">
        <v>4</v>
      </c>
      <c r="G762">
        <v>23</v>
      </c>
      <c r="H762">
        <v>3.2</v>
      </c>
      <c r="I762" t="s">
        <v>17</v>
      </c>
      <c r="J762" t="s">
        <v>22</v>
      </c>
      <c r="K762" t="str">
        <f t="shared" si="11"/>
        <v>High</v>
      </c>
    </row>
    <row r="763" spans="1:11" ht="15" customHeight="1" x14ac:dyDescent="0.25">
      <c r="A763" t="s">
        <v>779</v>
      </c>
      <c r="B763">
        <v>56</v>
      </c>
      <c r="C763">
        <v>17</v>
      </c>
      <c r="D763" t="s">
        <v>12</v>
      </c>
      <c r="E763" s="3">
        <v>280</v>
      </c>
      <c r="F763">
        <v>3</v>
      </c>
      <c r="G763">
        <v>4</v>
      </c>
      <c r="H763">
        <v>2.1</v>
      </c>
      <c r="I763" t="s">
        <v>17</v>
      </c>
      <c r="J763" t="s">
        <v>14</v>
      </c>
      <c r="K763" t="str">
        <f t="shared" si="11"/>
        <v>Medium</v>
      </c>
    </row>
    <row r="764" spans="1:11" ht="15" customHeight="1" x14ac:dyDescent="0.25">
      <c r="A764" t="s">
        <v>780</v>
      </c>
      <c r="B764">
        <v>28</v>
      </c>
      <c r="C764">
        <v>34</v>
      </c>
      <c r="D764" t="s">
        <v>26</v>
      </c>
      <c r="E764" s="3">
        <v>805</v>
      </c>
      <c r="F764">
        <v>1</v>
      </c>
      <c r="G764">
        <v>9</v>
      </c>
      <c r="H764">
        <v>4.4000000000000004</v>
      </c>
      <c r="I764" t="s">
        <v>17</v>
      </c>
      <c r="J764" t="s">
        <v>14</v>
      </c>
      <c r="K764" t="str">
        <f t="shared" si="11"/>
        <v>Low</v>
      </c>
    </row>
    <row r="765" spans="1:11" ht="15" customHeight="1" x14ac:dyDescent="0.25">
      <c r="A765" t="s">
        <v>781</v>
      </c>
      <c r="B765">
        <v>24</v>
      </c>
      <c r="C765">
        <v>16</v>
      </c>
      <c r="D765" t="s">
        <v>16</v>
      </c>
      <c r="E765" s="3">
        <v>674</v>
      </c>
      <c r="F765">
        <v>2</v>
      </c>
      <c r="G765">
        <v>16</v>
      </c>
      <c r="H765">
        <v>3.7</v>
      </c>
      <c r="I765" t="s">
        <v>17</v>
      </c>
      <c r="J765" t="s">
        <v>22</v>
      </c>
      <c r="K765" t="str">
        <f t="shared" si="11"/>
        <v>High</v>
      </c>
    </row>
    <row r="766" spans="1:11" ht="15" customHeight="1" x14ac:dyDescent="0.25">
      <c r="A766" t="s">
        <v>782</v>
      </c>
      <c r="B766">
        <v>52</v>
      </c>
      <c r="C766">
        <v>50</v>
      </c>
      <c r="D766" t="s">
        <v>26</v>
      </c>
      <c r="E766" s="3">
        <v>1121</v>
      </c>
      <c r="F766">
        <v>5</v>
      </c>
      <c r="G766">
        <v>3</v>
      </c>
      <c r="H766">
        <v>1.5</v>
      </c>
      <c r="I766" t="s">
        <v>17</v>
      </c>
      <c r="J766" t="s">
        <v>14</v>
      </c>
      <c r="K766" t="str">
        <f t="shared" si="11"/>
        <v>Medium</v>
      </c>
    </row>
    <row r="767" spans="1:11" ht="15" customHeight="1" x14ac:dyDescent="0.25">
      <c r="A767" t="s">
        <v>783</v>
      </c>
      <c r="B767">
        <v>31</v>
      </c>
      <c r="C767">
        <v>23</v>
      </c>
      <c r="D767" t="s">
        <v>16</v>
      </c>
      <c r="E767" s="3">
        <v>478</v>
      </c>
      <c r="F767">
        <v>6</v>
      </c>
      <c r="G767">
        <v>6</v>
      </c>
      <c r="H767">
        <v>2.6</v>
      </c>
      <c r="I767" t="s">
        <v>13</v>
      </c>
      <c r="J767" t="s">
        <v>14</v>
      </c>
      <c r="K767" t="str">
        <f t="shared" si="11"/>
        <v>Medium</v>
      </c>
    </row>
    <row r="768" spans="1:11" ht="15" customHeight="1" x14ac:dyDescent="0.25">
      <c r="A768" t="s">
        <v>784</v>
      </c>
      <c r="B768">
        <v>34</v>
      </c>
      <c r="C768">
        <v>12</v>
      </c>
      <c r="D768" t="s">
        <v>16</v>
      </c>
      <c r="E768" s="3">
        <v>674</v>
      </c>
      <c r="F768">
        <v>7</v>
      </c>
      <c r="G768">
        <v>4</v>
      </c>
      <c r="H768">
        <v>4.2</v>
      </c>
      <c r="I768" t="s">
        <v>17</v>
      </c>
      <c r="J768" t="s">
        <v>22</v>
      </c>
      <c r="K768" t="str">
        <f t="shared" si="11"/>
        <v>High</v>
      </c>
    </row>
    <row r="769" spans="1:11" ht="15" customHeight="1" x14ac:dyDescent="0.25">
      <c r="A769" t="s">
        <v>785</v>
      </c>
      <c r="B769">
        <v>55</v>
      </c>
      <c r="C769">
        <v>21</v>
      </c>
      <c r="D769" t="s">
        <v>12</v>
      </c>
      <c r="E769" s="3">
        <v>425</v>
      </c>
      <c r="F769">
        <v>8</v>
      </c>
      <c r="G769">
        <v>19</v>
      </c>
      <c r="H769">
        <v>2.5</v>
      </c>
      <c r="I769" t="s">
        <v>17</v>
      </c>
      <c r="J769" t="s">
        <v>14</v>
      </c>
      <c r="K769" t="str">
        <f t="shared" si="11"/>
        <v>Medium</v>
      </c>
    </row>
    <row r="770" spans="1:11" ht="15" customHeight="1" x14ac:dyDescent="0.25">
      <c r="A770" t="s">
        <v>786</v>
      </c>
      <c r="B770">
        <v>40</v>
      </c>
      <c r="C770">
        <v>24</v>
      </c>
      <c r="D770" t="s">
        <v>12</v>
      </c>
      <c r="E770" s="3">
        <v>276</v>
      </c>
      <c r="F770">
        <v>6</v>
      </c>
      <c r="G770">
        <v>2</v>
      </c>
      <c r="H770">
        <v>2</v>
      </c>
      <c r="I770" t="s">
        <v>13</v>
      </c>
      <c r="J770" t="s">
        <v>22</v>
      </c>
      <c r="K770" t="str">
        <f t="shared" ref="K770:K801" si="12">IF(J770="Yes","High",IF(OR(H770&lt;3,F770&gt;=5,C770&lt;12),"Medium","Low"))</f>
        <v>High</v>
      </c>
    </row>
    <row r="771" spans="1:11" ht="15" customHeight="1" x14ac:dyDescent="0.25">
      <c r="A771" t="s">
        <v>787</v>
      </c>
      <c r="B771">
        <v>34</v>
      </c>
      <c r="C771">
        <v>49</v>
      </c>
      <c r="D771" t="s">
        <v>16</v>
      </c>
      <c r="E771" s="3">
        <v>729</v>
      </c>
      <c r="F771">
        <v>0</v>
      </c>
      <c r="G771">
        <v>22</v>
      </c>
      <c r="H771">
        <v>2.9</v>
      </c>
      <c r="I771" t="s">
        <v>13</v>
      </c>
      <c r="J771" t="s">
        <v>14</v>
      </c>
      <c r="K771" t="str">
        <f t="shared" si="12"/>
        <v>Medium</v>
      </c>
    </row>
    <row r="772" spans="1:11" ht="15" customHeight="1" x14ac:dyDescent="0.25">
      <c r="A772" t="s">
        <v>788</v>
      </c>
      <c r="B772">
        <v>56</v>
      </c>
      <c r="C772">
        <v>42</v>
      </c>
      <c r="D772" t="s">
        <v>16</v>
      </c>
      <c r="E772" s="3">
        <v>648</v>
      </c>
      <c r="F772">
        <v>3</v>
      </c>
      <c r="G772">
        <v>23</v>
      </c>
      <c r="H772">
        <v>2.8</v>
      </c>
      <c r="I772" t="s">
        <v>13</v>
      </c>
      <c r="J772" t="s">
        <v>14</v>
      </c>
      <c r="K772" t="str">
        <f t="shared" si="12"/>
        <v>Medium</v>
      </c>
    </row>
    <row r="773" spans="1:11" ht="15" customHeight="1" x14ac:dyDescent="0.25">
      <c r="A773" t="s">
        <v>789</v>
      </c>
      <c r="B773">
        <v>50</v>
      </c>
      <c r="C773">
        <v>59</v>
      </c>
      <c r="D773" t="s">
        <v>26</v>
      </c>
      <c r="E773" s="3">
        <v>1200</v>
      </c>
      <c r="F773">
        <v>5</v>
      </c>
      <c r="G773">
        <v>9</v>
      </c>
      <c r="H773">
        <v>3.5</v>
      </c>
      <c r="I773" t="s">
        <v>17</v>
      </c>
      <c r="J773" t="s">
        <v>14</v>
      </c>
      <c r="K773" t="str">
        <f t="shared" si="12"/>
        <v>Medium</v>
      </c>
    </row>
    <row r="774" spans="1:11" ht="15" customHeight="1" x14ac:dyDescent="0.25">
      <c r="A774" t="s">
        <v>790</v>
      </c>
      <c r="B774">
        <v>31</v>
      </c>
      <c r="C774">
        <v>25</v>
      </c>
      <c r="D774" t="s">
        <v>26</v>
      </c>
      <c r="E774" s="3">
        <v>1128</v>
      </c>
      <c r="F774">
        <v>0</v>
      </c>
      <c r="G774">
        <v>15</v>
      </c>
      <c r="H774">
        <v>3.7</v>
      </c>
      <c r="I774" t="s">
        <v>17</v>
      </c>
      <c r="J774" t="s">
        <v>14</v>
      </c>
      <c r="K774" t="str">
        <f t="shared" si="12"/>
        <v>Low</v>
      </c>
    </row>
    <row r="775" spans="1:11" ht="15" customHeight="1" x14ac:dyDescent="0.25">
      <c r="A775" t="s">
        <v>791</v>
      </c>
      <c r="B775">
        <v>54</v>
      </c>
      <c r="C775">
        <v>55</v>
      </c>
      <c r="D775" t="s">
        <v>12</v>
      </c>
      <c r="E775" s="3">
        <v>352</v>
      </c>
      <c r="F775">
        <v>5</v>
      </c>
      <c r="G775">
        <v>8</v>
      </c>
      <c r="H775">
        <v>3</v>
      </c>
      <c r="I775" t="s">
        <v>13</v>
      </c>
      <c r="J775" t="s">
        <v>14</v>
      </c>
      <c r="K775" t="str">
        <f t="shared" si="12"/>
        <v>Medium</v>
      </c>
    </row>
    <row r="776" spans="1:11" ht="15" customHeight="1" x14ac:dyDescent="0.25">
      <c r="A776" t="s">
        <v>792</v>
      </c>
      <c r="B776">
        <v>46</v>
      </c>
      <c r="C776">
        <v>30</v>
      </c>
      <c r="D776" t="s">
        <v>16</v>
      </c>
      <c r="E776" s="3">
        <v>648</v>
      </c>
      <c r="F776">
        <v>5</v>
      </c>
      <c r="G776">
        <v>12</v>
      </c>
      <c r="H776">
        <v>3.1</v>
      </c>
      <c r="I776" t="s">
        <v>13</v>
      </c>
      <c r="J776" t="s">
        <v>14</v>
      </c>
      <c r="K776" t="str">
        <f t="shared" si="12"/>
        <v>Medium</v>
      </c>
    </row>
    <row r="777" spans="1:11" ht="15" customHeight="1" x14ac:dyDescent="0.25">
      <c r="A777" t="s">
        <v>793</v>
      </c>
      <c r="B777">
        <v>33</v>
      </c>
      <c r="C777">
        <v>46</v>
      </c>
      <c r="D777" t="s">
        <v>12</v>
      </c>
      <c r="E777" s="3">
        <v>299</v>
      </c>
      <c r="F777">
        <v>8</v>
      </c>
      <c r="G777">
        <v>29</v>
      </c>
      <c r="H777">
        <v>4.3</v>
      </c>
      <c r="I777" t="s">
        <v>13</v>
      </c>
      <c r="J777" t="s">
        <v>14</v>
      </c>
      <c r="K777" t="str">
        <f t="shared" si="12"/>
        <v>Medium</v>
      </c>
    </row>
    <row r="778" spans="1:11" ht="15" customHeight="1" x14ac:dyDescent="0.25">
      <c r="A778" t="s">
        <v>794</v>
      </c>
      <c r="B778">
        <v>61</v>
      </c>
      <c r="C778">
        <v>20</v>
      </c>
      <c r="D778" t="s">
        <v>12</v>
      </c>
      <c r="E778" s="3">
        <v>286</v>
      </c>
      <c r="F778">
        <v>8</v>
      </c>
      <c r="G778">
        <v>22</v>
      </c>
      <c r="H778">
        <v>1.6</v>
      </c>
      <c r="I778" t="s">
        <v>13</v>
      </c>
      <c r="J778" t="s">
        <v>14</v>
      </c>
      <c r="K778" t="str">
        <f t="shared" si="12"/>
        <v>Medium</v>
      </c>
    </row>
    <row r="779" spans="1:11" ht="15" customHeight="1" x14ac:dyDescent="0.25">
      <c r="A779" t="s">
        <v>795</v>
      </c>
      <c r="B779">
        <v>46</v>
      </c>
      <c r="C779">
        <v>4</v>
      </c>
      <c r="D779" t="s">
        <v>12</v>
      </c>
      <c r="E779" s="3">
        <v>336</v>
      </c>
      <c r="F779">
        <v>6</v>
      </c>
      <c r="G779">
        <v>18</v>
      </c>
      <c r="H779">
        <v>4.0999999999999996</v>
      </c>
      <c r="I779" t="s">
        <v>17</v>
      </c>
      <c r="J779" t="s">
        <v>14</v>
      </c>
      <c r="K779" t="str">
        <f t="shared" si="12"/>
        <v>Medium</v>
      </c>
    </row>
    <row r="780" spans="1:11" ht="15" customHeight="1" x14ac:dyDescent="0.25">
      <c r="A780" t="s">
        <v>796</v>
      </c>
      <c r="B780">
        <v>21</v>
      </c>
      <c r="C780">
        <v>45</v>
      </c>
      <c r="D780" t="s">
        <v>12</v>
      </c>
      <c r="E780" s="3">
        <v>395</v>
      </c>
      <c r="F780">
        <v>2</v>
      </c>
      <c r="G780">
        <v>22</v>
      </c>
      <c r="H780">
        <v>2.2000000000000002</v>
      </c>
      <c r="I780" t="s">
        <v>17</v>
      </c>
      <c r="J780" t="s">
        <v>14</v>
      </c>
      <c r="K780" t="str">
        <f t="shared" si="12"/>
        <v>Medium</v>
      </c>
    </row>
    <row r="781" spans="1:11" ht="15" customHeight="1" x14ac:dyDescent="0.25">
      <c r="A781" t="s">
        <v>797</v>
      </c>
      <c r="B781">
        <v>49</v>
      </c>
      <c r="C781">
        <v>16</v>
      </c>
      <c r="D781" t="s">
        <v>26</v>
      </c>
      <c r="E781" s="3">
        <v>911</v>
      </c>
      <c r="F781">
        <v>8</v>
      </c>
      <c r="G781">
        <v>25</v>
      </c>
      <c r="H781">
        <v>4.4000000000000004</v>
      </c>
      <c r="I781" t="s">
        <v>17</v>
      </c>
      <c r="J781" t="s">
        <v>22</v>
      </c>
      <c r="K781" t="str">
        <f t="shared" si="12"/>
        <v>High</v>
      </c>
    </row>
    <row r="782" spans="1:11" ht="15" customHeight="1" x14ac:dyDescent="0.25">
      <c r="A782" t="s">
        <v>798</v>
      </c>
      <c r="B782">
        <v>26</v>
      </c>
      <c r="C782">
        <v>51</v>
      </c>
      <c r="D782" t="s">
        <v>12</v>
      </c>
      <c r="E782" s="3">
        <v>255</v>
      </c>
      <c r="F782">
        <v>0</v>
      </c>
      <c r="G782">
        <v>12</v>
      </c>
      <c r="H782">
        <v>4</v>
      </c>
      <c r="I782" t="s">
        <v>13</v>
      </c>
      <c r="J782" t="s">
        <v>14</v>
      </c>
      <c r="K782" t="str">
        <f t="shared" si="12"/>
        <v>Low</v>
      </c>
    </row>
    <row r="783" spans="1:11" ht="15" customHeight="1" x14ac:dyDescent="0.25">
      <c r="A783" t="s">
        <v>799</v>
      </c>
      <c r="B783">
        <v>29</v>
      </c>
      <c r="C783">
        <v>14</v>
      </c>
      <c r="D783" t="s">
        <v>12</v>
      </c>
      <c r="E783" s="3">
        <v>266</v>
      </c>
      <c r="F783">
        <v>5</v>
      </c>
      <c r="G783">
        <v>20</v>
      </c>
      <c r="H783">
        <v>2.9</v>
      </c>
      <c r="I783" t="s">
        <v>13</v>
      </c>
      <c r="J783" t="s">
        <v>14</v>
      </c>
      <c r="K783" t="str">
        <f t="shared" si="12"/>
        <v>Medium</v>
      </c>
    </row>
    <row r="784" spans="1:11" ht="15" customHeight="1" x14ac:dyDescent="0.25">
      <c r="A784" t="s">
        <v>800</v>
      </c>
      <c r="B784">
        <v>41</v>
      </c>
      <c r="C784">
        <v>46</v>
      </c>
      <c r="D784" t="s">
        <v>12</v>
      </c>
      <c r="E784" s="3">
        <v>327</v>
      </c>
      <c r="F784">
        <v>8</v>
      </c>
      <c r="G784">
        <v>7</v>
      </c>
      <c r="H784">
        <v>3.9</v>
      </c>
      <c r="I784" t="s">
        <v>17</v>
      </c>
      <c r="J784" t="s">
        <v>14</v>
      </c>
      <c r="K784" t="str">
        <f t="shared" si="12"/>
        <v>Medium</v>
      </c>
    </row>
    <row r="785" spans="1:11" ht="15" customHeight="1" x14ac:dyDescent="0.25">
      <c r="A785" t="s">
        <v>801</v>
      </c>
      <c r="B785">
        <v>59</v>
      </c>
      <c r="C785">
        <v>27</v>
      </c>
      <c r="D785" t="s">
        <v>12</v>
      </c>
      <c r="E785" s="3">
        <v>391</v>
      </c>
      <c r="F785">
        <v>4</v>
      </c>
      <c r="G785">
        <v>24</v>
      </c>
      <c r="H785">
        <v>3.2</v>
      </c>
      <c r="I785" t="s">
        <v>13</v>
      </c>
      <c r="J785" t="s">
        <v>14</v>
      </c>
      <c r="K785" t="str">
        <f t="shared" si="12"/>
        <v>Low</v>
      </c>
    </row>
    <row r="786" spans="1:11" ht="15" customHeight="1" x14ac:dyDescent="0.25">
      <c r="A786" t="s">
        <v>802</v>
      </c>
      <c r="B786">
        <v>27</v>
      </c>
      <c r="C786">
        <v>43</v>
      </c>
      <c r="D786" t="s">
        <v>26</v>
      </c>
      <c r="E786" s="3">
        <v>1136</v>
      </c>
      <c r="F786">
        <v>0</v>
      </c>
      <c r="G786">
        <v>6</v>
      </c>
      <c r="H786">
        <v>4.2</v>
      </c>
      <c r="I786" t="s">
        <v>17</v>
      </c>
      <c r="J786" t="s">
        <v>14</v>
      </c>
      <c r="K786" t="str">
        <f t="shared" si="12"/>
        <v>Low</v>
      </c>
    </row>
    <row r="787" spans="1:11" ht="15" customHeight="1" x14ac:dyDescent="0.25">
      <c r="A787" t="s">
        <v>803</v>
      </c>
      <c r="B787">
        <v>57</v>
      </c>
      <c r="C787">
        <v>45</v>
      </c>
      <c r="D787" t="s">
        <v>26</v>
      </c>
      <c r="E787" s="3">
        <v>1049</v>
      </c>
      <c r="F787">
        <v>2</v>
      </c>
      <c r="G787">
        <v>16</v>
      </c>
      <c r="H787">
        <v>2.8</v>
      </c>
      <c r="I787" t="s">
        <v>13</v>
      </c>
      <c r="J787" t="s">
        <v>14</v>
      </c>
      <c r="K787" t="str">
        <f t="shared" si="12"/>
        <v>Medium</v>
      </c>
    </row>
    <row r="788" spans="1:11" ht="15" customHeight="1" x14ac:dyDescent="0.25">
      <c r="A788" t="s">
        <v>804</v>
      </c>
      <c r="B788">
        <v>62</v>
      </c>
      <c r="C788">
        <v>37</v>
      </c>
      <c r="D788" t="s">
        <v>12</v>
      </c>
      <c r="E788" s="3">
        <v>336</v>
      </c>
      <c r="F788">
        <v>1</v>
      </c>
      <c r="G788">
        <v>7</v>
      </c>
      <c r="H788">
        <v>4</v>
      </c>
      <c r="I788" t="s">
        <v>17</v>
      </c>
      <c r="J788" t="s">
        <v>22</v>
      </c>
      <c r="K788" t="str">
        <f t="shared" si="12"/>
        <v>High</v>
      </c>
    </row>
    <row r="789" spans="1:11" ht="15" customHeight="1" x14ac:dyDescent="0.25">
      <c r="A789" t="s">
        <v>805</v>
      </c>
      <c r="B789">
        <v>62</v>
      </c>
      <c r="C789">
        <v>13</v>
      </c>
      <c r="D789" t="s">
        <v>26</v>
      </c>
      <c r="E789" s="3">
        <v>1114</v>
      </c>
      <c r="F789">
        <v>1</v>
      </c>
      <c r="G789">
        <v>13</v>
      </c>
      <c r="H789">
        <v>4.0999999999999996</v>
      </c>
      <c r="I789" t="s">
        <v>17</v>
      </c>
      <c r="J789" t="s">
        <v>14</v>
      </c>
      <c r="K789" t="str">
        <f t="shared" si="12"/>
        <v>Low</v>
      </c>
    </row>
    <row r="790" spans="1:11" ht="15" customHeight="1" x14ac:dyDescent="0.25">
      <c r="A790" t="s">
        <v>806</v>
      </c>
      <c r="B790">
        <v>21</v>
      </c>
      <c r="C790">
        <v>40</v>
      </c>
      <c r="D790" t="s">
        <v>26</v>
      </c>
      <c r="E790" s="3">
        <v>936</v>
      </c>
      <c r="F790">
        <v>4</v>
      </c>
      <c r="G790">
        <v>8</v>
      </c>
      <c r="H790">
        <v>1</v>
      </c>
      <c r="I790" t="s">
        <v>13</v>
      </c>
      <c r="J790" t="s">
        <v>22</v>
      </c>
      <c r="K790" t="str">
        <f t="shared" si="12"/>
        <v>High</v>
      </c>
    </row>
    <row r="791" spans="1:11" ht="15" customHeight="1" x14ac:dyDescent="0.25">
      <c r="A791" t="s">
        <v>807</v>
      </c>
      <c r="B791">
        <v>40</v>
      </c>
      <c r="C791">
        <v>58</v>
      </c>
      <c r="D791" t="s">
        <v>12</v>
      </c>
      <c r="E791" s="3">
        <v>416</v>
      </c>
      <c r="F791">
        <v>4</v>
      </c>
      <c r="G791">
        <v>10</v>
      </c>
      <c r="H791">
        <v>3.3</v>
      </c>
      <c r="I791" t="s">
        <v>17</v>
      </c>
      <c r="J791" t="s">
        <v>14</v>
      </c>
      <c r="K791" t="str">
        <f t="shared" si="12"/>
        <v>Low</v>
      </c>
    </row>
    <row r="792" spans="1:11" ht="15" customHeight="1" x14ac:dyDescent="0.25">
      <c r="A792" t="s">
        <v>808</v>
      </c>
      <c r="B792">
        <v>22</v>
      </c>
      <c r="C792">
        <v>18</v>
      </c>
      <c r="D792" t="s">
        <v>16</v>
      </c>
      <c r="E792" s="3">
        <v>684</v>
      </c>
      <c r="F792">
        <v>1</v>
      </c>
      <c r="G792">
        <v>12</v>
      </c>
      <c r="H792">
        <v>3</v>
      </c>
      <c r="I792" t="s">
        <v>13</v>
      </c>
      <c r="J792" t="s">
        <v>14</v>
      </c>
      <c r="K792" t="str">
        <f t="shared" si="12"/>
        <v>Low</v>
      </c>
    </row>
    <row r="793" spans="1:11" ht="15" customHeight="1" x14ac:dyDescent="0.25">
      <c r="A793" t="s">
        <v>809</v>
      </c>
      <c r="B793">
        <v>56</v>
      </c>
      <c r="C793">
        <v>2</v>
      </c>
      <c r="D793" t="s">
        <v>12</v>
      </c>
      <c r="E793" s="3">
        <v>301</v>
      </c>
      <c r="F793">
        <v>6</v>
      </c>
      <c r="G793">
        <v>3</v>
      </c>
      <c r="H793">
        <v>3.3</v>
      </c>
      <c r="I793" t="s">
        <v>13</v>
      </c>
      <c r="J793" t="s">
        <v>22</v>
      </c>
      <c r="K793" t="str">
        <f t="shared" si="12"/>
        <v>High</v>
      </c>
    </row>
    <row r="794" spans="1:11" ht="15" customHeight="1" x14ac:dyDescent="0.25">
      <c r="A794" t="s">
        <v>810</v>
      </c>
      <c r="B794">
        <v>44</v>
      </c>
      <c r="C794">
        <v>22</v>
      </c>
      <c r="D794" t="s">
        <v>16</v>
      </c>
      <c r="E794" s="3">
        <v>667</v>
      </c>
      <c r="F794">
        <v>5</v>
      </c>
      <c r="G794">
        <v>6</v>
      </c>
      <c r="H794">
        <v>4.8</v>
      </c>
      <c r="I794" t="s">
        <v>17</v>
      </c>
      <c r="J794" t="s">
        <v>14</v>
      </c>
      <c r="K794" t="str">
        <f t="shared" si="12"/>
        <v>Medium</v>
      </c>
    </row>
    <row r="795" spans="1:11" ht="15" customHeight="1" x14ac:dyDescent="0.25">
      <c r="A795" t="s">
        <v>811</v>
      </c>
      <c r="B795">
        <v>37</v>
      </c>
      <c r="C795">
        <v>6</v>
      </c>
      <c r="D795" t="s">
        <v>26</v>
      </c>
      <c r="E795" s="3">
        <v>1162</v>
      </c>
      <c r="F795">
        <v>5</v>
      </c>
      <c r="G795">
        <v>29</v>
      </c>
      <c r="H795">
        <v>3</v>
      </c>
      <c r="I795" t="s">
        <v>17</v>
      </c>
      <c r="J795" t="s">
        <v>22</v>
      </c>
      <c r="K795" t="str">
        <f t="shared" si="12"/>
        <v>High</v>
      </c>
    </row>
    <row r="796" spans="1:11" ht="15" customHeight="1" x14ac:dyDescent="0.25">
      <c r="A796" t="s">
        <v>812</v>
      </c>
      <c r="B796">
        <v>28</v>
      </c>
      <c r="C796">
        <v>52</v>
      </c>
      <c r="D796" t="s">
        <v>16</v>
      </c>
      <c r="E796" s="3">
        <v>488</v>
      </c>
      <c r="F796">
        <v>5</v>
      </c>
      <c r="G796">
        <v>4</v>
      </c>
      <c r="H796">
        <v>4.4000000000000004</v>
      </c>
      <c r="I796" t="s">
        <v>13</v>
      </c>
      <c r="J796" t="s">
        <v>14</v>
      </c>
      <c r="K796" t="str">
        <f t="shared" si="12"/>
        <v>Medium</v>
      </c>
    </row>
    <row r="797" spans="1:11" ht="15" customHeight="1" x14ac:dyDescent="0.25">
      <c r="A797" t="s">
        <v>813</v>
      </c>
      <c r="B797">
        <v>20</v>
      </c>
      <c r="C797">
        <v>47</v>
      </c>
      <c r="D797" t="s">
        <v>12</v>
      </c>
      <c r="E797" s="3">
        <v>337</v>
      </c>
      <c r="F797">
        <v>7</v>
      </c>
      <c r="G797">
        <v>22</v>
      </c>
      <c r="H797">
        <v>4.8</v>
      </c>
      <c r="I797" t="s">
        <v>13</v>
      </c>
      <c r="J797" t="s">
        <v>14</v>
      </c>
      <c r="K797" t="str">
        <f t="shared" si="12"/>
        <v>Medium</v>
      </c>
    </row>
    <row r="798" spans="1:11" ht="15" customHeight="1" x14ac:dyDescent="0.25">
      <c r="A798" t="s">
        <v>814</v>
      </c>
      <c r="B798">
        <v>26</v>
      </c>
      <c r="C798">
        <v>40</v>
      </c>
      <c r="D798" t="s">
        <v>12</v>
      </c>
      <c r="E798" s="3">
        <v>430</v>
      </c>
      <c r="F798">
        <v>1</v>
      </c>
      <c r="G798">
        <v>7</v>
      </c>
      <c r="H798">
        <v>5</v>
      </c>
      <c r="I798" t="s">
        <v>17</v>
      </c>
      <c r="J798" t="s">
        <v>14</v>
      </c>
      <c r="K798" t="str">
        <f t="shared" si="12"/>
        <v>Low</v>
      </c>
    </row>
    <row r="799" spans="1:11" ht="15" customHeight="1" x14ac:dyDescent="0.25">
      <c r="A799" t="s">
        <v>815</v>
      </c>
      <c r="B799">
        <v>34</v>
      </c>
      <c r="C799">
        <v>14</v>
      </c>
      <c r="D799" t="s">
        <v>12</v>
      </c>
      <c r="E799" s="3">
        <v>270</v>
      </c>
      <c r="F799">
        <v>8</v>
      </c>
      <c r="G799">
        <v>8</v>
      </c>
      <c r="H799">
        <v>4.7</v>
      </c>
      <c r="I799" t="s">
        <v>17</v>
      </c>
      <c r="J799" t="s">
        <v>22</v>
      </c>
      <c r="K799" t="str">
        <f t="shared" si="12"/>
        <v>High</v>
      </c>
    </row>
    <row r="800" spans="1:11" ht="15" customHeight="1" x14ac:dyDescent="0.25">
      <c r="A800" t="s">
        <v>816</v>
      </c>
      <c r="B800">
        <v>51</v>
      </c>
      <c r="C800">
        <v>39</v>
      </c>
      <c r="D800" t="s">
        <v>16</v>
      </c>
      <c r="E800" s="3">
        <v>597</v>
      </c>
      <c r="F800">
        <v>0</v>
      </c>
      <c r="G800">
        <v>16</v>
      </c>
      <c r="H800">
        <v>3.5</v>
      </c>
      <c r="I800" t="s">
        <v>17</v>
      </c>
      <c r="J800" t="s">
        <v>14</v>
      </c>
      <c r="K800" t="str">
        <f t="shared" si="12"/>
        <v>Low</v>
      </c>
    </row>
    <row r="801" spans="1:11" ht="15" customHeight="1" x14ac:dyDescent="0.25">
      <c r="A801" t="s">
        <v>817</v>
      </c>
      <c r="B801">
        <v>29</v>
      </c>
      <c r="C801">
        <v>57</v>
      </c>
      <c r="D801" t="s">
        <v>16</v>
      </c>
      <c r="E801" s="3">
        <v>513</v>
      </c>
      <c r="F801">
        <v>1</v>
      </c>
      <c r="G801">
        <v>8</v>
      </c>
      <c r="H801">
        <v>3.6</v>
      </c>
      <c r="I801" t="s">
        <v>17</v>
      </c>
      <c r="J801" t="s">
        <v>14</v>
      </c>
      <c r="K801" t="str">
        <f t="shared" si="12"/>
        <v>Low</v>
      </c>
    </row>
  </sheetData>
  <autoFilter ref="A1:K801" xr:uid="{00000000-0009-0000-0000-000000000000}"/>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29"/>
  <sheetViews>
    <sheetView showGridLines="0" zoomScaleNormal="100" workbookViewId="0">
      <selection sqref="A1:L1"/>
    </sheetView>
  </sheetViews>
  <sheetFormatPr defaultColWidth="8.7109375" defaultRowHeight="15" customHeight="1" x14ac:dyDescent="0.25"/>
  <cols>
    <col min="1" max="3" width="24" style="8" customWidth="1"/>
    <col min="4" max="4" width="21" style="8" customWidth="1"/>
    <col min="5" max="5" width="19" style="8" customWidth="1"/>
    <col min="6" max="6" width="8.7109375" style="8"/>
    <col min="7" max="7" width="24" style="8" customWidth="1"/>
    <col min="8" max="16384" width="8.7109375" style="8"/>
  </cols>
  <sheetData>
    <row r="1" spans="1:12" ht="24.4" customHeight="1" x14ac:dyDescent="0.35">
      <c r="A1" s="6" t="s">
        <v>818</v>
      </c>
      <c r="B1" s="7"/>
      <c r="C1" s="7"/>
      <c r="D1" s="7"/>
      <c r="E1" s="7"/>
      <c r="F1" s="7"/>
      <c r="G1" s="7"/>
      <c r="H1" s="7"/>
      <c r="I1" s="7"/>
      <c r="J1" s="7"/>
      <c r="K1" s="7"/>
      <c r="L1" s="7"/>
    </row>
    <row r="2" spans="1:12" ht="15" customHeight="1" x14ac:dyDescent="0.25">
      <c r="A2" s="14" t="s">
        <v>819</v>
      </c>
      <c r="B2" s="15"/>
      <c r="C2" s="15"/>
      <c r="D2" s="15"/>
      <c r="E2" s="15"/>
      <c r="F2" s="15"/>
      <c r="G2" s="15"/>
      <c r="H2" s="15"/>
      <c r="I2" s="15"/>
      <c r="J2" s="15"/>
      <c r="K2" s="15"/>
      <c r="L2" s="15"/>
    </row>
    <row r="4" spans="1:12" ht="16.149999999999999" customHeight="1" x14ac:dyDescent="0.25">
      <c r="A4" s="9" t="s">
        <v>820</v>
      </c>
    </row>
    <row r="5" spans="1:12" ht="19.7" customHeight="1" x14ac:dyDescent="0.3">
      <c r="A5" s="4">
        <f>COUNTA('Customer Data'!$A$2:$A$801)</f>
        <v>800</v>
      </c>
      <c r="C5" s="4">
        <f>COUNTIF('Customer Data'!$J$2:$J$801,"Yes")</f>
        <v>238</v>
      </c>
      <c r="E5" s="12">
        <f>IFERROR(C5/A5,0)</f>
        <v>0.29749999999999999</v>
      </c>
      <c r="G5" s="13">
        <f>AVERAGE('Customer Data'!$E$2:$E$801)</f>
        <v>592.16125</v>
      </c>
    </row>
    <row r="6" spans="1:12" ht="15" customHeight="1" x14ac:dyDescent="0.25">
      <c r="A6" s="5" t="s">
        <v>821</v>
      </c>
      <c r="C6" s="5" t="s">
        <v>9</v>
      </c>
      <c r="E6" s="5" t="s">
        <v>822</v>
      </c>
      <c r="G6" s="5" t="s">
        <v>823</v>
      </c>
    </row>
    <row r="9" spans="1:12" ht="16.149999999999999" customHeight="1" x14ac:dyDescent="0.25">
      <c r="A9" s="9" t="s">
        <v>824</v>
      </c>
    </row>
    <row r="10" spans="1:12" ht="15" customHeight="1" x14ac:dyDescent="0.25">
      <c r="A10" s="10" t="s">
        <v>825</v>
      </c>
      <c r="B10" s="10" t="s">
        <v>821</v>
      </c>
      <c r="C10" s="10" t="s">
        <v>9</v>
      </c>
      <c r="D10" s="10" t="s">
        <v>822</v>
      </c>
    </row>
    <row r="11" spans="1:12" ht="15" customHeight="1" x14ac:dyDescent="0.25">
      <c r="A11" s="8" t="s">
        <v>17</v>
      </c>
      <c r="B11" s="8">
        <f>COUNTIF('Customer Data'!$I$2:$I$801,A11)</f>
        <v>544</v>
      </c>
      <c r="C11" s="8">
        <f>COUNTIFS('Customer Data'!$I$2:$I$801,A11,'Customer Data'!$J$2:$J$801,"Yes")</f>
        <v>183</v>
      </c>
      <c r="D11" s="11">
        <f>IFERROR(C11/B11,0)</f>
        <v>0.33639705882352944</v>
      </c>
    </row>
    <row r="12" spans="1:12" ht="15" customHeight="1" x14ac:dyDescent="0.25">
      <c r="A12" s="8" t="s">
        <v>13</v>
      </c>
      <c r="B12" s="8">
        <f>COUNTIF('Customer Data'!$I$2:$I$801,A12)</f>
        <v>256</v>
      </c>
      <c r="C12" s="8">
        <f>COUNTIFS('Customer Data'!$I$2:$I$801,A12,'Customer Data'!$J$2:$J$801,"Yes")</f>
        <v>55</v>
      </c>
      <c r="D12" s="11">
        <f>IFERROR(C12/B12,0)</f>
        <v>0.21484375</v>
      </c>
    </row>
    <row r="16" spans="1:12" ht="16.149999999999999" customHeight="1" x14ac:dyDescent="0.25">
      <c r="A16" s="9" t="s">
        <v>826</v>
      </c>
    </row>
    <row r="17" spans="1:4" ht="15" customHeight="1" x14ac:dyDescent="0.25">
      <c r="A17" s="10" t="s">
        <v>3</v>
      </c>
      <c r="B17" s="10" t="s">
        <v>821</v>
      </c>
      <c r="C17" s="10" t="s">
        <v>9</v>
      </c>
      <c r="D17" s="10" t="s">
        <v>822</v>
      </c>
    </row>
    <row r="18" spans="1:4" ht="15" customHeight="1" x14ac:dyDescent="0.25">
      <c r="A18" s="8" t="s">
        <v>12</v>
      </c>
      <c r="B18" s="8">
        <f>COUNTIF('Customer Data'!$D$2:$D$801,A18)</f>
        <v>284</v>
      </c>
      <c r="C18" s="8">
        <f>COUNTIFS('Customer Data'!$D$2:$D$801,A18,'Customer Data'!$J$2:$J$801,"Yes")</f>
        <v>88</v>
      </c>
      <c r="D18" s="11">
        <f>IFERROR(C18/B18,0)</f>
        <v>0.30985915492957744</v>
      </c>
    </row>
    <row r="19" spans="1:4" ht="15" customHeight="1" x14ac:dyDescent="0.25">
      <c r="A19" s="8" t="s">
        <v>16</v>
      </c>
      <c r="B19" s="8">
        <f>COUNTIF('Customer Data'!$D$2:$D$801,A19)</f>
        <v>347</v>
      </c>
      <c r="C19" s="8">
        <f>COUNTIFS('Customer Data'!$D$2:$D$801,A19,'Customer Data'!$J$2:$J$801,"Yes")</f>
        <v>99</v>
      </c>
      <c r="D19" s="11">
        <f>IFERROR(C19/B19,0)</f>
        <v>0.28530259365994237</v>
      </c>
    </row>
    <row r="20" spans="1:4" ht="15" customHeight="1" x14ac:dyDescent="0.25">
      <c r="A20" s="8" t="s">
        <v>26</v>
      </c>
      <c r="B20" s="8">
        <f>COUNTIF('Customer Data'!$D$2:$D$801,A20)</f>
        <v>169</v>
      </c>
      <c r="C20" s="8">
        <f>COUNTIFS('Customer Data'!$D$2:$D$801,A20,'Customer Data'!$J$2:$J$801,"Yes")</f>
        <v>51</v>
      </c>
      <c r="D20" s="11">
        <f>IFERROR(C20/B20,0)</f>
        <v>0.30177514792899407</v>
      </c>
    </row>
    <row r="23" spans="1:4" ht="16.149999999999999" customHeight="1" x14ac:dyDescent="0.25">
      <c r="A23" s="9" t="s">
        <v>827</v>
      </c>
    </row>
    <row r="24" spans="1:4" ht="15" customHeight="1" x14ac:dyDescent="0.25">
      <c r="A24" s="10" t="s">
        <v>828</v>
      </c>
      <c r="B24" s="10" t="s">
        <v>821</v>
      </c>
      <c r="C24" s="10" t="s">
        <v>9</v>
      </c>
      <c r="D24" s="10" t="s">
        <v>822</v>
      </c>
    </row>
    <row r="25" spans="1:4" ht="15" customHeight="1" x14ac:dyDescent="0.25">
      <c r="A25" s="8">
        <v>1</v>
      </c>
      <c r="B25" s="8">
        <f>COUNTIF('Customer Data'!$H$2:$H$801,A25)</f>
        <v>6</v>
      </c>
      <c r="C25" s="8">
        <f>COUNTIFS('Customer Data'!$H$2:$H$801,A25,'Customer Data'!$J$2:$J$801,"Yes")</f>
        <v>3</v>
      </c>
      <c r="D25" s="11">
        <f>IFERROR(C25/B25,0)</f>
        <v>0.5</v>
      </c>
    </row>
    <row r="26" spans="1:4" ht="15" customHeight="1" x14ac:dyDescent="0.25">
      <c r="A26" s="8">
        <v>2</v>
      </c>
      <c r="B26" s="8">
        <f>COUNTIF('Customer Data'!$H$2:$H$801,A26)</f>
        <v>9</v>
      </c>
      <c r="C26" s="8">
        <f>COUNTIFS('Customer Data'!$H$2:$H$801,A26,'Customer Data'!$J$2:$J$801,"Yes")</f>
        <v>6</v>
      </c>
      <c r="D26" s="11">
        <f>IFERROR(C26/B26,0)</f>
        <v>0.66666666666666663</v>
      </c>
    </row>
    <row r="27" spans="1:4" ht="15" customHeight="1" x14ac:dyDescent="0.25">
      <c r="A27" s="8">
        <v>3</v>
      </c>
      <c r="B27" s="8">
        <f>COUNTIF('Customer Data'!$H$2:$H$801,A27)</f>
        <v>41</v>
      </c>
      <c r="C27" s="8">
        <f>COUNTIFS('Customer Data'!$H$2:$H$801,A27,'Customer Data'!$J$2:$J$801,"Yes")</f>
        <v>6</v>
      </c>
      <c r="D27" s="11">
        <f>IFERROR(C27/B27,0)</f>
        <v>0.14634146341463414</v>
      </c>
    </row>
    <row r="28" spans="1:4" ht="15" customHeight="1" x14ac:dyDescent="0.25">
      <c r="A28" s="8">
        <v>4</v>
      </c>
      <c r="B28" s="8">
        <f>COUNTIF('Customer Data'!$H$2:$H$801,A28)</f>
        <v>29</v>
      </c>
      <c r="C28" s="8">
        <f>COUNTIFS('Customer Data'!$H$2:$H$801,A28,'Customer Data'!$J$2:$J$801,"Yes")</f>
        <v>3</v>
      </c>
      <c r="D28" s="11">
        <f>IFERROR(C28/B28,0)</f>
        <v>0.10344827586206896</v>
      </c>
    </row>
    <row r="29" spans="1:4" ht="15" customHeight="1" x14ac:dyDescent="0.25">
      <c r="A29" s="8">
        <v>5</v>
      </c>
      <c r="B29" s="8">
        <f>COUNTIF('Customer Data'!$H$2:$H$801,A29)</f>
        <v>37</v>
      </c>
      <c r="C29" s="8">
        <f>COUNTIFS('Customer Data'!$H$2:$H$801,A29,'Customer Data'!$J$2:$J$801,"Yes")</f>
        <v>12</v>
      </c>
      <c r="D29" s="11">
        <f>IFERROR(C29/B29,0)</f>
        <v>0.32432432432432434</v>
      </c>
    </row>
  </sheetData>
  <mergeCells count="2">
    <mergeCell ref="A2:L2"/>
    <mergeCell ref="A1:L1"/>
  </mergeCell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L27"/>
  <sheetViews>
    <sheetView showGridLines="0" zoomScaleNormal="100" workbookViewId="0">
      <selection activeCell="F9" sqref="F9"/>
    </sheetView>
  </sheetViews>
  <sheetFormatPr defaultColWidth="8.7109375" defaultRowHeight="15" customHeight="1" x14ac:dyDescent="0.25"/>
  <cols>
    <col min="1" max="1" width="18" style="8" customWidth="1"/>
    <col min="2" max="2" width="14" style="8" customWidth="1"/>
    <col min="3" max="3" width="8.7109375" style="8"/>
    <col min="4" max="4" width="14" style="8" customWidth="1"/>
    <col min="5" max="5" width="8.7109375" style="8"/>
    <col min="6" max="6" width="14" style="8" customWidth="1"/>
    <col min="7" max="8" width="18" style="8" customWidth="1"/>
    <col min="9" max="16384" width="8.7109375" style="8"/>
  </cols>
  <sheetData>
    <row r="1" spans="1:12" ht="24.4" customHeight="1" x14ac:dyDescent="0.35">
      <c r="A1" s="6" t="s">
        <v>829</v>
      </c>
      <c r="B1" s="7"/>
      <c r="C1" s="7"/>
      <c r="D1" s="7"/>
      <c r="E1" s="7"/>
      <c r="F1" s="7"/>
      <c r="G1" s="7"/>
      <c r="H1" s="7"/>
      <c r="I1" s="7"/>
      <c r="J1" s="7"/>
      <c r="K1" s="7"/>
      <c r="L1" s="7"/>
    </row>
    <row r="2" spans="1:12" ht="15" customHeight="1" x14ac:dyDescent="0.25">
      <c r="A2" s="14" t="s">
        <v>830</v>
      </c>
      <c r="B2" s="15"/>
      <c r="C2" s="15"/>
      <c r="D2" s="15"/>
      <c r="E2" s="15"/>
      <c r="F2" s="15"/>
      <c r="G2" s="15"/>
      <c r="H2" s="15"/>
      <c r="I2" s="15"/>
      <c r="J2" s="15"/>
      <c r="K2" s="15"/>
      <c r="L2" s="15"/>
    </row>
    <row r="4" spans="1:12" ht="19.7" customHeight="1" x14ac:dyDescent="0.3">
      <c r="B4" s="20">
        <f>Analysis!A5</f>
        <v>800</v>
      </c>
      <c r="D4" s="20">
        <f>Analysis!C5</f>
        <v>238</v>
      </c>
      <c r="F4" s="22">
        <f>Analysis!E5</f>
        <v>0.29749999999999999</v>
      </c>
      <c r="H4" s="23">
        <f>Analysis!G5</f>
        <v>592.16125</v>
      </c>
    </row>
    <row r="5" spans="1:12" ht="15" customHeight="1" x14ac:dyDescent="0.25">
      <c r="B5" s="21" t="s">
        <v>821</v>
      </c>
      <c r="D5" s="21" t="s">
        <v>9</v>
      </c>
      <c r="F5" s="21" t="s">
        <v>822</v>
      </c>
      <c r="H5" s="21" t="s">
        <v>823</v>
      </c>
    </row>
    <row r="23" spans="7:12" ht="16.149999999999999" customHeight="1" x14ac:dyDescent="0.25">
      <c r="G23" s="16" t="s">
        <v>831</v>
      </c>
      <c r="H23" s="17"/>
    </row>
    <row r="24" spans="7:12" ht="28.35" customHeight="1" x14ac:dyDescent="0.25">
      <c r="G24" s="18" t="s">
        <v>832</v>
      </c>
      <c r="H24" s="19"/>
      <c r="I24" s="19"/>
      <c r="J24" s="19"/>
      <c r="K24" s="19"/>
      <c r="L24" s="19"/>
    </row>
    <row r="25" spans="7:12" ht="28.35" customHeight="1" x14ac:dyDescent="0.25">
      <c r="G25" s="18" t="s">
        <v>833</v>
      </c>
      <c r="H25" s="19"/>
      <c r="I25" s="19"/>
      <c r="J25" s="19"/>
      <c r="K25" s="19"/>
      <c r="L25" s="19"/>
    </row>
    <row r="26" spans="7:12" ht="15" customHeight="1" x14ac:dyDescent="0.25">
      <c r="G26" s="18" t="s">
        <v>834</v>
      </c>
      <c r="H26" s="19"/>
      <c r="I26" s="19"/>
      <c r="J26" s="19"/>
      <c r="K26" s="19"/>
      <c r="L26" s="19"/>
    </row>
    <row r="27" spans="7:12" ht="28.35" customHeight="1" x14ac:dyDescent="0.25">
      <c r="G27" s="18" t="s">
        <v>835</v>
      </c>
      <c r="H27" s="19"/>
      <c r="I27" s="19"/>
      <c r="J27" s="19"/>
      <c r="K27" s="19"/>
      <c r="L27" s="19"/>
    </row>
  </sheetData>
  <mergeCells count="6">
    <mergeCell ref="A2:L2"/>
    <mergeCell ref="G25:L25"/>
    <mergeCell ref="G27:L27"/>
    <mergeCell ref="G24:L24"/>
    <mergeCell ref="A1:L1"/>
    <mergeCell ref="G26:L26"/>
  </mergeCells>
  <pageMargins left="0.25" right="0.25" top="0.4" bottom="0.4" header="0.511811023622047" footer="0.2"/>
  <pageSetup paperSize="9" orientation="landscape" horizontalDpi="300" verticalDpi="300"/>
  <headerFooter>
    <oddFooter>&amp;CPortfolio project | Naomi Mohlala&amp;RPage &amp;P of &amp;N</oddFoot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EFB7F-0AAD-4666-985A-4DDF94B4560D}">
  <dimension ref="A3:K45"/>
  <sheetViews>
    <sheetView tabSelected="1" workbookViewId="0">
      <selection activeCell="C2" sqref="C2"/>
    </sheetView>
  </sheetViews>
  <sheetFormatPr defaultRowHeight="15" x14ac:dyDescent="0.25"/>
  <cols>
    <col min="1" max="1" width="13.140625" style="8" bestFit="1" customWidth="1"/>
    <col min="2" max="2" width="20.140625" style="8" bestFit="1" customWidth="1"/>
    <col min="3" max="3" width="16.7109375" style="8" bestFit="1" customWidth="1"/>
    <col min="4" max="4" width="9.140625" style="8"/>
    <col min="5" max="5" width="13.140625" style="8" bestFit="1" customWidth="1"/>
    <col min="6" max="6" width="20.140625" style="8" bestFit="1" customWidth="1"/>
    <col min="7" max="7" width="16.7109375" style="8" bestFit="1" customWidth="1"/>
    <col min="8" max="8" width="5.5703125" style="8" customWidth="1"/>
    <col min="9" max="9" width="13.140625" style="8" bestFit="1" customWidth="1"/>
    <col min="10" max="10" width="20.140625" style="8" bestFit="1" customWidth="1"/>
    <col min="11" max="11" width="16.7109375" style="8" bestFit="1" customWidth="1"/>
    <col min="12" max="12" width="13.85546875" style="8" customWidth="1"/>
    <col min="13" max="16384" width="9.140625" style="8"/>
  </cols>
  <sheetData>
    <row r="3" spans="1:11" x14ac:dyDescent="0.25">
      <c r="A3" s="8" t="s">
        <v>836</v>
      </c>
      <c r="B3" s="8" t="s">
        <v>839</v>
      </c>
      <c r="C3" s="8" t="s">
        <v>840</v>
      </c>
      <c r="E3" s="8" t="s">
        <v>836</v>
      </c>
      <c r="F3" s="8" t="s">
        <v>839</v>
      </c>
      <c r="G3" s="8" t="s">
        <v>840</v>
      </c>
      <c r="I3" s="8" t="s">
        <v>836</v>
      </c>
      <c r="J3" s="8" t="s">
        <v>839</v>
      </c>
      <c r="K3" s="8" t="s">
        <v>840</v>
      </c>
    </row>
    <row r="4" spans="1:11" x14ac:dyDescent="0.25">
      <c r="A4" s="24" t="s">
        <v>12</v>
      </c>
      <c r="B4" s="8">
        <v>284</v>
      </c>
      <c r="C4" s="8">
        <v>284</v>
      </c>
      <c r="E4" s="24" t="s">
        <v>13</v>
      </c>
      <c r="F4" s="8">
        <v>256</v>
      </c>
      <c r="G4" s="8">
        <v>256</v>
      </c>
      <c r="I4" s="24">
        <v>1</v>
      </c>
      <c r="J4" s="8">
        <v>6</v>
      </c>
      <c r="K4" s="8">
        <v>6</v>
      </c>
    </row>
    <row r="5" spans="1:11" x14ac:dyDescent="0.25">
      <c r="A5" s="24" t="s">
        <v>26</v>
      </c>
      <c r="B5" s="8">
        <v>169</v>
      </c>
      <c r="C5" s="8">
        <v>169</v>
      </c>
      <c r="E5" s="24" t="s">
        <v>17</v>
      </c>
      <c r="F5" s="8">
        <v>544</v>
      </c>
      <c r="G5" s="8">
        <v>544</v>
      </c>
      <c r="I5" s="24">
        <v>1.1000000000000001</v>
      </c>
      <c r="J5" s="8">
        <v>1</v>
      </c>
      <c r="K5" s="8">
        <v>1</v>
      </c>
    </row>
    <row r="6" spans="1:11" x14ac:dyDescent="0.25">
      <c r="A6" s="24" t="s">
        <v>16</v>
      </c>
      <c r="B6" s="8">
        <v>347</v>
      </c>
      <c r="C6" s="8">
        <v>347</v>
      </c>
      <c r="E6" s="24" t="s">
        <v>838</v>
      </c>
      <c r="F6" s="8">
        <v>800</v>
      </c>
      <c r="G6" s="8">
        <v>800</v>
      </c>
      <c r="I6" s="24">
        <v>1.3</v>
      </c>
      <c r="J6" s="8">
        <v>3</v>
      </c>
      <c r="K6" s="8">
        <v>3</v>
      </c>
    </row>
    <row r="7" spans="1:11" x14ac:dyDescent="0.25">
      <c r="A7" s="24" t="s">
        <v>838</v>
      </c>
      <c r="B7" s="8">
        <v>800</v>
      </c>
      <c r="C7" s="8">
        <v>800</v>
      </c>
      <c r="I7" s="24">
        <v>1.4</v>
      </c>
      <c r="J7" s="8">
        <v>1</v>
      </c>
      <c r="K7" s="8">
        <v>1</v>
      </c>
    </row>
    <row r="8" spans="1:11" x14ac:dyDescent="0.25">
      <c r="I8" s="24">
        <v>1.5</v>
      </c>
      <c r="J8" s="8">
        <v>5</v>
      </c>
      <c r="K8" s="8">
        <v>5</v>
      </c>
    </row>
    <row r="9" spans="1:11" x14ac:dyDescent="0.25">
      <c r="I9" s="24">
        <v>1.6</v>
      </c>
      <c r="J9" s="8">
        <v>3</v>
      </c>
      <c r="K9" s="8">
        <v>3</v>
      </c>
    </row>
    <row r="10" spans="1:11" x14ac:dyDescent="0.25">
      <c r="I10" s="24">
        <v>1.7</v>
      </c>
      <c r="J10" s="8">
        <v>7</v>
      </c>
      <c r="K10" s="8">
        <v>7</v>
      </c>
    </row>
    <row r="11" spans="1:11" x14ac:dyDescent="0.25">
      <c r="I11" s="24">
        <v>1.8</v>
      </c>
      <c r="J11" s="8">
        <v>7</v>
      </c>
      <c r="K11" s="8">
        <v>7</v>
      </c>
    </row>
    <row r="12" spans="1:11" x14ac:dyDescent="0.25">
      <c r="I12" s="24">
        <v>1.9</v>
      </c>
      <c r="J12" s="8">
        <v>3</v>
      </c>
      <c r="K12" s="8">
        <v>3</v>
      </c>
    </row>
    <row r="13" spans="1:11" x14ac:dyDescent="0.25">
      <c r="I13" s="24">
        <v>2</v>
      </c>
      <c r="J13" s="8">
        <v>9</v>
      </c>
      <c r="K13" s="8">
        <v>9</v>
      </c>
    </row>
    <row r="14" spans="1:11" x14ac:dyDescent="0.25">
      <c r="I14" s="24">
        <v>2.1</v>
      </c>
      <c r="J14" s="8">
        <v>14</v>
      </c>
      <c r="K14" s="8">
        <v>14</v>
      </c>
    </row>
    <row r="15" spans="1:11" x14ac:dyDescent="0.25">
      <c r="I15" s="24">
        <v>2.2000000000000002</v>
      </c>
      <c r="J15" s="8">
        <v>13</v>
      </c>
      <c r="K15" s="8">
        <v>13</v>
      </c>
    </row>
    <row r="16" spans="1:11" x14ac:dyDescent="0.25">
      <c r="I16" s="24">
        <v>2.2999999999999998</v>
      </c>
      <c r="J16" s="8">
        <v>14</v>
      </c>
      <c r="K16" s="8">
        <v>14</v>
      </c>
    </row>
    <row r="17" spans="9:11" x14ac:dyDescent="0.25">
      <c r="I17" s="24">
        <v>2.4</v>
      </c>
      <c r="J17" s="8">
        <v>20</v>
      </c>
      <c r="K17" s="8">
        <v>20</v>
      </c>
    </row>
    <row r="18" spans="9:11" x14ac:dyDescent="0.25">
      <c r="I18" s="24">
        <v>2.5</v>
      </c>
      <c r="J18" s="8">
        <v>14</v>
      </c>
      <c r="K18" s="8">
        <v>14</v>
      </c>
    </row>
    <row r="19" spans="9:11" x14ac:dyDescent="0.25">
      <c r="I19" s="24">
        <v>2.6</v>
      </c>
      <c r="J19" s="8">
        <v>29</v>
      </c>
      <c r="K19" s="8">
        <v>29</v>
      </c>
    </row>
    <row r="20" spans="9:11" x14ac:dyDescent="0.25">
      <c r="I20" s="24">
        <v>2.7</v>
      </c>
      <c r="J20" s="8">
        <v>19</v>
      </c>
      <c r="K20" s="8">
        <v>19</v>
      </c>
    </row>
    <row r="21" spans="9:11" x14ac:dyDescent="0.25">
      <c r="I21" s="24">
        <v>2.8</v>
      </c>
      <c r="J21" s="8">
        <v>25</v>
      </c>
      <c r="K21" s="8">
        <v>25</v>
      </c>
    </row>
    <row r="22" spans="9:11" x14ac:dyDescent="0.25">
      <c r="I22" s="24">
        <v>2.9</v>
      </c>
      <c r="J22" s="8">
        <v>32</v>
      </c>
      <c r="K22" s="8">
        <v>32</v>
      </c>
    </row>
    <row r="23" spans="9:11" x14ac:dyDescent="0.25">
      <c r="I23" s="24">
        <v>3</v>
      </c>
      <c r="J23" s="8">
        <v>41</v>
      </c>
      <c r="K23" s="8">
        <v>41</v>
      </c>
    </row>
    <row r="24" spans="9:11" x14ac:dyDescent="0.25">
      <c r="I24" s="24">
        <v>3.1</v>
      </c>
      <c r="J24" s="8">
        <v>32</v>
      </c>
      <c r="K24" s="8">
        <v>32</v>
      </c>
    </row>
    <row r="25" spans="9:11" x14ac:dyDescent="0.25">
      <c r="I25" s="24">
        <v>3.2</v>
      </c>
      <c r="J25" s="8">
        <v>37</v>
      </c>
      <c r="K25" s="8">
        <v>37</v>
      </c>
    </row>
    <row r="26" spans="9:11" x14ac:dyDescent="0.25">
      <c r="I26" s="24">
        <v>3.3</v>
      </c>
      <c r="J26" s="8">
        <v>33</v>
      </c>
      <c r="K26" s="8">
        <v>33</v>
      </c>
    </row>
    <row r="27" spans="9:11" x14ac:dyDescent="0.25">
      <c r="I27" s="24">
        <v>3.4</v>
      </c>
      <c r="J27" s="8">
        <v>32</v>
      </c>
      <c r="K27" s="8">
        <v>32</v>
      </c>
    </row>
    <row r="28" spans="9:11" x14ac:dyDescent="0.25">
      <c r="I28" s="24">
        <v>3.5</v>
      </c>
      <c r="J28" s="8">
        <v>34</v>
      </c>
      <c r="K28" s="8">
        <v>34</v>
      </c>
    </row>
    <row r="29" spans="9:11" x14ac:dyDescent="0.25">
      <c r="I29" s="24">
        <v>3.6</v>
      </c>
      <c r="J29" s="8">
        <v>43</v>
      </c>
      <c r="K29" s="8">
        <v>43</v>
      </c>
    </row>
    <row r="30" spans="9:11" x14ac:dyDescent="0.25">
      <c r="I30" s="24">
        <v>3.7</v>
      </c>
      <c r="J30" s="8">
        <v>31</v>
      </c>
      <c r="K30" s="8">
        <v>31</v>
      </c>
    </row>
    <row r="31" spans="9:11" x14ac:dyDescent="0.25">
      <c r="I31" s="24">
        <v>3.8</v>
      </c>
      <c r="J31" s="8">
        <v>21</v>
      </c>
      <c r="K31" s="8">
        <v>21</v>
      </c>
    </row>
    <row r="32" spans="9:11" x14ac:dyDescent="0.25">
      <c r="I32" s="24">
        <v>3.9</v>
      </c>
      <c r="J32" s="8">
        <v>28</v>
      </c>
      <c r="K32" s="8">
        <v>28</v>
      </c>
    </row>
    <row r="33" spans="9:11" x14ac:dyDescent="0.25">
      <c r="I33" s="24">
        <v>4</v>
      </c>
      <c r="J33" s="8">
        <v>29</v>
      </c>
      <c r="K33" s="8">
        <v>29</v>
      </c>
    </row>
    <row r="34" spans="9:11" x14ac:dyDescent="0.25">
      <c r="I34" s="24">
        <v>4.0999999999999996</v>
      </c>
      <c r="J34" s="8">
        <v>23</v>
      </c>
      <c r="K34" s="8">
        <v>23</v>
      </c>
    </row>
    <row r="35" spans="9:11" x14ac:dyDescent="0.25">
      <c r="I35" s="24">
        <v>4.2</v>
      </c>
      <c r="J35" s="8">
        <v>29</v>
      </c>
      <c r="K35" s="8">
        <v>29</v>
      </c>
    </row>
    <row r="36" spans="9:11" x14ac:dyDescent="0.25">
      <c r="I36" s="24">
        <v>4.3</v>
      </c>
      <c r="J36" s="8">
        <v>18</v>
      </c>
      <c r="K36" s="8">
        <v>18</v>
      </c>
    </row>
    <row r="37" spans="9:11" x14ac:dyDescent="0.25">
      <c r="I37" s="24">
        <v>4.4000000000000004</v>
      </c>
      <c r="J37" s="8">
        <v>25</v>
      </c>
      <c r="K37" s="8">
        <v>25</v>
      </c>
    </row>
    <row r="38" spans="9:11" x14ac:dyDescent="0.25">
      <c r="I38" s="24">
        <v>4.5</v>
      </c>
      <c r="J38" s="8">
        <v>15</v>
      </c>
      <c r="K38" s="8">
        <v>15</v>
      </c>
    </row>
    <row r="39" spans="9:11" x14ac:dyDescent="0.25">
      <c r="I39" s="24">
        <v>4.5999999999999996</v>
      </c>
      <c r="J39" s="8">
        <v>18</v>
      </c>
      <c r="K39" s="8">
        <v>18</v>
      </c>
    </row>
    <row r="40" spans="9:11" x14ac:dyDescent="0.25">
      <c r="I40" s="24">
        <v>4.7</v>
      </c>
      <c r="J40" s="8">
        <v>18</v>
      </c>
      <c r="K40" s="8">
        <v>18</v>
      </c>
    </row>
    <row r="41" spans="9:11" x14ac:dyDescent="0.25">
      <c r="I41" s="24">
        <v>4.8</v>
      </c>
      <c r="J41" s="8">
        <v>15</v>
      </c>
      <c r="K41" s="8">
        <v>15</v>
      </c>
    </row>
    <row r="42" spans="9:11" x14ac:dyDescent="0.25">
      <c r="I42" s="24">
        <v>4.9000000000000004</v>
      </c>
      <c r="J42" s="8">
        <v>16</v>
      </c>
      <c r="K42" s="8">
        <v>16</v>
      </c>
    </row>
    <row r="43" spans="9:11" x14ac:dyDescent="0.25">
      <c r="I43" s="24">
        <v>5</v>
      </c>
      <c r="J43" s="8">
        <v>37</v>
      </c>
      <c r="K43" s="8">
        <v>37</v>
      </c>
    </row>
    <row r="44" spans="9:11" x14ac:dyDescent="0.25">
      <c r="I44" s="24" t="s">
        <v>837</v>
      </c>
    </row>
    <row r="45" spans="9:11" x14ac:dyDescent="0.25">
      <c r="I45" s="24" t="s">
        <v>838</v>
      </c>
      <c r="J45" s="8">
        <v>800</v>
      </c>
      <c r="K45" s="8">
        <v>800</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Customer Data</vt:lpstr>
      <vt:lpstr>Analysis</vt:lpstr>
      <vt:lpstr>Dashboard</vt:lpstr>
      <vt:lpstr>Pivot Tables</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naomi mohlala</cp:lastModifiedBy>
  <cp:revision>1</cp:revision>
  <dcterms:created xsi:type="dcterms:W3CDTF">2026-08-25T13:37:02Z</dcterms:created>
  <dcterms:modified xsi:type="dcterms:W3CDTF">2026-08-26T10:10:18Z</dcterms:modified>
  <dc:language>en-US</dc:language>
</cp:coreProperties>
</file>