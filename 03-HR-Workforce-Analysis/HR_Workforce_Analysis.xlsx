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aomi\Downloads\Naomi_Excel_Data_Analysis_Portfolio\Naomi_Mohlala_Excel_Data_Analysis_Portfolio_Rebuilt\"/>
    </mc:Choice>
  </mc:AlternateContent>
  <xr:revisionPtr revIDLastSave="0" documentId="13_ncr:1_{C23D5E74-2295-4A90-B84E-6DC1D287A074}" xr6:coauthVersionLast="47" xr6:coauthVersionMax="47" xr10:uidLastSave="{00000000-0000-0000-0000-000000000000}"/>
  <bookViews>
    <workbookView xWindow="-120" yWindow="-120" windowWidth="20730" windowHeight="11160" xr2:uid="{00000000-000D-0000-FFFF-FFFF00000000}"/>
  </bookViews>
  <sheets>
    <sheet name="HR Data" sheetId="1" r:id="rId1"/>
    <sheet name="Analysis" sheetId="2" r:id="rId2"/>
    <sheet name="Dashboard" sheetId="3" r:id="rId3"/>
    <sheet name="PivotTables" sheetId="6" r:id="rId4"/>
  </sheets>
  <definedNames>
    <definedName name="_xlnm._FilterDatabase" localSheetId="0" hidden="1">'HR Data'!$A$1:$L$701</definedName>
    <definedName name="_xlnm.Print_Area" localSheetId="2">Dashboard!$A$1:$L$38</definedName>
    <definedName name="Slicer_Department">#N/A</definedName>
    <definedName name="Slicer_Department1">#N/A</definedName>
  </definedNames>
  <calcPr calcId="191029" iterateDelta="1E-4"/>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 l="1"/>
  <c r="C26" i="2"/>
  <c r="D26" i="2" s="1"/>
  <c r="B26" i="2"/>
  <c r="C25" i="2"/>
  <c r="D25" i="2" s="1"/>
  <c r="B25" i="2"/>
  <c r="D24" i="2"/>
  <c r="C24" i="2"/>
  <c r="B24" i="2"/>
  <c r="C23" i="2"/>
  <c r="D23" i="2" s="1"/>
  <c r="B23" i="2"/>
  <c r="C22" i="2"/>
  <c r="D22" i="2" s="1"/>
  <c r="B22" i="2"/>
  <c r="E16" i="2"/>
  <c r="D16" i="2"/>
  <c r="C16" i="2"/>
  <c r="B16" i="2"/>
  <c r="F16" i="2" s="1"/>
  <c r="E15" i="2"/>
  <c r="D15" i="2"/>
  <c r="C15" i="2"/>
  <c r="B15" i="2"/>
  <c r="F15" i="2" s="1"/>
  <c r="E14" i="2"/>
  <c r="D14" i="2"/>
  <c r="C14" i="2"/>
  <c r="B14" i="2"/>
  <c r="F14" i="2" s="1"/>
  <c r="E13" i="2"/>
  <c r="D13" i="2"/>
  <c r="C13" i="2"/>
  <c r="B13" i="2"/>
  <c r="F13" i="2" s="1"/>
  <c r="E12" i="2"/>
  <c r="D12" i="2"/>
  <c r="C12" i="2"/>
  <c r="B12" i="2"/>
  <c r="F12" i="2" s="1"/>
  <c r="E11" i="2"/>
  <c r="D11" i="2"/>
  <c r="C11" i="2"/>
  <c r="B11" i="2"/>
  <c r="F11" i="2" s="1"/>
  <c r="G5" i="2"/>
  <c r="F4" i="3" s="1"/>
  <c r="C5" i="2"/>
  <c r="A5" i="2"/>
  <c r="E5" i="2" s="1"/>
  <c r="D4" i="3" s="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B4" i="3" l="1"/>
</calcChain>
</file>

<file path=xl/sharedStrings.xml><?xml version="1.0" encoding="utf-8"?>
<sst xmlns="http://schemas.openxmlformats.org/spreadsheetml/2006/main" count="2170" uniqueCount="745">
  <si>
    <t>Employee ID</t>
  </si>
  <si>
    <t>Department</t>
  </si>
  <si>
    <t>Age</t>
  </si>
  <si>
    <t>Monthly Salary</t>
  </si>
  <si>
    <t>Years at Company</t>
  </si>
  <si>
    <t>Performance Score</t>
  </si>
  <si>
    <t>Training Hours</t>
  </si>
  <si>
    <t>Overtime Hours</t>
  </si>
  <si>
    <t>Absence Days</t>
  </si>
  <si>
    <t>Job Satisfaction</t>
  </si>
  <si>
    <t>Left Company</t>
  </si>
  <si>
    <t>Turnover Risk</t>
  </si>
  <si>
    <t>EMP0001</t>
  </si>
  <si>
    <t>IT</t>
  </si>
  <si>
    <t>No</t>
  </si>
  <si>
    <t>EMP0002</t>
  </si>
  <si>
    <t>Finance</t>
  </si>
  <si>
    <t>EMP0003</t>
  </si>
  <si>
    <t>Sales</t>
  </si>
  <si>
    <t>EMP0004</t>
  </si>
  <si>
    <t>EMP0005</t>
  </si>
  <si>
    <t>Operations</t>
  </si>
  <si>
    <t>EMP0006</t>
  </si>
  <si>
    <t>EMP0007</t>
  </si>
  <si>
    <t>EMP0008</t>
  </si>
  <si>
    <t>EMP0009</t>
  </si>
  <si>
    <t>Yes</t>
  </si>
  <si>
    <t>EMP0010</t>
  </si>
  <si>
    <t>EMP0011</t>
  </si>
  <si>
    <t>EMP0012</t>
  </si>
  <si>
    <t>EMP0013</t>
  </si>
  <si>
    <t>Customer Service</t>
  </si>
  <si>
    <t>EMP0014</t>
  </si>
  <si>
    <t>EMP0015</t>
  </si>
  <si>
    <t>EMP0016</t>
  </si>
  <si>
    <t>EMP0017</t>
  </si>
  <si>
    <t>EMP0018</t>
  </si>
  <si>
    <t>EMP0019</t>
  </si>
  <si>
    <t>EMP0020</t>
  </si>
  <si>
    <t>HR</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</si>
  <si>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</si>
  <si>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</si>
  <si>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</si>
  <si>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</si>
  <si>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</si>
  <si>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</si>
  <si>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</si>
  <si>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</si>
  <si>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</si>
  <si>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</si>
  <si>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</si>
  <si>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</si>
  <si>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</si>
  <si>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</si>
  <si>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</si>
  <si>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</si>
  <si>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</si>
  <si>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</si>
  <si>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</si>
  <si>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</si>
  <si>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</si>
  <si>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</si>
  <si>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</si>
  <si>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</si>
  <si>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</si>
  <si>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</si>
  <si>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</si>
  <si>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</si>
  <si>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</si>
  <si>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</si>
  <si>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</si>
  <si>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</si>
  <si>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</si>
  <si>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</si>
  <si>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</si>
  <si>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</si>
  <si>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</si>
  <si>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</si>
  <si>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</si>
  <si>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</si>
  <si>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</si>
  <si>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</si>
  <si>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</si>
  <si>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</si>
  <si>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</si>
  <si>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</si>
  <si>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</si>
  <si>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</si>
  <si>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</si>
  <si>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</si>
  <si>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</si>
  <si>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</si>
  <si>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</si>
  <si>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</si>
  <si>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</si>
  <si>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</si>
  <si>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</si>
  <si>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</si>
  <si>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</si>
  <si>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</si>
  <si>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</si>
  <si>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</si>
  <si>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</si>
  <si>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</si>
  <si>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</si>
  <si>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</si>
  <si>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</si>
  <si>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</si>
  <si>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</si>
  <si>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</si>
  <si>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</si>
  <si>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</si>
  <si>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</si>
  <si>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</si>
  <si>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</si>
  <si>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</si>
  <si>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</si>
  <si>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</si>
  <si>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</si>
  <si>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</si>
  <si>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</si>
  <si>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</si>
  <si>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</si>
  <si>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</si>
  <si>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</si>
  <si>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</si>
  <si>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</si>
  <si>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</si>
  <si>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</si>
  <si>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</si>
  <si>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</si>
  <si>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</si>
  <si>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</si>
  <si>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</si>
  <si>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</si>
  <si>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</si>
  <si>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</si>
  <si>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</si>
  <si>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</si>
  <si>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</si>
  <si>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</si>
  <si>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</si>
  <si>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</si>
  <si>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</si>
  <si>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</si>
  <si>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</si>
  <si>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</si>
  <si>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</si>
  <si>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</si>
  <si>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</si>
  <si>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</si>
  <si>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</si>
  <si>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</si>
  <si>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</si>
  <si>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</si>
  <si>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</si>
  <si>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</si>
  <si>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</si>
  <si>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</si>
  <si>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</si>
  <si>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</si>
  <si>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</si>
  <si>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</si>
  <si>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</si>
  <si>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</si>
  <si>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</si>
  <si>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</si>
  <si>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</si>
  <si>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</si>
  <si>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</si>
  <si>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</si>
  <si>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</si>
  <si>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</si>
  <si>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</si>
  <si>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</si>
  <si>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</si>
  <si>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</si>
  <si>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</si>
  <si>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</si>
  <si>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</si>
  <si>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</si>
  <si>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</si>
  <si>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</si>
  <si>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</si>
  <si>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</si>
  <si>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</si>
  <si>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</si>
  <si>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</si>
  <si>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</si>
  <si>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</si>
  <si>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</si>
  <si>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</si>
  <si>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</si>
  <si>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</si>
  <si>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</si>
  <si>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</si>
  <si>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</si>
  <si>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</si>
  <si>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</si>
  <si>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</si>
  <si>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</si>
  <si>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</si>
  <si>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</si>
  <si>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</si>
  <si>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</si>
  <si>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</si>
  <si>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</si>
  <si>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</si>
  <si>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</si>
  <si>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</si>
  <si>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</si>
  <si>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</si>
  <si>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</si>
  <si>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</si>
  <si>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</si>
  <si>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</si>
  <si>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</si>
  <si>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</si>
  <si>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</si>
  <si>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</si>
  <si>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</si>
  <si>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</si>
  <si>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</si>
  <si>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</si>
  <si>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</si>
  <si>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</si>
  <si>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</si>
  <si>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</si>
  <si>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</si>
  <si>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</si>
  <si>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</si>
  <si>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</si>
  <si>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</si>
  <si>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</si>
  <si>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</si>
  <si>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</si>
  <si>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</si>
  <si>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</si>
  <si>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</si>
  <si>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</si>
  <si>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</si>
  <si>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</si>
  <si>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</si>
  <si>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</si>
  <si>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</si>
  <si>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</si>
  <si>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</si>
  <si>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</si>
  <si>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</si>
  <si>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</si>
  <si>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</si>
  <si>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</si>
  <si>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</si>
  <si>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</si>
  <si>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</si>
  <si>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</si>
  <si>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</si>
  <si>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</si>
  <si>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</si>
  <si>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</si>
  <si>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</si>
  <si>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</si>
  <si>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</si>
  <si>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</si>
  <si>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</si>
  <si>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</si>
  <si>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</si>
  <si>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</si>
  <si>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</si>
  <si>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</si>
  <si>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</si>
  <si>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</si>
  <si>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</si>
  <si>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</si>
  <si>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</si>
  <si>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</si>
  <si>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</si>
  <si>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</si>
  <si>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</si>
  <si>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</si>
  <si>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</si>
  <si>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</si>
  <si>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</si>
  <si>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</si>
  <si>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</si>
  <si>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</si>
  <si>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</si>
  <si>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</si>
  <si>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</si>
  <si>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</si>
  <si>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</si>
  <si>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</si>
  <si>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</si>
  <si>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</si>
  <si>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</si>
  <si>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</si>
  <si>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</si>
  <si>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</si>
  <si>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</si>
  <si>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</si>
  <si>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</si>
  <si>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</si>
  <si>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</si>
  <si>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</si>
  <si>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</si>
  <si>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</si>
  <si>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</si>
  <si>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</si>
  <si>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</si>
  <si>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</si>
  <si>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</si>
  <si>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</si>
  <si>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</si>
  <si>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</si>
  <si>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</si>
  <si>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</si>
  <si>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</si>
  <si>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</si>
  <si>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</si>
  <si>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</si>
  <si>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</si>
  <si>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</si>
  <si>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</si>
  <si>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</si>
  <si>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</si>
  <si>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</si>
  <si>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</si>
  <si>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</si>
  <si>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</si>
  <si>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</si>
  <si>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</si>
  <si>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</si>
  <si>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</si>
  <si>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</si>
  <si>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</si>
  <si>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</si>
  <si>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</si>
  <si>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</si>
  <si>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</si>
  <si>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</si>
  <si>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</si>
  <si>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</si>
  <si>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</si>
  <si>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</si>
  <si>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</si>
  <si>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</si>
  <si>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</si>
  <si>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</si>
  <si>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</si>
  <si>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</si>
  <si>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</si>
  <si>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</si>
  <si>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</si>
  <si>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</si>
  <si>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</si>
  <si>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</si>
  <si>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</si>
  <si>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</si>
  <si>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</si>
  <si>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</si>
  <si>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</si>
  <si>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</si>
  <si>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</si>
  <si>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</si>
  <si>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</si>
  <si>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</si>
  <si>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</si>
  <si>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</si>
  <si>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</si>
  <si>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</si>
  <si>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</si>
  <si>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</si>
  <si>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</si>
  <si>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</si>
  <si>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</si>
  <si>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</si>
  <si>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</si>
  <si>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</si>
  <si>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</si>
  <si>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</si>
  <si>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</si>
  <si>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</si>
  <si>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</si>
  <si>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</si>
  <si>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</si>
  <si>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</si>
  <si>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</si>
  <si>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</si>
  <si>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</si>
  <si>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</si>
  <si>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</si>
  <si>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</si>
  <si>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</si>
  <si>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</si>
  <si>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</si>
  <si>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</si>
  <si>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</si>
  <si>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</si>
  <si>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</si>
  <si>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</si>
  <si>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</si>
  <si>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</si>
  <si>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</si>
  <si>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</si>
  <si>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</si>
  <si>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</si>
  <si>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</si>
  <si>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</si>
  <si>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</si>
  <si>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</si>
  <si>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</si>
  <si>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</si>
  <si>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</si>
  <si>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</si>
  <si>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</si>
  <si>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</si>
  <si>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</si>
  <si>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</si>
  <si>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</si>
  <si>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</si>
  <si>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</si>
  <si>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</si>
  <si>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</si>
  <si>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</si>
  <si>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</si>
  <si>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</si>
  <si>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</si>
  <si>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</si>
  <si>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</si>
  <si>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</si>
  <si>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</si>
  <si>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</si>
  <si>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</si>
  <si>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</si>
  <si>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</si>
  <si>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</si>
  <si>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</si>
  <si>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</si>
  <si>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</si>
  <si>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</si>
  <si>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</si>
  <si>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</si>
  <si>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</si>
  <si>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</si>
  <si>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</si>
  <si>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</si>
  <si>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</si>
  <si>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</si>
  <si>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</si>
  <si>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</si>
  <si>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</si>
  <si>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</si>
  <si>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</si>
  <si>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</si>
  <si>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</si>
  <si>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</si>
  <si>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</si>
  <si>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</si>
  <si>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</si>
  <si>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</si>
  <si>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</si>
  <si>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</si>
  <si>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</si>
  <si>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</si>
  <si>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</si>
  <si>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</si>
  <si>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</si>
  <si>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</si>
  <si>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</si>
  <si>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</si>
  <si>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</si>
  <si>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</si>
  <si>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</si>
  <si>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</si>
  <si>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</si>
  <si>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</si>
  <si>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</si>
  <si>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</si>
  <si>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</si>
  <si>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</si>
  <si>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</si>
  <si>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</si>
  <si>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</si>
  <si>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</si>
  <si>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</si>
  <si>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</si>
  <si>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</si>
  <si>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</si>
  <si>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</si>
  <si>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</si>
  <si>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</si>
  <si>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</si>
  <si>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</si>
  <si>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</si>
  <si>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</si>
  <si>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</si>
  <si>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</si>
  <si>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</si>
  <si>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</si>
  <si>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</si>
  <si>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</si>
  <si>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</si>
  <si>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</si>
  <si>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</si>
  <si>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</si>
  <si>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</si>
  <si>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</si>
  <si>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</si>
  <si>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</si>
  <si>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</si>
  <si>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</si>
  <si>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</si>
  <si>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</si>
  <si>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</si>
  <si>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</si>
  <si>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</si>
  <si>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</si>
  <si>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</si>
  <si>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</si>
  <si>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</si>
  <si>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</si>
  <si>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</si>
  <si>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</si>
  <si>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</si>
  <si>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</si>
  <si>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</si>
  <si>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</si>
  <si>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</si>
  <si>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</si>
  <si>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</si>
  <si>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</si>
  <si>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</si>
  <si>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</si>
  <si>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</si>
  <si>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</si>
  <si>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</si>
  <si>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</si>
  <si>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</si>
  <si>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</si>
  <si>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</si>
  <si>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</si>
  <si>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</si>
  <si>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</si>
  <si>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</si>
  <si>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</si>
  <si>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</si>
  <si>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</si>
  <si>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</si>
  <si>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</si>
  <si>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</si>
  <si>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</si>
  <si>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</si>
  <si>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</si>
  <si>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</si>
  <si>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</si>
  <si>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</si>
  <si>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</si>
  <si>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</si>
  <si>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</si>
  <si>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</si>
  <si>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</si>
  <si>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</si>
  <si>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</si>
  <si>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</si>
  <si>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</si>
  <si>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</si>
  <si>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</si>
  <si>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</si>
  <si>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</si>
  <si>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</si>
  <si>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</si>
  <si>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</si>
  <si>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</si>
  <si>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</si>
  <si>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</si>
  <si>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</si>
  <si>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</si>
  <si>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</si>
  <si>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</si>
  <si>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</si>
  <si>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</si>
  <si>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</si>
  <si>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</si>
  <si>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</si>
  <si>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</si>
  <si>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</si>
  <si>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</si>
  <si>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</si>
  <si>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</si>
  <si>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</si>
  <si>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</si>
  <si>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</si>
  <si>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</si>
  <si>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</si>
  <si>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</si>
  <si>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</si>
  <si>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</si>
  <si>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</si>
  <si>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</si>
  <si>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</si>
  <si>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</si>
  <si>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</si>
  <si>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</si>
  <si>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</si>
  <si>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</si>
  <si>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</si>
  <si>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</si>
  <si>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</si>
  <si>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</si>
  <si>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</si>
  <si>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</si>
  <si>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</si>
  <si>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</si>
  <si>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</si>
  <si>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</si>
  <si>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</si>
  <si>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</si>
  <si>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</si>
  <si>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</si>
  <si>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</si>
  <si>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</si>
  <si>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</si>
  <si>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</si>
  <si>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</si>
  <si>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</si>
  <si>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</si>
  <si>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</si>
  <si>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</si>
  <si>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</si>
  <si>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</si>
  <si>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</si>
  <si>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</si>
  <si>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</si>
  <si>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</si>
  <si>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</si>
  <si>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</si>
  <si>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</si>
  <si>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</si>
  <si>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</si>
  <si>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</si>
  <si>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</si>
  <si>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</si>
  <si>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</si>
  <si>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</si>
  <si>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</si>
  <si>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</si>
  <si>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</si>
  <si>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</si>
  <si>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</si>
  <si>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</si>
  <si>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</si>
  <si>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</si>
  <si>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</si>
  <si>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</si>
  <si>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</si>
  <si>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</si>
  <si>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</si>
  <si>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</si>
  <si>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</si>
  <si>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</si>
  <si>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</si>
  <si>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</si>
  <si>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</si>
  <si>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</si>
  <si>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</si>
  <si>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</si>
  <si>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</si>
  <si>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</si>
  <si>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</si>
  <si>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</si>
  <si>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</si>
  <si>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</si>
  <si>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</si>
  <si>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</si>
  <si>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</si>
  <si>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</si>
  <si>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</si>
  <si>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</si>
  <si>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</si>
  <si>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</si>
  <si>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</si>
  <si>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</si>
  <si>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</si>
  <si>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</si>
  <si>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</si>
  <si>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</si>
  <si>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</si>
  <si>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</si>
  <si>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</si>
  <si>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</si>
  <si>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</si>
  <si>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</si>
  <si>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</si>
  <si>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</si>
  <si>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</si>
  <si>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</si>
  <si>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</si>
  <si>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</si>
  <si>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</si>
  <si>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</si>
  <si>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</si>
  <si>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</si>
  <si>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</si>
  <si>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</si>
  <si>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</si>
  <si>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</si>
  <si>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</si>
  <si>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</si>
  <si>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</si>
  <si>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</si>
  <si>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</si>
  <si>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</si>
  <si>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</si>
  <si>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</si>
  <si>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</si>
  <si>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</si>
  <si>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</si>
  <si>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</si>
  <si>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</si>
  <si>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</si>
  <si>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HR Workforce Analysis</t>
  </si>
  <si>
    <t>Formula-driven workforce metrics linked directly to HR Data.</t>
  </si>
  <si>
    <t>Core KPIs</t>
  </si>
  <si>
    <t>Employees</t>
  </si>
  <si>
    <t>Employees Left</t>
  </si>
  <si>
    <t>Turnover Rate</t>
  </si>
  <si>
    <t>Total Absence Days</t>
  </si>
  <si>
    <t>Department Performance</t>
  </si>
  <si>
    <t>Avg Salary</t>
  </si>
  <si>
    <t>Avg Satisfaction</t>
  </si>
  <si>
    <t>Turnover by Satisfaction</t>
  </si>
  <si>
    <t>Satisfaction</t>
  </si>
  <si>
    <t>HR Workforce Dashboard</t>
  </si>
  <si>
    <t>700 synthetic employees | turnover, absenteeism and satisfaction</t>
  </si>
  <si>
    <t>KEY BUSINESS INSIGHTS</t>
  </si>
  <si>
    <t>• Department turnover and absence metrics provide a management-level view of workforce risk.</t>
  </si>
  <si>
    <t>• Satisfaction is analysed as a potential leading indicator of employee turnover.</t>
  </si>
  <si>
    <t>• Formula-driven risk bands allow HR teams to prioritise employees for retention review.</t>
  </si>
  <si>
    <t>• Managers should investigate departments with both elevated absence and turnover rather than relying on a single KPI.</t>
  </si>
  <si>
    <t>Row Labels</t>
  </si>
  <si>
    <t>Grand Total</t>
  </si>
  <si>
    <t>Count of Employee ID</t>
  </si>
  <si>
    <t>Column Labels</t>
  </si>
  <si>
    <t>Sum of Absence Days</t>
  </si>
  <si>
    <t>Average of Monthly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</si>
</sst>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_-[$R-1C09]* #,##0.00_-;\-[$R-1C09]* #,##0.00_-;_-[$R-1C09]* &quot;-&quot;??_-;_-@_-"/>
  </numFmts>
  <fonts count="14" x14ac:knownFonts="1">
    <font>
      <sz val="11"/>
      <color theme="1"/>
      <name val="Calibri"/>
      <family val="2"/>
      <charset val="1"/>
    </font>
    <font>
      <b/>
      <sz val="11"/>
      <color theme="1"/>
      <name val="Calibri"/>
      <family val="2"/>
      <charset val="1"/>
    </font>
    <font>
      <b/>
      <sz val="11"/>
      <color rgb="FFFFFFFF"/>
      <name val="Cambria"/>
      <charset val="1"/>
    </font>
    <font>
      <b/>
      <sz val="20"/>
      <color rgb="FF17365D"/>
      <name val="Cambria"/>
      <charset val="1"/>
    </font>
    <font>
      <b/>
      <sz val="13"/>
      <color rgb="FF1F4E78"/>
      <name val="Cambria"/>
      <charset val="1"/>
    </font>
    <font>
      <b/>
      <sz val="16"/>
      <name val="Cambria"/>
      <charset val="1"/>
    </font>
    <font>
      <b/>
      <sz val="11"/>
      <color rgb="FF666666"/>
      <name val="Cambria"/>
      <charset val="1"/>
    </font>
    <font>
      <sz val="11"/>
      <color theme="1"/>
      <name val="Calibri"/>
      <family val="2"/>
      <charset val="1"/>
    </font>
    <font>
      <i/>
      <sz val="11"/>
      <color theme="1" tint="0.14999847407452621"/>
      <name val="Cambria"/>
      <family val="1"/>
    </font>
    <font>
      <sz val="11"/>
      <color theme="1" tint="0.14999847407452621"/>
      <name val="Calibri"/>
      <family val="2"/>
      <charset val="1"/>
    </font>
    <font>
      <b/>
      <sz val="11"/>
      <color theme="3" tint="-0.249977111117893"/>
      <name val="Cambria"/>
      <family val="1"/>
    </font>
    <font>
      <b/>
      <u/>
      <sz val="20"/>
      <color rgb="FF17365D"/>
      <name val="Cambria"/>
      <family val="1"/>
    </font>
    <font>
      <u/>
      <sz val="11"/>
      <color theme="1"/>
      <name val="Calibri"/>
      <family val="2"/>
      <charset val="1"/>
    </font>
    <font>
      <b/>
      <u/>
      <sz val="13"/>
      <color rgb="FF1F4E78"/>
      <name val="Cambria"/>
      <family val="1"/>
    </font>
  </fonts>
  <fills count="7">
    <fill>
      <patternFill patternType="none"/>
    </fill>
    <fill>
      <patternFill patternType="gray125"/>
    </fill>
    <fill>
      <patternFill patternType="solid">
        <fgColor rgb="FF1F4E78"/>
        <bgColor rgb="FF17365D"/>
      </patternFill>
    </fill>
    <fill>
      <patternFill patternType="solid">
        <fgColor theme="0" tint="-0.14999847407452621"/>
        <bgColor rgb="FFD9E1F2"/>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17365D"/>
      </patternFill>
    </fill>
  </fills>
  <borders count="5">
    <border>
      <left/>
      <right/>
      <top/>
      <bottom/>
      <diagonal/>
    </border>
    <border>
      <left/>
      <right/>
      <top/>
      <bottom style="thin">
        <color rgb="FFD9E1F2"/>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indexed="64"/>
      </bottom>
      <diagonal/>
    </border>
  </borders>
  <cellStyleXfs count="7">
    <xf numFmtId="0" fontId="0" fillId="0" borderId="0"/>
    <xf numFmtId="0" fontId="7" fillId="0" borderId="0"/>
    <xf numFmtId="0" fontId="7" fillId="0" borderId="0"/>
    <xf numFmtId="0" fontId="7" fillId="0" borderId="0"/>
    <xf numFmtId="0" fontId="7" fillId="0" borderId="0">
      <alignment horizontal="left"/>
    </xf>
    <xf numFmtId="0" fontId="1" fillId="0" borderId="0">
      <alignment horizontal="left"/>
    </xf>
    <xf numFmtId="0" fontId="1" fillId="0" borderId="0"/>
  </cellStyleXfs>
  <cellXfs count="28">
    <xf numFmtId="0" fontId="0" fillId="0" borderId="0" xfId="0"/>
    <xf numFmtId="0" fontId="2" fillId="2" borderId="1" xfId="0" applyFont="1" applyFill="1" applyBorder="1" applyAlignment="1">
      <alignment horizontal="center"/>
    </xf>
    <xf numFmtId="3" fontId="5" fillId="3" borderId="2" xfId="0" applyNumberFormat="1" applyFont="1" applyFill="1" applyBorder="1" applyAlignment="1">
      <alignment horizontal="center"/>
    </xf>
    <xf numFmtId="0" fontId="6" fillId="4" borderId="3" xfId="0" applyFont="1" applyFill="1" applyBorder="1" applyAlignment="1">
      <alignment horizontal="center"/>
    </xf>
    <xf numFmtId="3" fontId="5" fillId="3" borderId="0" xfId="0" applyNumberFormat="1" applyFont="1" applyFill="1" applyAlignment="1">
      <alignment horizontal="center"/>
    </xf>
    <xf numFmtId="0" fontId="6" fillId="4" borderId="0" xfId="0" applyFont="1" applyFill="1" applyAlignment="1">
      <alignment horizontal="center"/>
    </xf>
    <xf numFmtId="164" fontId="5" fillId="3" borderId="0" xfId="0" applyNumberFormat="1" applyFont="1" applyFill="1" applyAlignment="1">
      <alignment horizontal="center"/>
    </xf>
    <xf numFmtId="164" fontId="5" fillId="3" borderId="2" xfId="0" applyNumberFormat="1" applyFont="1" applyFill="1" applyBorder="1" applyAlignment="1">
      <alignment horizontal="center"/>
    </xf>
    <xf numFmtId="0" fontId="0" fillId="5" borderId="0" xfId="0" applyFill="1"/>
    <xf numFmtId="0" fontId="4" fillId="5" borderId="0" xfId="0" applyFont="1" applyFill="1"/>
    <xf numFmtId="165" fontId="0" fillId="5" borderId="0" xfId="0" applyNumberFormat="1" applyFill="1"/>
    <xf numFmtId="164" fontId="0" fillId="5" borderId="0" xfId="0" applyNumberFormat="1" applyFill="1"/>
    <xf numFmtId="0" fontId="10" fillId="6" borderId="1" xfId="0" applyFont="1" applyFill="1" applyBorder="1" applyAlignment="1">
      <alignment horizontal="center"/>
    </xf>
    <xf numFmtId="165" fontId="5" fillId="3" borderId="0" xfId="0" applyNumberFormat="1" applyFont="1" applyFill="1" applyAlignment="1">
      <alignment horizontal="center"/>
    </xf>
    <xf numFmtId="0" fontId="13" fillId="5" borderId="0" xfId="0" applyFont="1" applyFill="1"/>
    <xf numFmtId="0" fontId="12" fillId="5" borderId="0" xfId="0" applyFont="1" applyFill="1"/>
    <xf numFmtId="0" fontId="0" fillId="5" borderId="0" xfId="0" applyFill="1" applyAlignment="1">
      <alignment horizontal="left"/>
    </xf>
    <xf numFmtId="166" fontId="0" fillId="5" borderId="0" xfId="0" applyNumberFormat="1" applyFill="1"/>
    <xf numFmtId="166" fontId="2" fillId="2" borderId="1" xfId="0" applyNumberFormat="1" applyFont="1" applyFill="1" applyBorder="1" applyAlignment="1">
      <alignment horizontal="center"/>
    </xf>
    <xf numFmtId="166" fontId="0" fillId="0" borderId="0" xfId="0" applyNumberFormat="1"/>
    <xf numFmtId="0" fontId="8" fillId="5" borderId="0" xfId="0" applyFont="1" applyFill="1" applyAlignment="1">
      <alignment horizontal="center"/>
    </xf>
    <xf numFmtId="0" fontId="9" fillId="5" borderId="0" xfId="0" applyFont="1" applyFill="1" applyAlignment="1">
      <alignment horizontal="center"/>
    </xf>
    <xf numFmtId="0" fontId="3" fillId="5" borderId="4" xfId="0" applyFont="1" applyFill="1" applyBorder="1" applyAlignment="1">
      <alignment horizontal="center"/>
    </xf>
    <xf numFmtId="0" fontId="0" fillId="5" borderId="4" xfId="0" applyFill="1" applyBorder="1" applyAlignment="1">
      <alignment horizontal="center"/>
    </xf>
    <xf numFmtId="0" fontId="0" fillId="5" borderId="0" xfId="0" applyFill="1" applyAlignment="1">
      <alignment wrapText="1"/>
    </xf>
    <xf numFmtId="0" fontId="0" fillId="5" borderId="0" xfId="0" applyFill="1"/>
    <xf numFmtId="0" fontId="11" fillId="5" borderId="0" xfId="0" applyFont="1" applyFill="1" applyAlignment="1">
      <alignment horizontal="center"/>
    </xf>
    <xf numFmtId="0" fontId="12" fillId="5" borderId="0" xfId="0" applyFont="1" applyFill="1" applyAlignment="1">
      <alignment horizontal="center"/>
    </xf>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17">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166" formatCode="_-[$R-1C09]* #,##0.00_-;\-[$R-1C09]* #,##0.00_-;_-[$R-1C09]* &quot;-&quot;??_-;_-@_-"/>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4F81BD"/>
      <rgbColor rgb="FF33CCCC"/>
      <rgbColor rgb="FF98B855"/>
      <rgbColor rgb="FFFFCC00"/>
      <rgbColor rgb="FFFF9900"/>
      <rgbColor rgb="FFFF6600"/>
      <rgbColor rgb="FF666666"/>
      <rgbColor rgb="FF969696"/>
      <rgbColor rgb="FF17365D"/>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Turnover Rate by Department</a:t>
            </a:r>
          </a:p>
        </c:rich>
      </c:tx>
      <c:overlay val="0"/>
      <c:spPr>
        <a:noFill/>
        <a:ln w="0">
          <a:noFill/>
          <a:prstDash val="solid"/>
        </a:ln>
      </c:spPr>
    </c:title>
    <c:autoTitleDeleted val="0"/>
    <c:plotArea>
      <c:layout/>
      <c:barChart>
        <c:barDir val="col"/>
        <c:grouping val="clustered"/>
        <c:varyColors val="0"/>
        <c:ser>
          <c:idx val="0"/>
          <c:order val="0"/>
          <c:tx>
            <c:strRef>
              <c:f>Analysis!$F$10</c:f>
              <c:strCache>
                <c:ptCount val="1"/>
                <c:pt idx="0">
                  <c:v>Turnover Rate</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Analysis!$A$11:$A$16</c:f>
              <c:strCache>
                <c:ptCount val="6"/>
                <c:pt idx="0">
                  <c:v>Sales</c:v>
                </c:pt>
                <c:pt idx="1">
                  <c:v>IT</c:v>
                </c:pt>
                <c:pt idx="2">
                  <c:v>Finance</c:v>
                </c:pt>
                <c:pt idx="3">
                  <c:v>Operations</c:v>
                </c:pt>
                <c:pt idx="4">
                  <c:v>HR</c:v>
                </c:pt>
                <c:pt idx="5">
                  <c:v>Customer Service</c:v>
                </c:pt>
              </c:strCache>
            </c:strRef>
          </c:cat>
          <c:val>
            <c:numRef>
              <c:f>Analysis!$F$11:$F$16</c:f>
              <c:numCache>
                <c:formatCode>0.0%</c:formatCode>
                <c:ptCount val="6"/>
                <c:pt idx="0">
                  <c:v>0.14285714285714285</c:v>
                </c:pt>
                <c:pt idx="1">
                  <c:v>0.11764705882352941</c:v>
                </c:pt>
                <c:pt idx="2">
                  <c:v>0.16800000000000001</c:v>
                </c:pt>
                <c:pt idx="3">
                  <c:v>0.1111111111111111</c:v>
                </c:pt>
                <c:pt idx="4">
                  <c:v>0.12612612612612611</c:v>
                </c:pt>
                <c:pt idx="5">
                  <c:v>0.17924528301886791</c:v>
                </c:pt>
              </c:numCache>
            </c:numRef>
          </c:val>
          <c:extLst>
            <c:ext xmlns:c16="http://schemas.microsoft.com/office/drawing/2014/chart" uri="{C3380CC4-5D6E-409C-BE32-E72D297353CC}">
              <c16:uniqueId val="{00000000-CD23-4E8F-99B6-4E117B43840E}"/>
            </c:ext>
          </c:extLst>
        </c:ser>
        <c:dLbls>
          <c:showLegendKey val="0"/>
          <c:showVal val="0"/>
          <c:showCatName val="0"/>
          <c:showSerName val="0"/>
          <c:showPercent val="0"/>
          <c:showBubbleSize val="0"/>
        </c:dLbls>
        <c:gapWidth val="150"/>
        <c:axId val="81264587"/>
        <c:axId val="22449127"/>
      </c:barChart>
      <c:catAx>
        <c:axId val="81264587"/>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22449127"/>
        <c:crosses val="autoZero"/>
        <c:auto val="1"/>
        <c:lblAlgn val="ctr"/>
        <c:lblOffset val="100"/>
        <c:noMultiLvlLbl val="0"/>
      </c:catAx>
      <c:valAx>
        <c:axId val="22449127"/>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Turnover Rate</a:t>
                </a:r>
              </a:p>
            </c:rich>
          </c:tx>
          <c:overlay val="0"/>
          <c:spPr>
            <a:noFill/>
            <a:ln w="0">
              <a:noFill/>
              <a:prstDash val="solid"/>
            </a:ln>
          </c:spPr>
        </c:title>
        <c:numFmt formatCode="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81264587"/>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Absence Days by Department</a:t>
            </a:r>
          </a:p>
        </c:rich>
      </c:tx>
      <c:overlay val="0"/>
      <c:spPr>
        <a:noFill/>
        <a:ln w="0">
          <a:noFill/>
          <a:prstDash val="solid"/>
        </a:ln>
      </c:spPr>
    </c:title>
    <c:autoTitleDeleted val="0"/>
    <c:plotArea>
      <c:layout/>
      <c:barChart>
        <c:barDir val="col"/>
        <c:grouping val="clustered"/>
        <c:varyColors val="0"/>
        <c:ser>
          <c:idx val="0"/>
          <c:order val="0"/>
          <c:tx>
            <c:strRef>
              <c:f>Analysis!$E$10</c:f>
              <c:strCache>
                <c:ptCount val="1"/>
                <c:pt idx="0">
                  <c:v>Absence Days</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Analysis!$A$11:$A$16</c:f>
              <c:strCache>
                <c:ptCount val="6"/>
                <c:pt idx="0">
                  <c:v>Sales</c:v>
                </c:pt>
                <c:pt idx="1">
                  <c:v>IT</c:v>
                </c:pt>
                <c:pt idx="2">
                  <c:v>Finance</c:v>
                </c:pt>
                <c:pt idx="3">
                  <c:v>Operations</c:v>
                </c:pt>
                <c:pt idx="4">
                  <c:v>HR</c:v>
                </c:pt>
                <c:pt idx="5">
                  <c:v>Customer Service</c:v>
                </c:pt>
              </c:strCache>
            </c:strRef>
          </c:cat>
          <c:val>
            <c:numRef>
              <c:f>Analysis!$E$11:$E$16</c:f>
              <c:numCache>
                <c:formatCode>General</c:formatCode>
                <c:ptCount val="6"/>
                <c:pt idx="0">
                  <c:v>842</c:v>
                </c:pt>
                <c:pt idx="1">
                  <c:v>783</c:v>
                </c:pt>
                <c:pt idx="2">
                  <c:v>786</c:v>
                </c:pt>
                <c:pt idx="3">
                  <c:v>571</c:v>
                </c:pt>
                <c:pt idx="4">
                  <c:v>742</c:v>
                </c:pt>
                <c:pt idx="5">
                  <c:v>675</c:v>
                </c:pt>
              </c:numCache>
            </c:numRef>
          </c:val>
          <c:extLst>
            <c:ext xmlns:c16="http://schemas.microsoft.com/office/drawing/2014/chart" uri="{C3380CC4-5D6E-409C-BE32-E72D297353CC}">
              <c16:uniqueId val="{00000000-EF2E-443C-95F7-A735123AD139}"/>
            </c:ext>
          </c:extLst>
        </c:ser>
        <c:dLbls>
          <c:showLegendKey val="0"/>
          <c:showVal val="0"/>
          <c:showCatName val="0"/>
          <c:showSerName val="0"/>
          <c:showPercent val="0"/>
          <c:showBubbleSize val="0"/>
        </c:dLbls>
        <c:gapWidth val="150"/>
        <c:axId val="7233164"/>
        <c:axId val="4770896"/>
      </c:barChart>
      <c:catAx>
        <c:axId val="7233164"/>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4770896"/>
        <c:crosses val="autoZero"/>
        <c:auto val="1"/>
        <c:lblAlgn val="ctr"/>
        <c:lblOffset val="100"/>
        <c:noMultiLvlLbl val="0"/>
      </c:catAx>
      <c:valAx>
        <c:axId val="4770896"/>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Absence Days</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7233164"/>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Turnover Rate by Satisfaction</a:t>
            </a:r>
          </a:p>
        </c:rich>
      </c:tx>
      <c:overlay val="0"/>
      <c:spPr>
        <a:noFill/>
        <a:ln w="0">
          <a:noFill/>
          <a:prstDash val="solid"/>
        </a:ln>
      </c:spPr>
    </c:title>
    <c:autoTitleDeleted val="0"/>
    <c:plotArea>
      <c:layout/>
      <c:lineChart>
        <c:grouping val="standard"/>
        <c:varyColors val="0"/>
        <c:ser>
          <c:idx val="0"/>
          <c:order val="0"/>
          <c:tx>
            <c:strRef>
              <c:f>Analysis!$D$21</c:f>
              <c:strCache>
                <c:ptCount val="1"/>
                <c:pt idx="0">
                  <c:v>Turnover Rate</c:v>
                </c:pt>
              </c:strCache>
            </c:strRef>
          </c:tx>
          <c:spPr>
            <a:ln w="47520">
              <a:solidFill>
                <a:srgbClr val="98B855"/>
              </a:solidFill>
              <a:prstDash val="solid"/>
              <a:round/>
            </a:ln>
          </c:spPr>
          <c:marker>
            <c:symbol val="none"/>
          </c:marker>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Analysis!$A$22:$A$26</c:f>
              <c:numCache>
                <c:formatCode>General</c:formatCode>
                <c:ptCount val="5"/>
                <c:pt idx="0">
                  <c:v>1</c:v>
                </c:pt>
                <c:pt idx="1">
                  <c:v>2</c:v>
                </c:pt>
                <c:pt idx="2">
                  <c:v>3</c:v>
                </c:pt>
                <c:pt idx="3">
                  <c:v>4</c:v>
                </c:pt>
                <c:pt idx="4">
                  <c:v>5</c:v>
                </c:pt>
              </c:numCache>
            </c:numRef>
          </c:cat>
          <c:val>
            <c:numRef>
              <c:f>Analysis!$D$22:$D$26</c:f>
              <c:numCache>
                <c:formatCode>0.0%</c:formatCode>
                <c:ptCount val="5"/>
                <c:pt idx="0">
                  <c:v>0.33333333333333331</c:v>
                </c:pt>
                <c:pt idx="1">
                  <c:v>8.3333333333333329E-2</c:v>
                </c:pt>
                <c:pt idx="2">
                  <c:v>3.5714285714285712E-2</c:v>
                </c:pt>
                <c:pt idx="3">
                  <c:v>7.1428571428571425E-2</c:v>
                </c:pt>
                <c:pt idx="4">
                  <c:v>0</c:v>
                </c:pt>
              </c:numCache>
            </c:numRef>
          </c:val>
          <c:smooth val="1"/>
          <c:extLst>
            <c:ext xmlns:c16="http://schemas.microsoft.com/office/drawing/2014/chart" uri="{C3380CC4-5D6E-409C-BE32-E72D297353CC}">
              <c16:uniqueId val="{00000000-7DC4-452D-B020-EAE140A73EE4}"/>
            </c:ext>
          </c:extLst>
        </c:ser>
        <c:dLbls>
          <c:showLegendKey val="0"/>
          <c:showVal val="0"/>
          <c:showCatName val="0"/>
          <c:showSerName val="0"/>
          <c:showPercent val="0"/>
          <c:showBubbleSize val="0"/>
        </c:dLbls>
        <c:hiLowLines>
          <c:spPr>
            <a:ln w="0">
              <a:noFill/>
              <a:prstDash val="solid"/>
            </a:ln>
          </c:spPr>
        </c:hiLowLines>
        <c:smooth val="0"/>
        <c:axId val="53631660"/>
        <c:axId val="21151742"/>
      </c:lineChart>
      <c:catAx>
        <c:axId val="53631660"/>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21151742"/>
        <c:crosses val="autoZero"/>
        <c:auto val="1"/>
        <c:lblAlgn val="ctr"/>
        <c:lblOffset val="100"/>
        <c:noMultiLvlLbl val="0"/>
      </c:catAx>
      <c:valAx>
        <c:axId val="21151742"/>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Turnover Rate</a:t>
                </a:r>
              </a:p>
            </c:rich>
          </c:tx>
          <c:overlay val="0"/>
          <c:spPr>
            <a:noFill/>
            <a:ln w="0">
              <a:noFill/>
              <a:prstDash val="solid"/>
            </a:ln>
          </c:spPr>
        </c:title>
        <c:numFmt formatCode="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5363166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10800</xdr:rowOff>
    </xdr:from>
    <xdr:to>
      <xdr:col>4</xdr:col>
      <xdr:colOff>395280</xdr:colOff>
      <xdr:row>19</xdr:row>
      <xdr:rowOff>54000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6</xdr:row>
      <xdr:rowOff>10800</xdr:rowOff>
    </xdr:from>
    <xdr:to>
      <xdr:col>10</xdr:col>
      <xdr:colOff>559440</xdr:colOff>
      <xdr:row>19</xdr:row>
      <xdr:rowOff>54000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10800</xdr:rowOff>
    </xdr:from>
    <xdr:to>
      <xdr:col>4</xdr:col>
      <xdr:colOff>395280</xdr:colOff>
      <xdr:row>31</xdr:row>
      <xdr:rowOff>102240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771525</xdr:colOff>
      <xdr:row>10</xdr:row>
      <xdr:rowOff>180976</xdr:rowOff>
    </xdr:from>
    <xdr:to>
      <xdr:col>2</xdr:col>
      <xdr:colOff>133350</xdr:colOff>
      <xdr:row>21</xdr:row>
      <xdr:rowOff>28576</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B086C218-8ED7-D7F1-92C1-3561D743FA5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1525" y="2085976"/>
              <a:ext cx="1828800" cy="19431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1266825</xdr:colOff>
      <xdr:row>10</xdr:row>
      <xdr:rowOff>95250</xdr:rowOff>
    </xdr:from>
    <xdr:to>
      <xdr:col>4</xdr:col>
      <xdr:colOff>114300</xdr:colOff>
      <xdr:row>20</xdr:row>
      <xdr:rowOff>180975</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E007971D-B676-A898-8351-ED9320F2BB3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733800" y="2000250"/>
              <a:ext cx="1828800" cy="19907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mohlala" refreshedDate="46260.460648148146" createdVersion="8" refreshedVersion="8" minRefreshableVersion="3" recordCount="700" xr:uid="{6CFF6A85-189A-4B0D-AC5A-8E1B80C3E812}">
  <cacheSource type="worksheet">
    <worksheetSource ref="A1:L701" sheet="HR Data"/>
  </cacheSource>
  <cacheFields count="12">
    <cacheField name="Employee ID" numFmtId="0">
      <sharedItems/>
    </cacheField>
    <cacheField name="Department" numFmtId="0">
      <sharedItems count="6">
        <s v="IT"/>
        <s v="Finance"/>
        <s v="Sales"/>
        <s v="Operations"/>
        <s v="Customer Service"/>
        <s v="HR"/>
      </sharedItems>
    </cacheField>
    <cacheField name="Age" numFmtId="0">
      <sharedItems containsSemiMixedTypes="0" containsString="0" containsNumber="1" containsInteger="1" minValue="21" maxValue="60"/>
    </cacheField>
    <cacheField name="Monthly Salary" numFmtId="0">
      <sharedItems containsSemiMixedTypes="0" containsString="0" containsNumber="1" containsInteger="1" minValue="12024" maxValue="41907"/>
    </cacheField>
    <cacheField name="Years at Company" numFmtId="0">
      <sharedItems containsSemiMixedTypes="0" containsString="0" containsNumber="1" containsInteger="1" minValue="0" maxValue="15"/>
    </cacheField>
    <cacheField name="Performance Score" numFmtId="0">
      <sharedItems containsSemiMixedTypes="0" containsString="0" containsNumber="1" minValue="1" maxValue="5"/>
    </cacheField>
    <cacheField name="Training Hours" numFmtId="0">
      <sharedItems containsSemiMixedTypes="0" containsString="0" containsNumber="1" containsInteger="1" minValue="4" maxValue="50"/>
    </cacheField>
    <cacheField name="Overtime Hours" numFmtId="0">
      <sharedItems containsSemiMixedTypes="0" containsString="0" containsNumber="1" containsInteger="1" minValue="0" maxValue="35"/>
    </cacheField>
    <cacheField name="Absence Days" numFmtId="0">
      <sharedItems containsSemiMixedTypes="0" containsString="0" containsNumber="1" containsInteger="1" minValue="0" maxValue="20"/>
    </cacheField>
    <cacheField name="Job Satisfaction" numFmtId="0">
      <sharedItems containsSemiMixedTypes="0" containsString="0" containsNumber="1" minValue="1" maxValue="5"/>
    </cacheField>
    <cacheField name="Left Company" numFmtId="0">
      <sharedItems/>
    </cacheField>
    <cacheField name="Turnover Risk" numFmtId="0">
      <sharedItems/>
    </cacheField>
  </cacheFields>
  <extLst>
    <ext xmlns:x14="http://schemas.microsoft.com/office/spreadsheetml/2009/9/main" uri="{725AE2AE-9491-48be-B2B4-4EB974FC3084}">
      <x14:pivotCacheDefinition pivotCacheId="20181178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mohlala" refreshedDate="46260.464128009262" createdVersion="8" refreshedVersion="8" minRefreshableVersion="3" recordCount="700" xr:uid="{DCB815CD-3B39-4157-A1A6-433203469FA7}">
  <cacheSource type="worksheet">
    <worksheetSource ref="A1:L701" sheet="HR Data"/>
  </cacheSource>
  <cacheFields count="12">
    <cacheField name="Employee ID" numFmtId="0">
      <sharedItems/>
    </cacheField>
    <cacheField name="Department" numFmtId="0">
      <sharedItems count="6">
        <s v="IT"/>
        <s v="Finance"/>
        <s v="Sales"/>
        <s v="Operations"/>
        <s v="Customer Service"/>
        <s v="HR"/>
      </sharedItems>
    </cacheField>
    <cacheField name="Age" numFmtId="0">
      <sharedItems containsSemiMixedTypes="0" containsString="0" containsNumber="1" containsInteger="1" minValue="21" maxValue="60"/>
    </cacheField>
    <cacheField name="Monthly Salary" numFmtId="0">
      <sharedItems containsSemiMixedTypes="0" containsString="0" containsNumber="1" containsInteger="1" minValue="12024" maxValue="41907"/>
    </cacheField>
    <cacheField name="Years at Company" numFmtId="0">
      <sharedItems containsSemiMixedTypes="0" containsString="0" containsNumber="1" containsInteger="1" minValue="0" maxValue="15" count="16">
        <n v="9"/>
        <n v="1"/>
        <n v="2"/>
        <n v="13"/>
        <n v="12"/>
        <n v="15"/>
        <n v="10"/>
        <n v="7"/>
        <n v="8"/>
        <n v="0"/>
        <n v="4"/>
        <n v="3"/>
        <n v="5"/>
        <n v="6"/>
        <n v="11"/>
        <n v="14"/>
      </sharedItems>
    </cacheField>
    <cacheField name="Performance Score" numFmtId="0">
      <sharedItems containsSemiMixedTypes="0" containsString="0" containsNumber="1" minValue="1" maxValue="5"/>
    </cacheField>
    <cacheField name="Training Hours" numFmtId="0">
      <sharedItems containsSemiMixedTypes="0" containsString="0" containsNumber="1" containsInteger="1" minValue="4" maxValue="50"/>
    </cacheField>
    <cacheField name="Overtime Hours" numFmtId="0">
      <sharedItems containsSemiMixedTypes="0" containsString="0" containsNumber="1" containsInteger="1" minValue="0" maxValue="35"/>
    </cacheField>
    <cacheField name="Absence Days" numFmtId="0">
      <sharedItems containsSemiMixedTypes="0" containsString="0" containsNumber="1" containsInteger="1" minValue="0" maxValue="20"/>
    </cacheField>
    <cacheField name="Job Satisfaction" numFmtId="0">
      <sharedItems containsSemiMixedTypes="0" containsString="0" containsNumber="1" minValue="1" maxValue="5"/>
    </cacheField>
    <cacheField name="Left Company" numFmtId="0">
      <sharedItems/>
    </cacheField>
    <cacheField name="Turnover Risk" numFmtId="0">
      <sharedItems/>
    </cacheField>
  </cacheFields>
  <extLst>
    <ext xmlns:x14="http://schemas.microsoft.com/office/spreadsheetml/2009/9/main" uri="{725AE2AE-9491-48be-B2B4-4EB974FC3084}">
      <x14:pivotCacheDefinition pivotCacheId="1699656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EMP0001"/>
    <x v="0"/>
    <n v="31"/>
    <n v="38817"/>
    <n v="9"/>
    <n v="3.5"/>
    <n v="26"/>
    <n v="15"/>
    <n v="9"/>
    <n v="2.1"/>
    <s v="No"/>
    <s v="Medium"/>
  </r>
  <r>
    <s v="EMP0002"/>
    <x v="1"/>
    <n v="39"/>
    <n v="21019"/>
    <n v="1"/>
    <n v="3.2"/>
    <n v="43"/>
    <n v="27"/>
    <n v="12"/>
    <n v="4.0999999999999996"/>
    <s v="No"/>
    <s v="Medium"/>
  </r>
  <r>
    <s v="EMP0003"/>
    <x v="2"/>
    <n v="26"/>
    <n v="24433"/>
    <n v="2"/>
    <n v="2.2000000000000002"/>
    <n v="24"/>
    <n v="28"/>
    <n v="3"/>
    <n v="2.4"/>
    <s v="No"/>
    <s v="Medium"/>
  </r>
  <r>
    <s v="EMP0004"/>
    <x v="1"/>
    <n v="52"/>
    <n v="25235"/>
    <n v="1"/>
    <n v="4.5"/>
    <n v="48"/>
    <n v="22"/>
    <n v="0"/>
    <n v="4.4000000000000004"/>
    <s v="No"/>
    <s v="Medium"/>
  </r>
  <r>
    <s v="EMP0005"/>
    <x v="3"/>
    <n v="50"/>
    <n v="15327"/>
    <n v="13"/>
    <n v="4.9000000000000004"/>
    <n v="24"/>
    <n v="24"/>
    <n v="3"/>
    <n v="4.7"/>
    <s v="No"/>
    <s v="Medium"/>
  </r>
  <r>
    <s v="EMP0006"/>
    <x v="2"/>
    <n v="48"/>
    <n v="19661"/>
    <n v="12"/>
    <n v="3.3"/>
    <n v="34"/>
    <n v="9"/>
    <n v="6"/>
    <n v="4"/>
    <s v="No"/>
    <s v="Low"/>
  </r>
  <r>
    <s v="EMP0007"/>
    <x v="0"/>
    <n v="40"/>
    <n v="27098"/>
    <n v="15"/>
    <n v="1.6"/>
    <n v="14"/>
    <n v="31"/>
    <n v="10"/>
    <n v="3.7"/>
    <s v="No"/>
    <s v="Medium"/>
  </r>
  <r>
    <s v="EMP0008"/>
    <x v="2"/>
    <n v="41"/>
    <n v="29620"/>
    <n v="15"/>
    <n v="3.3"/>
    <n v="17"/>
    <n v="26"/>
    <n v="0"/>
    <n v="3.5"/>
    <s v="No"/>
    <s v="Medium"/>
  </r>
  <r>
    <s v="EMP0009"/>
    <x v="1"/>
    <n v="40"/>
    <n v="22992"/>
    <n v="9"/>
    <n v="3"/>
    <n v="48"/>
    <n v="8"/>
    <n v="9"/>
    <n v="1.8"/>
    <s v="Yes"/>
    <s v="High"/>
  </r>
  <r>
    <s v="EMP0010"/>
    <x v="3"/>
    <n v="44"/>
    <n v="18344"/>
    <n v="10"/>
    <n v="5"/>
    <n v="44"/>
    <n v="30"/>
    <n v="7"/>
    <n v="2.2999999999999998"/>
    <s v="No"/>
    <s v="Medium"/>
  </r>
  <r>
    <s v="EMP0011"/>
    <x v="1"/>
    <n v="33"/>
    <n v="37752"/>
    <n v="7"/>
    <n v="3.6"/>
    <n v="40"/>
    <n v="30"/>
    <n v="3"/>
    <n v="4"/>
    <s v="No"/>
    <s v="Medium"/>
  </r>
  <r>
    <s v="EMP0012"/>
    <x v="3"/>
    <n v="30"/>
    <n v="21043"/>
    <n v="8"/>
    <n v="3"/>
    <n v="8"/>
    <n v="28"/>
    <n v="4"/>
    <n v="3.8"/>
    <s v="No"/>
    <s v="Medium"/>
  </r>
  <r>
    <s v="EMP0013"/>
    <x v="4"/>
    <n v="30"/>
    <n v="22372"/>
    <n v="0"/>
    <n v="2.7"/>
    <n v="34"/>
    <n v="35"/>
    <n v="13"/>
    <n v="3.8"/>
    <s v="No"/>
    <s v="Medium"/>
  </r>
  <r>
    <s v="EMP0014"/>
    <x v="1"/>
    <n v="59"/>
    <n v="25166"/>
    <n v="9"/>
    <n v="3.9"/>
    <n v="50"/>
    <n v="3"/>
    <n v="6"/>
    <n v="2.8"/>
    <s v="No"/>
    <s v="Medium"/>
  </r>
  <r>
    <s v="EMP0015"/>
    <x v="1"/>
    <n v="36"/>
    <n v="19357"/>
    <n v="4"/>
    <n v="3.3"/>
    <n v="45"/>
    <n v="26"/>
    <n v="7"/>
    <n v="4.3"/>
    <s v="No"/>
    <s v="Medium"/>
  </r>
  <r>
    <s v="EMP0016"/>
    <x v="0"/>
    <n v="49"/>
    <n v="36194"/>
    <n v="3"/>
    <n v="3.8"/>
    <n v="21"/>
    <n v="29"/>
    <n v="5"/>
    <n v="4.8"/>
    <s v="No"/>
    <s v="Medium"/>
  </r>
  <r>
    <s v="EMP0017"/>
    <x v="0"/>
    <n v="58"/>
    <n v="28577"/>
    <n v="15"/>
    <n v="2.9"/>
    <n v="50"/>
    <n v="24"/>
    <n v="9"/>
    <n v="2.2000000000000002"/>
    <s v="No"/>
    <s v="Medium"/>
  </r>
  <r>
    <s v="EMP0018"/>
    <x v="3"/>
    <n v="32"/>
    <n v="23545"/>
    <n v="1"/>
    <n v="3.1"/>
    <n v="36"/>
    <n v="3"/>
    <n v="5"/>
    <n v="2"/>
    <s v="No"/>
    <s v="Medium"/>
  </r>
  <r>
    <s v="EMP0019"/>
    <x v="2"/>
    <n v="29"/>
    <n v="18966"/>
    <n v="2"/>
    <n v="3.5"/>
    <n v="25"/>
    <n v="5"/>
    <n v="0"/>
    <n v="2.1"/>
    <s v="No"/>
    <s v="Medium"/>
  </r>
  <r>
    <s v="EMP0020"/>
    <x v="5"/>
    <n v="24"/>
    <n v="17539"/>
    <n v="2"/>
    <n v="4.0999999999999996"/>
    <n v="17"/>
    <n v="28"/>
    <n v="10"/>
    <n v="4.7"/>
    <s v="No"/>
    <s v="Medium"/>
  </r>
  <r>
    <s v="EMP0021"/>
    <x v="0"/>
    <n v="36"/>
    <n v="39127"/>
    <n v="7"/>
    <n v="3.2"/>
    <n v="18"/>
    <n v="9"/>
    <n v="6"/>
    <n v="3.9"/>
    <s v="No"/>
    <s v="Low"/>
  </r>
  <r>
    <s v="EMP0022"/>
    <x v="3"/>
    <n v="46"/>
    <n v="21064"/>
    <n v="13"/>
    <n v="3.3"/>
    <n v="39"/>
    <n v="4"/>
    <n v="11"/>
    <n v="3.7"/>
    <s v="No"/>
    <s v="Low"/>
  </r>
  <r>
    <s v="EMP0023"/>
    <x v="5"/>
    <n v="52"/>
    <n v="29444"/>
    <n v="5"/>
    <n v="3"/>
    <n v="4"/>
    <n v="18"/>
    <n v="7"/>
    <n v="3.3"/>
    <s v="No"/>
    <s v="Low"/>
  </r>
  <r>
    <s v="EMP0024"/>
    <x v="0"/>
    <n v="59"/>
    <n v="28960"/>
    <n v="12"/>
    <n v="4.2"/>
    <n v="11"/>
    <n v="18"/>
    <n v="2"/>
    <n v="3.7"/>
    <s v="No"/>
    <s v="Low"/>
  </r>
  <r>
    <s v="EMP0025"/>
    <x v="4"/>
    <n v="53"/>
    <n v="18348"/>
    <n v="3"/>
    <n v="3.3"/>
    <n v="16"/>
    <n v="19"/>
    <n v="0"/>
    <n v="4.0999999999999996"/>
    <s v="No"/>
    <s v="Low"/>
  </r>
  <r>
    <s v="EMP0026"/>
    <x v="1"/>
    <n v="44"/>
    <n v="26530"/>
    <n v="6"/>
    <n v="2.4"/>
    <n v="36"/>
    <n v="1"/>
    <n v="5"/>
    <n v="4"/>
    <s v="No"/>
    <s v="Low"/>
  </r>
  <r>
    <s v="EMP0027"/>
    <x v="1"/>
    <n v="34"/>
    <n v="31732"/>
    <n v="12"/>
    <n v="3"/>
    <n v="35"/>
    <n v="30"/>
    <n v="5"/>
    <n v="2.7"/>
    <s v="No"/>
    <s v="Medium"/>
  </r>
  <r>
    <s v="EMP0028"/>
    <x v="0"/>
    <n v="25"/>
    <n v="18008"/>
    <n v="8"/>
    <n v="3.2"/>
    <n v="4"/>
    <n v="19"/>
    <n v="0"/>
    <n v="3.9"/>
    <s v="No"/>
    <s v="Low"/>
  </r>
  <r>
    <s v="EMP0029"/>
    <x v="2"/>
    <n v="24"/>
    <n v="26060"/>
    <n v="2"/>
    <n v="3.2"/>
    <n v="23"/>
    <n v="2"/>
    <n v="12"/>
    <n v="4"/>
    <s v="No"/>
    <s v="Low"/>
  </r>
  <r>
    <s v="EMP0030"/>
    <x v="0"/>
    <n v="28"/>
    <n v="33614"/>
    <n v="7"/>
    <n v="3"/>
    <n v="33"/>
    <n v="35"/>
    <n v="6"/>
    <n v="3.6"/>
    <s v="No"/>
    <s v="Medium"/>
  </r>
  <r>
    <s v="EMP0031"/>
    <x v="2"/>
    <n v="30"/>
    <n v="21060"/>
    <n v="1"/>
    <n v="1.9"/>
    <n v="30"/>
    <n v="11"/>
    <n v="6"/>
    <n v="4.5999999999999996"/>
    <s v="Yes"/>
    <s v="High"/>
  </r>
  <r>
    <s v="EMP0032"/>
    <x v="2"/>
    <n v="38"/>
    <n v="23226"/>
    <n v="0"/>
    <n v="3.2"/>
    <n v="46"/>
    <n v="17"/>
    <n v="9"/>
    <n v="3.3"/>
    <s v="No"/>
    <s v="Medium"/>
  </r>
  <r>
    <s v="EMP0033"/>
    <x v="2"/>
    <n v="23"/>
    <n v="28265"/>
    <n v="1"/>
    <n v="3.3"/>
    <n v="27"/>
    <n v="29"/>
    <n v="8"/>
    <n v="3.9"/>
    <s v="No"/>
    <s v="Medium"/>
  </r>
  <r>
    <s v="EMP0034"/>
    <x v="1"/>
    <n v="56"/>
    <n v="29509"/>
    <n v="13"/>
    <n v="2.5"/>
    <n v="15"/>
    <n v="25"/>
    <n v="0"/>
    <n v="5"/>
    <s v="No"/>
    <s v="Medium"/>
  </r>
  <r>
    <s v="EMP0035"/>
    <x v="0"/>
    <n v="52"/>
    <n v="31363"/>
    <n v="8"/>
    <n v="3.9"/>
    <n v="26"/>
    <n v="29"/>
    <n v="4"/>
    <n v="2.2999999999999998"/>
    <s v="No"/>
    <s v="Medium"/>
  </r>
  <r>
    <s v="EMP0036"/>
    <x v="2"/>
    <n v="42"/>
    <n v="30592"/>
    <n v="5"/>
    <n v="3.7"/>
    <n v="40"/>
    <n v="8"/>
    <n v="13"/>
    <n v="3.2"/>
    <s v="No"/>
    <s v="Low"/>
  </r>
  <r>
    <s v="EMP0037"/>
    <x v="3"/>
    <n v="26"/>
    <n v="21912"/>
    <n v="3"/>
    <n v="2.9"/>
    <n v="39"/>
    <n v="10"/>
    <n v="5"/>
    <n v="3.3"/>
    <s v="No"/>
    <s v="Low"/>
  </r>
  <r>
    <s v="EMP0038"/>
    <x v="3"/>
    <n v="28"/>
    <n v="21985"/>
    <n v="12"/>
    <n v="2.2000000000000002"/>
    <n v="18"/>
    <n v="22"/>
    <n v="6"/>
    <n v="2"/>
    <s v="No"/>
    <s v="Medium"/>
  </r>
  <r>
    <s v="EMP0039"/>
    <x v="0"/>
    <n v="50"/>
    <n v="40739"/>
    <n v="3"/>
    <n v="1.6"/>
    <n v="48"/>
    <n v="19"/>
    <n v="6"/>
    <n v="3.4"/>
    <s v="No"/>
    <s v="Low"/>
  </r>
  <r>
    <s v="EMP0040"/>
    <x v="5"/>
    <n v="27"/>
    <n v="19846"/>
    <n v="6"/>
    <n v="4.2"/>
    <n v="15"/>
    <n v="4"/>
    <n v="10"/>
    <n v="3.8"/>
    <s v="No"/>
    <s v="Low"/>
  </r>
  <r>
    <s v="EMP0041"/>
    <x v="1"/>
    <n v="46"/>
    <n v="28837"/>
    <n v="6"/>
    <n v="3"/>
    <n v="34"/>
    <n v="2"/>
    <n v="11"/>
    <n v="2.2999999999999998"/>
    <s v="No"/>
    <s v="Medium"/>
  </r>
  <r>
    <s v="EMP0042"/>
    <x v="1"/>
    <n v="22"/>
    <n v="34518"/>
    <n v="3"/>
    <n v="1.4"/>
    <n v="31"/>
    <n v="22"/>
    <n v="12"/>
    <n v="3"/>
    <s v="No"/>
    <s v="Medium"/>
  </r>
  <r>
    <s v="EMP0043"/>
    <x v="3"/>
    <n v="23"/>
    <n v="17131"/>
    <n v="2"/>
    <n v="3.4"/>
    <n v="44"/>
    <n v="6"/>
    <n v="14"/>
    <n v="2"/>
    <s v="No"/>
    <s v="Medium"/>
  </r>
  <r>
    <s v="EMP0044"/>
    <x v="3"/>
    <n v="23"/>
    <n v="25733"/>
    <n v="6"/>
    <n v="3.8"/>
    <n v="43"/>
    <n v="26"/>
    <n v="11"/>
    <n v="4.2"/>
    <s v="No"/>
    <s v="Medium"/>
  </r>
  <r>
    <s v="EMP0045"/>
    <x v="4"/>
    <n v="22"/>
    <n v="19588"/>
    <n v="8"/>
    <n v="3.1"/>
    <n v="38"/>
    <n v="3"/>
    <n v="2"/>
    <n v="3.4"/>
    <s v="No"/>
    <s v="Low"/>
  </r>
  <r>
    <s v="EMP0046"/>
    <x v="0"/>
    <n v="49"/>
    <n v="23332"/>
    <n v="13"/>
    <n v="3.8"/>
    <n v="11"/>
    <n v="9"/>
    <n v="8"/>
    <n v="3.3"/>
    <s v="No"/>
    <s v="Low"/>
  </r>
  <r>
    <s v="EMP0047"/>
    <x v="0"/>
    <n v="21"/>
    <n v="39426"/>
    <n v="9"/>
    <n v="3.7"/>
    <n v="47"/>
    <n v="31"/>
    <n v="9"/>
    <n v="3.5"/>
    <s v="No"/>
    <s v="Medium"/>
  </r>
  <r>
    <s v="EMP0048"/>
    <x v="2"/>
    <n v="27"/>
    <n v="19388"/>
    <n v="0"/>
    <n v="4.3"/>
    <n v="32"/>
    <n v="31"/>
    <n v="2"/>
    <n v="4.4000000000000004"/>
    <s v="Yes"/>
    <s v="High"/>
  </r>
  <r>
    <s v="EMP0049"/>
    <x v="5"/>
    <n v="44"/>
    <n v="15549"/>
    <n v="13"/>
    <n v="2.6"/>
    <n v="8"/>
    <n v="5"/>
    <n v="5"/>
    <n v="3.2"/>
    <s v="No"/>
    <s v="Low"/>
  </r>
  <r>
    <s v="EMP0050"/>
    <x v="3"/>
    <n v="53"/>
    <n v="13395"/>
    <n v="5"/>
    <n v="5"/>
    <n v="46"/>
    <n v="12"/>
    <n v="0"/>
    <n v="4.4000000000000004"/>
    <s v="No"/>
    <s v="Low"/>
  </r>
  <r>
    <s v="EMP0051"/>
    <x v="1"/>
    <n v="51"/>
    <n v="25078"/>
    <n v="1"/>
    <n v="3.5"/>
    <n v="12"/>
    <n v="25"/>
    <n v="8"/>
    <n v="3.7"/>
    <s v="No"/>
    <s v="Medium"/>
  </r>
  <r>
    <s v="EMP0052"/>
    <x v="2"/>
    <n v="54"/>
    <n v="22712"/>
    <n v="10"/>
    <n v="3.4"/>
    <n v="19"/>
    <n v="30"/>
    <n v="7"/>
    <n v="2.8"/>
    <s v="No"/>
    <s v="Medium"/>
  </r>
  <r>
    <s v="EMP0053"/>
    <x v="3"/>
    <n v="34"/>
    <n v="22060"/>
    <n v="2"/>
    <n v="3.7"/>
    <n v="36"/>
    <n v="9"/>
    <n v="8"/>
    <n v="3.6"/>
    <s v="No"/>
    <s v="Low"/>
  </r>
  <r>
    <s v="EMP0054"/>
    <x v="2"/>
    <n v="57"/>
    <n v="19397"/>
    <n v="7"/>
    <n v="3.2"/>
    <n v="20"/>
    <n v="26"/>
    <n v="10"/>
    <n v="3.8"/>
    <s v="No"/>
    <s v="Medium"/>
  </r>
  <r>
    <s v="EMP0055"/>
    <x v="3"/>
    <n v="22"/>
    <n v="19402"/>
    <n v="7"/>
    <n v="3.4"/>
    <n v="43"/>
    <n v="32"/>
    <n v="4"/>
    <n v="4.4000000000000004"/>
    <s v="No"/>
    <s v="Medium"/>
  </r>
  <r>
    <s v="EMP0056"/>
    <x v="0"/>
    <n v="36"/>
    <n v="27424"/>
    <n v="0"/>
    <n v="2.7"/>
    <n v="30"/>
    <n v="4"/>
    <n v="0"/>
    <n v="2.9"/>
    <s v="No"/>
    <s v="Medium"/>
  </r>
  <r>
    <s v="EMP0057"/>
    <x v="4"/>
    <n v="23"/>
    <n v="22652"/>
    <n v="10"/>
    <n v="3.1"/>
    <n v="24"/>
    <n v="19"/>
    <n v="11"/>
    <n v="4"/>
    <s v="No"/>
    <s v="Low"/>
  </r>
  <r>
    <s v="EMP0058"/>
    <x v="4"/>
    <n v="58"/>
    <n v="20022"/>
    <n v="10"/>
    <n v="2.7"/>
    <n v="38"/>
    <n v="33"/>
    <n v="5"/>
    <n v="3.2"/>
    <s v="No"/>
    <s v="Medium"/>
  </r>
  <r>
    <s v="EMP0059"/>
    <x v="1"/>
    <n v="39"/>
    <n v="29258"/>
    <n v="6"/>
    <n v="3"/>
    <n v="25"/>
    <n v="33"/>
    <n v="9"/>
    <n v="3.1"/>
    <s v="No"/>
    <s v="Medium"/>
  </r>
  <r>
    <s v="EMP0060"/>
    <x v="4"/>
    <n v="33"/>
    <n v="23239"/>
    <n v="11"/>
    <n v="2.8"/>
    <n v="49"/>
    <n v="34"/>
    <n v="3"/>
    <n v="3.2"/>
    <s v="No"/>
    <s v="Medium"/>
  </r>
  <r>
    <s v="EMP0061"/>
    <x v="5"/>
    <n v="32"/>
    <n v="19047"/>
    <n v="10"/>
    <n v="3.9"/>
    <n v="35"/>
    <n v="23"/>
    <n v="11"/>
    <n v="3.4"/>
    <s v="No"/>
    <s v="Medium"/>
  </r>
  <r>
    <s v="EMP0062"/>
    <x v="5"/>
    <n v="50"/>
    <n v="24928"/>
    <n v="8"/>
    <n v="4.3"/>
    <n v="11"/>
    <n v="24"/>
    <n v="10"/>
    <n v="1"/>
    <s v="Yes"/>
    <s v="High"/>
  </r>
  <r>
    <s v="EMP0063"/>
    <x v="0"/>
    <n v="37"/>
    <n v="32901"/>
    <n v="13"/>
    <n v="3.5"/>
    <n v="31"/>
    <n v="31"/>
    <n v="7"/>
    <n v="2.6"/>
    <s v="No"/>
    <s v="Medium"/>
  </r>
  <r>
    <s v="EMP0064"/>
    <x v="2"/>
    <n v="29"/>
    <n v="19934"/>
    <n v="1"/>
    <n v="2.9"/>
    <n v="8"/>
    <n v="17"/>
    <n v="10"/>
    <n v="4.0999999999999996"/>
    <s v="Yes"/>
    <s v="High"/>
  </r>
  <r>
    <s v="EMP0065"/>
    <x v="2"/>
    <n v="48"/>
    <n v="20713"/>
    <n v="10"/>
    <n v="4.7"/>
    <n v="22"/>
    <n v="27"/>
    <n v="5"/>
    <n v="3.4"/>
    <s v="No"/>
    <s v="Medium"/>
  </r>
  <r>
    <s v="EMP0066"/>
    <x v="1"/>
    <n v="56"/>
    <n v="23971"/>
    <n v="10"/>
    <n v="4"/>
    <n v="18"/>
    <n v="10"/>
    <n v="9"/>
    <n v="1.8"/>
    <s v="No"/>
    <s v="Medium"/>
  </r>
  <r>
    <s v="EMP0067"/>
    <x v="5"/>
    <n v="22"/>
    <n v="25061"/>
    <n v="15"/>
    <n v="3.8"/>
    <n v="30"/>
    <n v="14"/>
    <n v="8"/>
    <n v="3.5"/>
    <s v="No"/>
    <s v="Low"/>
  </r>
  <r>
    <s v="EMP0068"/>
    <x v="0"/>
    <n v="38"/>
    <n v="18103"/>
    <n v="12"/>
    <n v="4.5"/>
    <n v="32"/>
    <n v="13"/>
    <n v="7"/>
    <n v="5"/>
    <s v="No"/>
    <s v="Low"/>
  </r>
  <r>
    <s v="EMP0069"/>
    <x v="3"/>
    <n v="49"/>
    <n v="13377"/>
    <n v="6"/>
    <n v="4.0999999999999996"/>
    <n v="37"/>
    <n v="21"/>
    <n v="3"/>
    <n v="2.9"/>
    <s v="No"/>
    <s v="Medium"/>
  </r>
  <r>
    <s v="EMP0070"/>
    <x v="3"/>
    <n v="59"/>
    <n v="24525"/>
    <n v="12"/>
    <n v="4.2"/>
    <n v="14"/>
    <n v="25"/>
    <n v="7"/>
    <n v="4.2"/>
    <s v="No"/>
    <s v="Medium"/>
  </r>
  <r>
    <s v="EMP0071"/>
    <x v="0"/>
    <n v="39"/>
    <n v="30433"/>
    <n v="7"/>
    <n v="3.2"/>
    <n v="49"/>
    <n v="1"/>
    <n v="5"/>
    <n v="2.8"/>
    <s v="No"/>
    <s v="Medium"/>
  </r>
  <r>
    <s v="EMP0072"/>
    <x v="3"/>
    <n v="48"/>
    <n v="20165"/>
    <n v="7"/>
    <n v="3.9"/>
    <n v="21"/>
    <n v="23"/>
    <n v="9"/>
    <n v="3"/>
    <s v="No"/>
    <s v="Medium"/>
  </r>
  <r>
    <s v="EMP0073"/>
    <x v="0"/>
    <n v="58"/>
    <n v="37631"/>
    <n v="12"/>
    <n v="2.5"/>
    <n v="9"/>
    <n v="10"/>
    <n v="11"/>
    <n v="4.5999999999999996"/>
    <s v="No"/>
    <s v="Low"/>
  </r>
  <r>
    <s v="EMP0074"/>
    <x v="2"/>
    <n v="54"/>
    <n v="22360"/>
    <n v="8"/>
    <n v="4.0999999999999996"/>
    <n v="15"/>
    <n v="14"/>
    <n v="4"/>
    <n v="3.7"/>
    <s v="No"/>
    <s v="Low"/>
  </r>
  <r>
    <s v="EMP0075"/>
    <x v="2"/>
    <n v="60"/>
    <n v="15708"/>
    <n v="13"/>
    <n v="3.9"/>
    <n v="16"/>
    <n v="4"/>
    <n v="4"/>
    <n v="3.8"/>
    <s v="No"/>
    <s v="Low"/>
  </r>
  <r>
    <s v="EMP0076"/>
    <x v="0"/>
    <n v="55"/>
    <n v="33156"/>
    <n v="5"/>
    <n v="3.6"/>
    <n v="13"/>
    <n v="34"/>
    <n v="9"/>
    <n v="3.1"/>
    <s v="Yes"/>
    <s v="High"/>
  </r>
  <r>
    <s v="EMP0077"/>
    <x v="0"/>
    <n v="38"/>
    <n v="18678"/>
    <n v="12"/>
    <n v="3.6"/>
    <n v="13"/>
    <n v="8"/>
    <n v="7"/>
    <n v="3.5"/>
    <s v="No"/>
    <s v="Low"/>
  </r>
  <r>
    <s v="EMP0078"/>
    <x v="1"/>
    <n v="50"/>
    <n v="24739"/>
    <n v="7"/>
    <n v="4.5"/>
    <n v="14"/>
    <n v="2"/>
    <n v="10"/>
    <n v="3.8"/>
    <s v="Yes"/>
    <s v="High"/>
  </r>
  <r>
    <s v="EMP0079"/>
    <x v="3"/>
    <n v="54"/>
    <n v="22016"/>
    <n v="12"/>
    <n v="4.0999999999999996"/>
    <n v="45"/>
    <n v="33"/>
    <n v="3"/>
    <n v="2.7"/>
    <s v="No"/>
    <s v="Medium"/>
  </r>
  <r>
    <s v="EMP0080"/>
    <x v="4"/>
    <n v="46"/>
    <n v="20187"/>
    <n v="4"/>
    <n v="4.3"/>
    <n v="6"/>
    <n v="13"/>
    <n v="18"/>
    <n v="4.7"/>
    <s v="No"/>
    <s v="Low"/>
  </r>
  <r>
    <s v="EMP0081"/>
    <x v="2"/>
    <n v="59"/>
    <n v="27513"/>
    <n v="10"/>
    <n v="2.1"/>
    <n v="17"/>
    <n v="27"/>
    <n v="7"/>
    <n v="3.6"/>
    <s v="No"/>
    <s v="Medium"/>
  </r>
  <r>
    <s v="EMP0082"/>
    <x v="5"/>
    <n v="29"/>
    <n v="15268"/>
    <n v="14"/>
    <n v="2.1"/>
    <n v="20"/>
    <n v="31"/>
    <n v="1"/>
    <n v="4.2"/>
    <s v="No"/>
    <s v="Medium"/>
  </r>
  <r>
    <s v="EMP0083"/>
    <x v="0"/>
    <n v="50"/>
    <n v="31624"/>
    <n v="3"/>
    <n v="3.3"/>
    <n v="33"/>
    <n v="24"/>
    <n v="7"/>
    <n v="4.8"/>
    <s v="Yes"/>
    <s v="High"/>
  </r>
  <r>
    <s v="EMP0084"/>
    <x v="1"/>
    <n v="43"/>
    <n v="34633"/>
    <n v="2"/>
    <n v="2.2999999999999998"/>
    <n v="26"/>
    <n v="21"/>
    <n v="9"/>
    <n v="5"/>
    <s v="No"/>
    <s v="Medium"/>
  </r>
  <r>
    <s v="EMP0085"/>
    <x v="2"/>
    <n v="30"/>
    <n v="22834"/>
    <n v="11"/>
    <n v="4.2"/>
    <n v="43"/>
    <n v="29"/>
    <n v="7"/>
    <n v="2.9"/>
    <s v="No"/>
    <s v="Medium"/>
  </r>
  <r>
    <s v="EMP0086"/>
    <x v="5"/>
    <n v="58"/>
    <n v="27511"/>
    <n v="1"/>
    <n v="4"/>
    <n v="46"/>
    <n v="35"/>
    <n v="5"/>
    <n v="2.2000000000000002"/>
    <s v="Yes"/>
    <s v="High"/>
  </r>
  <r>
    <s v="EMP0087"/>
    <x v="0"/>
    <n v="45"/>
    <n v="39647"/>
    <n v="8"/>
    <n v="4.2"/>
    <n v="16"/>
    <n v="5"/>
    <n v="11"/>
    <n v="2.9"/>
    <s v="No"/>
    <s v="Medium"/>
  </r>
  <r>
    <s v="EMP0088"/>
    <x v="2"/>
    <n v="40"/>
    <n v="14396"/>
    <n v="13"/>
    <n v="3"/>
    <n v="13"/>
    <n v="27"/>
    <n v="3"/>
    <n v="3.2"/>
    <s v="No"/>
    <s v="Medium"/>
  </r>
  <r>
    <s v="EMP0089"/>
    <x v="2"/>
    <n v="25"/>
    <n v="19354"/>
    <n v="7"/>
    <n v="1.2"/>
    <n v="47"/>
    <n v="31"/>
    <n v="8"/>
    <n v="4.4000000000000004"/>
    <s v="No"/>
    <s v="Medium"/>
  </r>
  <r>
    <s v="EMP0090"/>
    <x v="1"/>
    <n v="60"/>
    <n v="27456"/>
    <n v="10"/>
    <n v="4.2"/>
    <n v="44"/>
    <n v="20"/>
    <n v="0"/>
    <n v="3.2"/>
    <s v="No"/>
    <s v="Low"/>
  </r>
  <r>
    <s v="EMP0091"/>
    <x v="5"/>
    <n v="54"/>
    <n v="28351"/>
    <n v="13"/>
    <n v="2.7"/>
    <n v="36"/>
    <n v="19"/>
    <n v="6"/>
    <n v="2"/>
    <s v="No"/>
    <s v="Medium"/>
  </r>
  <r>
    <s v="EMP0092"/>
    <x v="5"/>
    <n v="40"/>
    <n v="18663"/>
    <n v="7"/>
    <n v="3.4"/>
    <n v="33"/>
    <n v="9"/>
    <n v="12"/>
    <n v="2.8"/>
    <s v="No"/>
    <s v="Medium"/>
  </r>
  <r>
    <s v="EMP0093"/>
    <x v="3"/>
    <n v="46"/>
    <n v="17900"/>
    <n v="5"/>
    <n v="2"/>
    <n v="46"/>
    <n v="4"/>
    <n v="0"/>
    <n v="3.7"/>
    <s v="No"/>
    <s v="Low"/>
  </r>
  <r>
    <s v="EMP0094"/>
    <x v="3"/>
    <n v="48"/>
    <n v="13501"/>
    <n v="3"/>
    <n v="1.6"/>
    <n v="23"/>
    <n v="15"/>
    <n v="0"/>
    <n v="3.7"/>
    <s v="No"/>
    <s v="Low"/>
  </r>
  <r>
    <s v="EMP0095"/>
    <x v="3"/>
    <n v="58"/>
    <n v="26917"/>
    <n v="7"/>
    <n v="3"/>
    <n v="14"/>
    <n v="20"/>
    <n v="4"/>
    <n v="1.9"/>
    <s v="Yes"/>
    <s v="High"/>
  </r>
  <r>
    <s v="EMP0096"/>
    <x v="2"/>
    <n v="21"/>
    <n v="18916"/>
    <n v="4"/>
    <n v="2.5"/>
    <n v="7"/>
    <n v="0"/>
    <n v="5"/>
    <n v="3.4"/>
    <s v="No"/>
    <s v="Low"/>
  </r>
  <r>
    <s v="EMP0097"/>
    <x v="1"/>
    <n v="43"/>
    <n v="24413"/>
    <n v="3"/>
    <n v="4.4000000000000004"/>
    <n v="6"/>
    <n v="0"/>
    <n v="7"/>
    <n v="3.7"/>
    <s v="No"/>
    <s v="Low"/>
  </r>
  <r>
    <s v="EMP0098"/>
    <x v="3"/>
    <n v="52"/>
    <n v="23083"/>
    <n v="2"/>
    <n v="2.9"/>
    <n v="43"/>
    <n v="18"/>
    <n v="9"/>
    <n v="4.2"/>
    <s v="No"/>
    <s v="Low"/>
  </r>
  <r>
    <s v="EMP0099"/>
    <x v="0"/>
    <n v="53"/>
    <n v="34266"/>
    <n v="12"/>
    <n v="4.0999999999999996"/>
    <n v="48"/>
    <n v="30"/>
    <n v="1"/>
    <n v="3.7"/>
    <s v="No"/>
    <s v="Medium"/>
  </r>
  <r>
    <s v="EMP0100"/>
    <x v="1"/>
    <n v="46"/>
    <n v="29135"/>
    <n v="7"/>
    <n v="2.7"/>
    <n v="33"/>
    <n v="9"/>
    <n v="6"/>
    <n v="3.2"/>
    <s v="No"/>
    <s v="Low"/>
  </r>
  <r>
    <s v="EMP0101"/>
    <x v="2"/>
    <n v="30"/>
    <n v="17528"/>
    <n v="9"/>
    <n v="3.6"/>
    <n v="41"/>
    <n v="15"/>
    <n v="0"/>
    <n v="3.2"/>
    <s v="No"/>
    <s v="Low"/>
  </r>
  <r>
    <s v="EMP0102"/>
    <x v="4"/>
    <n v="56"/>
    <n v="22750"/>
    <n v="1"/>
    <n v="2.6"/>
    <n v="27"/>
    <n v="10"/>
    <n v="3"/>
    <n v="3.9"/>
    <s v="Yes"/>
    <s v="High"/>
  </r>
  <r>
    <s v="EMP0103"/>
    <x v="1"/>
    <n v="45"/>
    <n v="34188"/>
    <n v="10"/>
    <n v="2"/>
    <n v="49"/>
    <n v="27"/>
    <n v="8"/>
    <n v="2.2000000000000002"/>
    <s v="No"/>
    <s v="Medium"/>
  </r>
  <r>
    <s v="EMP0104"/>
    <x v="4"/>
    <n v="32"/>
    <n v="19977"/>
    <n v="10"/>
    <n v="1.7"/>
    <n v="13"/>
    <n v="2"/>
    <n v="8"/>
    <n v="3"/>
    <s v="No"/>
    <s v="Low"/>
  </r>
  <r>
    <s v="EMP0105"/>
    <x v="1"/>
    <n v="33"/>
    <n v="20259"/>
    <n v="11"/>
    <n v="3.1"/>
    <n v="27"/>
    <n v="21"/>
    <n v="0"/>
    <n v="4.4000000000000004"/>
    <s v="No"/>
    <s v="Medium"/>
  </r>
  <r>
    <s v="EMP0106"/>
    <x v="5"/>
    <n v="33"/>
    <n v="25791"/>
    <n v="8"/>
    <n v="3.4"/>
    <n v="37"/>
    <n v="25"/>
    <n v="16"/>
    <n v="1.6"/>
    <s v="No"/>
    <s v="Medium"/>
  </r>
  <r>
    <s v="EMP0107"/>
    <x v="5"/>
    <n v="33"/>
    <n v="26781"/>
    <n v="9"/>
    <n v="2.1"/>
    <n v="6"/>
    <n v="18"/>
    <n v="4"/>
    <n v="2.9"/>
    <s v="No"/>
    <s v="Medium"/>
  </r>
  <r>
    <s v="EMP0108"/>
    <x v="2"/>
    <n v="51"/>
    <n v="27672"/>
    <n v="7"/>
    <n v="4.0999999999999996"/>
    <n v="32"/>
    <n v="16"/>
    <n v="4"/>
    <n v="4.5999999999999996"/>
    <s v="Yes"/>
    <s v="High"/>
  </r>
  <r>
    <s v="EMP0109"/>
    <x v="0"/>
    <n v="58"/>
    <n v="30937"/>
    <n v="1"/>
    <n v="3.7"/>
    <n v="19"/>
    <n v="25"/>
    <n v="13"/>
    <n v="3.7"/>
    <s v="Yes"/>
    <s v="High"/>
  </r>
  <r>
    <s v="EMP0110"/>
    <x v="1"/>
    <n v="55"/>
    <n v="19535"/>
    <n v="9"/>
    <n v="3.4"/>
    <n v="42"/>
    <n v="3"/>
    <n v="1"/>
    <n v="3.4"/>
    <s v="No"/>
    <s v="Low"/>
  </r>
  <r>
    <s v="EMP0111"/>
    <x v="5"/>
    <n v="39"/>
    <n v="26890"/>
    <n v="5"/>
    <n v="2.9"/>
    <n v="47"/>
    <n v="27"/>
    <n v="5"/>
    <n v="4.5"/>
    <s v="No"/>
    <s v="Medium"/>
  </r>
  <r>
    <s v="EMP0112"/>
    <x v="2"/>
    <n v="27"/>
    <n v="18255"/>
    <n v="8"/>
    <n v="4"/>
    <n v="30"/>
    <n v="10"/>
    <n v="8"/>
    <n v="3.1"/>
    <s v="No"/>
    <s v="Low"/>
  </r>
  <r>
    <s v="EMP0113"/>
    <x v="2"/>
    <n v="39"/>
    <n v="24141"/>
    <n v="4"/>
    <n v="4.5"/>
    <n v="4"/>
    <n v="15"/>
    <n v="0"/>
    <n v="4.8"/>
    <s v="No"/>
    <s v="Low"/>
  </r>
  <r>
    <s v="EMP0114"/>
    <x v="1"/>
    <n v="32"/>
    <n v="30060"/>
    <n v="14"/>
    <n v="4"/>
    <n v="36"/>
    <n v="7"/>
    <n v="1"/>
    <n v="3.5"/>
    <s v="No"/>
    <s v="Low"/>
  </r>
  <r>
    <s v="EMP0115"/>
    <x v="1"/>
    <n v="26"/>
    <n v="31710"/>
    <n v="8"/>
    <n v="3.1"/>
    <n v="43"/>
    <n v="5"/>
    <n v="0"/>
    <n v="3.9"/>
    <s v="No"/>
    <s v="Low"/>
  </r>
  <r>
    <s v="EMP0116"/>
    <x v="5"/>
    <n v="55"/>
    <n v="20573"/>
    <n v="13"/>
    <n v="3.4"/>
    <n v="10"/>
    <n v="32"/>
    <n v="7"/>
    <n v="2.5"/>
    <s v="Yes"/>
    <s v="High"/>
  </r>
  <r>
    <s v="EMP0117"/>
    <x v="5"/>
    <n v="51"/>
    <n v="27629"/>
    <n v="12"/>
    <n v="3.1"/>
    <n v="6"/>
    <n v="2"/>
    <n v="9"/>
    <n v="3.3"/>
    <s v="No"/>
    <s v="Low"/>
  </r>
  <r>
    <s v="EMP0118"/>
    <x v="4"/>
    <n v="44"/>
    <n v="19593"/>
    <n v="2"/>
    <n v="3.4"/>
    <n v="12"/>
    <n v="6"/>
    <n v="2"/>
    <n v="2.8"/>
    <s v="Yes"/>
    <s v="High"/>
  </r>
  <r>
    <s v="EMP0119"/>
    <x v="0"/>
    <n v="51"/>
    <n v="36139"/>
    <n v="3"/>
    <n v="3.3"/>
    <n v="44"/>
    <n v="20"/>
    <n v="5"/>
    <n v="3.4"/>
    <s v="No"/>
    <s v="Low"/>
  </r>
  <r>
    <s v="EMP0120"/>
    <x v="2"/>
    <n v="27"/>
    <n v="15799"/>
    <n v="4"/>
    <n v="4.4000000000000004"/>
    <n v="21"/>
    <n v="21"/>
    <n v="13"/>
    <n v="1.3"/>
    <s v="No"/>
    <s v="Medium"/>
  </r>
  <r>
    <s v="EMP0121"/>
    <x v="1"/>
    <n v="25"/>
    <n v="28824"/>
    <n v="9"/>
    <n v="2.8"/>
    <n v="12"/>
    <n v="33"/>
    <n v="12"/>
    <n v="2"/>
    <s v="No"/>
    <s v="Medium"/>
  </r>
  <r>
    <s v="EMP0122"/>
    <x v="2"/>
    <n v="37"/>
    <n v="24937"/>
    <n v="2"/>
    <n v="2.5"/>
    <n v="18"/>
    <n v="3"/>
    <n v="5"/>
    <n v="5"/>
    <s v="No"/>
    <s v="Low"/>
  </r>
  <r>
    <s v="EMP0123"/>
    <x v="5"/>
    <n v="26"/>
    <n v="29849"/>
    <n v="9"/>
    <n v="4.0999999999999996"/>
    <n v="6"/>
    <n v="19"/>
    <n v="8"/>
    <n v="4.2"/>
    <s v="No"/>
    <s v="Low"/>
  </r>
  <r>
    <s v="EMP0124"/>
    <x v="1"/>
    <n v="24"/>
    <n v="22090"/>
    <n v="15"/>
    <n v="3"/>
    <n v="6"/>
    <n v="30"/>
    <n v="7"/>
    <n v="2.5"/>
    <s v="Yes"/>
    <s v="High"/>
  </r>
  <r>
    <s v="EMP0125"/>
    <x v="0"/>
    <n v="58"/>
    <n v="20687"/>
    <n v="3"/>
    <n v="3.3"/>
    <n v="17"/>
    <n v="8"/>
    <n v="5"/>
    <n v="4.5"/>
    <s v="No"/>
    <s v="Low"/>
  </r>
  <r>
    <s v="EMP0126"/>
    <x v="5"/>
    <n v="36"/>
    <n v="19477"/>
    <n v="6"/>
    <n v="5"/>
    <n v="35"/>
    <n v="35"/>
    <n v="6"/>
    <n v="4.4000000000000004"/>
    <s v="No"/>
    <s v="Medium"/>
  </r>
  <r>
    <s v="EMP0127"/>
    <x v="3"/>
    <n v="33"/>
    <n v="15231"/>
    <n v="13"/>
    <n v="4"/>
    <n v="19"/>
    <n v="7"/>
    <n v="4"/>
    <n v="3.2"/>
    <s v="No"/>
    <s v="Low"/>
  </r>
  <r>
    <s v="EMP0128"/>
    <x v="2"/>
    <n v="28"/>
    <n v="27288"/>
    <n v="4"/>
    <n v="2.8"/>
    <n v="40"/>
    <n v="11"/>
    <n v="8"/>
    <n v="2.2999999999999998"/>
    <s v="No"/>
    <s v="Medium"/>
  </r>
  <r>
    <s v="EMP0129"/>
    <x v="0"/>
    <n v="29"/>
    <n v="25564"/>
    <n v="2"/>
    <n v="3.2"/>
    <n v="17"/>
    <n v="17"/>
    <n v="4"/>
    <n v="4.5"/>
    <s v="No"/>
    <s v="Low"/>
  </r>
  <r>
    <s v="EMP0130"/>
    <x v="4"/>
    <n v="28"/>
    <n v="19324"/>
    <n v="4"/>
    <n v="3.1"/>
    <n v="13"/>
    <n v="7"/>
    <n v="8"/>
    <n v="2.8"/>
    <s v="No"/>
    <s v="Medium"/>
  </r>
  <r>
    <s v="EMP0131"/>
    <x v="4"/>
    <n v="54"/>
    <n v="14390"/>
    <n v="6"/>
    <n v="3"/>
    <n v="46"/>
    <n v="15"/>
    <n v="8"/>
    <n v="1.2"/>
    <s v="No"/>
    <s v="Medium"/>
  </r>
  <r>
    <s v="EMP0132"/>
    <x v="1"/>
    <n v="21"/>
    <n v="24197"/>
    <n v="14"/>
    <n v="3.5"/>
    <n v="37"/>
    <n v="18"/>
    <n v="7"/>
    <n v="3.8"/>
    <s v="No"/>
    <s v="Low"/>
  </r>
  <r>
    <s v="EMP0133"/>
    <x v="1"/>
    <n v="38"/>
    <n v="19451"/>
    <n v="2"/>
    <n v="2.8"/>
    <n v="45"/>
    <n v="14"/>
    <n v="4"/>
    <n v="2.1"/>
    <s v="No"/>
    <s v="Medium"/>
  </r>
  <r>
    <s v="EMP0134"/>
    <x v="3"/>
    <n v="45"/>
    <n v="16613"/>
    <n v="0"/>
    <n v="3.8"/>
    <n v="19"/>
    <n v="31"/>
    <n v="0"/>
    <n v="5"/>
    <s v="No"/>
    <s v="Medium"/>
  </r>
  <r>
    <s v="EMP0135"/>
    <x v="4"/>
    <n v="30"/>
    <n v="23303"/>
    <n v="3"/>
    <n v="3.2"/>
    <n v="23"/>
    <n v="25"/>
    <n v="12"/>
    <n v="4.5999999999999996"/>
    <s v="No"/>
    <s v="Medium"/>
  </r>
  <r>
    <s v="EMP0136"/>
    <x v="0"/>
    <n v="39"/>
    <n v="26005"/>
    <n v="5"/>
    <n v="3.5"/>
    <n v="44"/>
    <n v="31"/>
    <n v="6"/>
    <n v="3.4"/>
    <s v="No"/>
    <s v="Medium"/>
  </r>
  <r>
    <s v="EMP0137"/>
    <x v="1"/>
    <n v="56"/>
    <n v="30183"/>
    <n v="5"/>
    <n v="3.9"/>
    <n v="31"/>
    <n v="16"/>
    <n v="8"/>
    <n v="3.2"/>
    <s v="No"/>
    <s v="Low"/>
  </r>
  <r>
    <s v="EMP0138"/>
    <x v="3"/>
    <n v="59"/>
    <n v="20730"/>
    <n v="7"/>
    <n v="2.8"/>
    <n v="24"/>
    <n v="2"/>
    <n v="8"/>
    <n v="2.7"/>
    <s v="No"/>
    <s v="Medium"/>
  </r>
  <r>
    <s v="EMP0139"/>
    <x v="5"/>
    <n v="42"/>
    <n v="15269"/>
    <n v="2"/>
    <n v="4.8"/>
    <n v="18"/>
    <n v="26"/>
    <n v="11"/>
    <n v="3.8"/>
    <s v="No"/>
    <s v="Medium"/>
  </r>
  <r>
    <s v="EMP0140"/>
    <x v="4"/>
    <n v="25"/>
    <n v="14223"/>
    <n v="7"/>
    <n v="3"/>
    <n v="17"/>
    <n v="13"/>
    <n v="5"/>
    <n v="3.6"/>
    <s v="Yes"/>
    <s v="High"/>
  </r>
  <r>
    <s v="EMP0141"/>
    <x v="5"/>
    <n v="47"/>
    <n v="18425"/>
    <n v="10"/>
    <n v="4.4000000000000004"/>
    <n v="9"/>
    <n v="16"/>
    <n v="3"/>
    <n v="3.7"/>
    <s v="No"/>
    <s v="Low"/>
  </r>
  <r>
    <s v="EMP0142"/>
    <x v="0"/>
    <n v="23"/>
    <n v="40577"/>
    <n v="0"/>
    <n v="2.4"/>
    <n v="35"/>
    <n v="13"/>
    <n v="8"/>
    <n v="1.6"/>
    <s v="Yes"/>
    <s v="High"/>
  </r>
  <r>
    <s v="EMP0143"/>
    <x v="5"/>
    <n v="58"/>
    <n v="21997"/>
    <n v="11"/>
    <n v="4.5999999999999996"/>
    <n v="39"/>
    <n v="10"/>
    <n v="3"/>
    <n v="3.8"/>
    <s v="No"/>
    <s v="Low"/>
  </r>
  <r>
    <s v="EMP0144"/>
    <x v="2"/>
    <n v="38"/>
    <n v="20309"/>
    <n v="5"/>
    <n v="3.5"/>
    <n v="16"/>
    <n v="13"/>
    <n v="7"/>
    <n v="4.0999999999999996"/>
    <s v="No"/>
    <s v="Low"/>
  </r>
  <r>
    <s v="EMP0145"/>
    <x v="3"/>
    <n v="35"/>
    <n v="24890"/>
    <n v="6"/>
    <n v="2.5"/>
    <n v="23"/>
    <n v="27"/>
    <n v="11"/>
    <n v="3.6"/>
    <s v="No"/>
    <s v="Medium"/>
  </r>
  <r>
    <s v="EMP0146"/>
    <x v="3"/>
    <n v="45"/>
    <n v="13575"/>
    <n v="13"/>
    <n v="3.6"/>
    <n v="10"/>
    <n v="5"/>
    <n v="6"/>
    <n v="2.8"/>
    <s v="Yes"/>
    <s v="High"/>
  </r>
  <r>
    <s v="EMP0147"/>
    <x v="2"/>
    <n v="48"/>
    <n v="21512"/>
    <n v="10"/>
    <n v="3.8"/>
    <n v="42"/>
    <n v="34"/>
    <n v="4"/>
    <n v="3.1"/>
    <s v="No"/>
    <s v="Medium"/>
  </r>
  <r>
    <s v="EMP0148"/>
    <x v="0"/>
    <n v="60"/>
    <n v="27148"/>
    <n v="0"/>
    <n v="2.9"/>
    <n v="16"/>
    <n v="25"/>
    <n v="4"/>
    <n v="4.9000000000000004"/>
    <s v="No"/>
    <s v="Medium"/>
  </r>
  <r>
    <s v="EMP0149"/>
    <x v="2"/>
    <n v="58"/>
    <n v="17779"/>
    <n v="3"/>
    <n v="2.7"/>
    <n v="45"/>
    <n v="8"/>
    <n v="5"/>
    <n v="3.9"/>
    <s v="No"/>
    <s v="Low"/>
  </r>
  <r>
    <s v="EMP0150"/>
    <x v="0"/>
    <n v="36"/>
    <n v="34659"/>
    <n v="2"/>
    <n v="3.6"/>
    <n v="25"/>
    <n v="33"/>
    <n v="3"/>
    <n v="3.2"/>
    <s v="No"/>
    <s v="Medium"/>
  </r>
  <r>
    <s v="EMP0151"/>
    <x v="0"/>
    <n v="32"/>
    <n v="32015"/>
    <n v="4"/>
    <n v="3.6"/>
    <n v="44"/>
    <n v="5"/>
    <n v="3"/>
    <n v="2.1"/>
    <s v="Yes"/>
    <s v="High"/>
  </r>
  <r>
    <s v="EMP0152"/>
    <x v="4"/>
    <n v="55"/>
    <n v="16527"/>
    <n v="10"/>
    <n v="3.3"/>
    <n v="5"/>
    <n v="2"/>
    <n v="7"/>
    <n v="1.8"/>
    <s v="No"/>
    <s v="Medium"/>
  </r>
  <r>
    <s v="EMP0153"/>
    <x v="4"/>
    <n v="22"/>
    <n v="22437"/>
    <n v="2"/>
    <n v="3.9"/>
    <n v="10"/>
    <n v="28"/>
    <n v="7"/>
    <n v="3.6"/>
    <s v="No"/>
    <s v="Medium"/>
  </r>
  <r>
    <s v="EMP0154"/>
    <x v="4"/>
    <n v="59"/>
    <n v="18210"/>
    <n v="3"/>
    <n v="2.4"/>
    <n v="36"/>
    <n v="18"/>
    <n v="6"/>
    <n v="2.7"/>
    <s v="Yes"/>
    <s v="High"/>
  </r>
  <r>
    <s v="EMP0155"/>
    <x v="0"/>
    <n v="59"/>
    <n v="33623"/>
    <n v="4"/>
    <n v="4"/>
    <n v="36"/>
    <n v="2"/>
    <n v="12"/>
    <n v="3"/>
    <s v="No"/>
    <s v="Low"/>
  </r>
  <r>
    <s v="EMP0156"/>
    <x v="3"/>
    <n v="22"/>
    <n v="13045"/>
    <n v="7"/>
    <n v="4.2"/>
    <n v="28"/>
    <n v="22"/>
    <n v="5"/>
    <n v="3.1"/>
    <s v="No"/>
    <s v="Medium"/>
  </r>
  <r>
    <s v="EMP0157"/>
    <x v="1"/>
    <n v="54"/>
    <n v="31377"/>
    <n v="13"/>
    <n v="3.8"/>
    <n v="18"/>
    <n v="20"/>
    <n v="9"/>
    <n v="3.2"/>
    <s v="No"/>
    <s v="Low"/>
  </r>
  <r>
    <s v="EMP0158"/>
    <x v="0"/>
    <n v="57"/>
    <n v="41907"/>
    <n v="15"/>
    <n v="3.6"/>
    <n v="7"/>
    <n v="26"/>
    <n v="7"/>
    <n v="4.3"/>
    <s v="No"/>
    <s v="Medium"/>
  </r>
  <r>
    <s v="EMP0159"/>
    <x v="5"/>
    <n v="50"/>
    <n v="17060"/>
    <n v="1"/>
    <n v="3.4"/>
    <n v="11"/>
    <n v="25"/>
    <n v="7"/>
    <n v="3.4"/>
    <s v="No"/>
    <s v="Medium"/>
  </r>
  <r>
    <s v="EMP0160"/>
    <x v="5"/>
    <n v="21"/>
    <n v="25547"/>
    <n v="15"/>
    <n v="4.4000000000000004"/>
    <n v="35"/>
    <n v="15"/>
    <n v="2"/>
    <n v="3.3"/>
    <s v="No"/>
    <s v="Low"/>
  </r>
  <r>
    <s v="EMP0161"/>
    <x v="5"/>
    <n v="25"/>
    <n v="26026"/>
    <n v="4"/>
    <n v="3"/>
    <n v="22"/>
    <n v="10"/>
    <n v="1"/>
    <n v="2.1"/>
    <s v="No"/>
    <s v="Medium"/>
  </r>
  <r>
    <s v="EMP0162"/>
    <x v="1"/>
    <n v="47"/>
    <n v="19678"/>
    <n v="4"/>
    <n v="3.2"/>
    <n v="27"/>
    <n v="33"/>
    <n v="4"/>
    <n v="3.6"/>
    <s v="No"/>
    <s v="Medium"/>
  </r>
  <r>
    <s v="EMP0163"/>
    <x v="1"/>
    <n v="26"/>
    <n v="31785"/>
    <n v="5"/>
    <n v="2.6"/>
    <n v="22"/>
    <n v="2"/>
    <n v="11"/>
    <n v="4"/>
    <s v="No"/>
    <s v="Low"/>
  </r>
  <r>
    <s v="EMP0164"/>
    <x v="1"/>
    <n v="42"/>
    <n v="25126"/>
    <n v="0"/>
    <n v="4.7"/>
    <n v="46"/>
    <n v="5"/>
    <n v="3"/>
    <n v="3.5"/>
    <s v="No"/>
    <s v="Medium"/>
  </r>
  <r>
    <s v="EMP0165"/>
    <x v="1"/>
    <n v="53"/>
    <n v="19737"/>
    <n v="3"/>
    <n v="2.7"/>
    <n v="36"/>
    <n v="33"/>
    <n v="10"/>
    <n v="4.5"/>
    <s v="No"/>
    <s v="Medium"/>
  </r>
  <r>
    <s v="EMP0166"/>
    <x v="0"/>
    <n v="50"/>
    <n v="40075"/>
    <n v="1"/>
    <n v="5"/>
    <n v="22"/>
    <n v="15"/>
    <n v="7"/>
    <n v="4"/>
    <s v="No"/>
    <s v="Medium"/>
  </r>
  <r>
    <s v="EMP0167"/>
    <x v="1"/>
    <n v="33"/>
    <n v="29324"/>
    <n v="12"/>
    <n v="3.2"/>
    <n v="10"/>
    <n v="5"/>
    <n v="0"/>
    <n v="4.4000000000000004"/>
    <s v="No"/>
    <s v="Low"/>
  </r>
  <r>
    <s v="EMP0168"/>
    <x v="4"/>
    <n v="28"/>
    <n v="13497"/>
    <n v="6"/>
    <n v="4"/>
    <n v="35"/>
    <n v="13"/>
    <n v="10"/>
    <n v="4.4000000000000004"/>
    <s v="No"/>
    <s v="Low"/>
  </r>
  <r>
    <s v="EMP0169"/>
    <x v="2"/>
    <n v="47"/>
    <n v="15138"/>
    <n v="15"/>
    <n v="3.4"/>
    <n v="28"/>
    <n v="6"/>
    <n v="2"/>
    <n v="2.4"/>
    <s v="No"/>
    <s v="Medium"/>
  </r>
  <r>
    <s v="EMP0170"/>
    <x v="5"/>
    <n v="54"/>
    <n v="28440"/>
    <n v="0"/>
    <n v="3.6"/>
    <n v="41"/>
    <n v="6"/>
    <n v="4"/>
    <n v="4.2"/>
    <s v="No"/>
    <s v="Medium"/>
  </r>
  <r>
    <s v="EMP0171"/>
    <x v="5"/>
    <n v="54"/>
    <n v="22737"/>
    <n v="15"/>
    <n v="3.3"/>
    <n v="42"/>
    <n v="7"/>
    <n v="9"/>
    <n v="5"/>
    <s v="No"/>
    <s v="Low"/>
  </r>
  <r>
    <s v="EMP0172"/>
    <x v="5"/>
    <n v="34"/>
    <n v="29514"/>
    <n v="2"/>
    <n v="3"/>
    <n v="23"/>
    <n v="4"/>
    <n v="9"/>
    <n v="1.7"/>
    <s v="No"/>
    <s v="Medium"/>
  </r>
  <r>
    <s v="EMP0173"/>
    <x v="5"/>
    <n v="39"/>
    <n v="18790"/>
    <n v="15"/>
    <n v="3.3"/>
    <n v="12"/>
    <n v="26"/>
    <n v="7"/>
    <n v="4"/>
    <s v="No"/>
    <s v="Medium"/>
  </r>
  <r>
    <s v="EMP0174"/>
    <x v="0"/>
    <n v="59"/>
    <n v="22845"/>
    <n v="10"/>
    <n v="4.8"/>
    <n v="25"/>
    <n v="26"/>
    <n v="9"/>
    <n v="3.7"/>
    <s v="Yes"/>
    <s v="High"/>
  </r>
  <r>
    <s v="EMP0175"/>
    <x v="4"/>
    <n v="39"/>
    <n v="12702"/>
    <n v="11"/>
    <n v="2.5"/>
    <n v="25"/>
    <n v="15"/>
    <n v="1"/>
    <n v="2.5"/>
    <s v="No"/>
    <s v="Medium"/>
  </r>
  <r>
    <s v="EMP0176"/>
    <x v="4"/>
    <n v="23"/>
    <n v="14110"/>
    <n v="13"/>
    <n v="3.4"/>
    <n v="5"/>
    <n v="2"/>
    <n v="14"/>
    <n v="2.8"/>
    <s v="Yes"/>
    <s v="High"/>
  </r>
  <r>
    <s v="EMP0177"/>
    <x v="0"/>
    <n v="44"/>
    <n v="31036"/>
    <n v="12"/>
    <n v="3.9"/>
    <n v="24"/>
    <n v="13"/>
    <n v="10"/>
    <n v="3.9"/>
    <s v="No"/>
    <s v="Low"/>
  </r>
  <r>
    <s v="EMP0178"/>
    <x v="1"/>
    <n v="43"/>
    <n v="35681"/>
    <n v="3"/>
    <n v="3.7"/>
    <n v="35"/>
    <n v="31"/>
    <n v="1"/>
    <n v="3.9"/>
    <s v="No"/>
    <s v="Medium"/>
  </r>
  <r>
    <s v="EMP0179"/>
    <x v="5"/>
    <n v="34"/>
    <n v="15660"/>
    <n v="7"/>
    <n v="3.1"/>
    <n v="37"/>
    <n v="28"/>
    <n v="11"/>
    <n v="3.6"/>
    <s v="No"/>
    <s v="Medium"/>
  </r>
  <r>
    <s v="EMP0180"/>
    <x v="4"/>
    <n v="56"/>
    <n v="15829"/>
    <n v="11"/>
    <n v="2.7"/>
    <n v="43"/>
    <n v="7"/>
    <n v="12"/>
    <n v="3.8"/>
    <s v="No"/>
    <s v="Low"/>
  </r>
  <r>
    <s v="EMP0181"/>
    <x v="4"/>
    <n v="22"/>
    <n v="23592"/>
    <n v="2"/>
    <n v="3.6"/>
    <n v="15"/>
    <n v="1"/>
    <n v="3"/>
    <n v="3.2"/>
    <s v="No"/>
    <s v="Low"/>
  </r>
  <r>
    <s v="EMP0182"/>
    <x v="0"/>
    <n v="46"/>
    <n v="38463"/>
    <n v="9"/>
    <n v="2.5"/>
    <n v="39"/>
    <n v="29"/>
    <n v="10"/>
    <n v="4"/>
    <s v="Yes"/>
    <s v="High"/>
  </r>
  <r>
    <s v="EMP0183"/>
    <x v="1"/>
    <n v="58"/>
    <n v="37637"/>
    <n v="3"/>
    <n v="3"/>
    <n v="23"/>
    <n v="12"/>
    <n v="13"/>
    <n v="5"/>
    <s v="No"/>
    <s v="Low"/>
  </r>
  <r>
    <s v="EMP0184"/>
    <x v="0"/>
    <n v="39"/>
    <n v="32086"/>
    <n v="13"/>
    <n v="2.9"/>
    <n v="43"/>
    <n v="1"/>
    <n v="11"/>
    <n v="3.3"/>
    <s v="No"/>
    <s v="Low"/>
  </r>
  <r>
    <s v="EMP0185"/>
    <x v="2"/>
    <n v="50"/>
    <n v="27687"/>
    <n v="9"/>
    <n v="1"/>
    <n v="18"/>
    <n v="33"/>
    <n v="1"/>
    <n v="2.8"/>
    <s v="No"/>
    <s v="Medium"/>
  </r>
  <r>
    <s v="EMP0186"/>
    <x v="1"/>
    <n v="36"/>
    <n v="37387"/>
    <n v="0"/>
    <n v="3"/>
    <n v="26"/>
    <n v="26"/>
    <n v="8"/>
    <n v="3.1"/>
    <s v="Yes"/>
    <s v="High"/>
  </r>
  <r>
    <s v="EMP0187"/>
    <x v="4"/>
    <n v="57"/>
    <n v="14412"/>
    <n v="12"/>
    <n v="2.8"/>
    <n v="47"/>
    <n v="9"/>
    <n v="4"/>
    <n v="2.8"/>
    <s v="No"/>
    <s v="Medium"/>
  </r>
  <r>
    <s v="EMP0188"/>
    <x v="3"/>
    <n v="57"/>
    <n v="23327"/>
    <n v="0"/>
    <n v="3.7"/>
    <n v="39"/>
    <n v="30"/>
    <n v="7"/>
    <n v="3"/>
    <s v="No"/>
    <s v="Medium"/>
  </r>
  <r>
    <s v="EMP0189"/>
    <x v="0"/>
    <n v="33"/>
    <n v="28279"/>
    <n v="8"/>
    <n v="4.2"/>
    <n v="29"/>
    <n v="34"/>
    <n v="0"/>
    <n v="4.0999999999999996"/>
    <s v="No"/>
    <s v="Medium"/>
  </r>
  <r>
    <s v="EMP0190"/>
    <x v="5"/>
    <n v="38"/>
    <n v="27326"/>
    <n v="0"/>
    <n v="4.3"/>
    <n v="4"/>
    <n v="32"/>
    <n v="2"/>
    <n v="3.8"/>
    <s v="No"/>
    <s v="Medium"/>
  </r>
  <r>
    <s v="EMP0191"/>
    <x v="2"/>
    <n v="24"/>
    <n v="17826"/>
    <n v="6"/>
    <n v="3.7"/>
    <n v="5"/>
    <n v="3"/>
    <n v="3"/>
    <n v="4.2"/>
    <s v="No"/>
    <s v="Low"/>
  </r>
  <r>
    <s v="EMP0192"/>
    <x v="4"/>
    <n v="38"/>
    <n v="17265"/>
    <n v="1"/>
    <n v="3.1"/>
    <n v="33"/>
    <n v="26"/>
    <n v="7"/>
    <n v="1.6"/>
    <s v="No"/>
    <s v="Medium"/>
  </r>
  <r>
    <s v="EMP0193"/>
    <x v="5"/>
    <n v="49"/>
    <n v="26959"/>
    <n v="7"/>
    <n v="3"/>
    <n v="35"/>
    <n v="28"/>
    <n v="4"/>
    <n v="2.7"/>
    <s v="Yes"/>
    <s v="High"/>
  </r>
  <r>
    <s v="EMP0194"/>
    <x v="4"/>
    <n v="49"/>
    <n v="18744"/>
    <n v="4"/>
    <n v="3.6"/>
    <n v="42"/>
    <n v="8"/>
    <n v="3"/>
    <n v="4.3"/>
    <s v="No"/>
    <s v="Low"/>
  </r>
  <r>
    <s v="EMP0195"/>
    <x v="3"/>
    <n v="51"/>
    <n v="22263"/>
    <n v="2"/>
    <n v="3.5"/>
    <n v="29"/>
    <n v="33"/>
    <n v="3"/>
    <n v="3.1"/>
    <s v="No"/>
    <s v="Medium"/>
  </r>
  <r>
    <s v="EMP0196"/>
    <x v="0"/>
    <n v="33"/>
    <n v="25605"/>
    <n v="5"/>
    <n v="2.8"/>
    <n v="16"/>
    <n v="22"/>
    <n v="9"/>
    <n v="2.9"/>
    <s v="No"/>
    <s v="Medium"/>
  </r>
  <r>
    <s v="EMP0197"/>
    <x v="2"/>
    <n v="50"/>
    <n v="14348"/>
    <n v="5"/>
    <n v="3.8"/>
    <n v="31"/>
    <n v="15"/>
    <n v="6"/>
    <n v="4.5"/>
    <s v="No"/>
    <s v="Low"/>
  </r>
  <r>
    <s v="EMP0198"/>
    <x v="3"/>
    <n v="52"/>
    <n v="19160"/>
    <n v="6"/>
    <n v="1.4"/>
    <n v="32"/>
    <n v="4"/>
    <n v="10"/>
    <n v="2.7"/>
    <s v="No"/>
    <s v="Medium"/>
  </r>
  <r>
    <s v="EMP0199"/>
    <x v="5"/>
    <n v="24"/>
    <n v="17307"/>
    <n v="9"/>
    <n v="1.3"/>
    <n v="10"/>
    <n v="27"/>
    <n v="5"/>
    <n v="2.9"/>
    <s v="Yes"/>
    <s v="High"/>
  </r>
  <r>
    <s v="EMP0200"/>
    <x v="0"/>
    <n v="37"/>
    <n v="31053"/>
    <n v="14"/>
    <n v="5"/>
    <n v="35"/>
    <n v="32"/>
    <n v="7"/>
    <n v="3.9"/>
    <s v="Yes"/>
    <s v="High"/>
  </r>
  <r>
    <s v="EMP0201"/>
    <x v="0"/>
    <n v="26"/>
    <n v="37300"/>
    <n v="6"/>
    <n v="3.3"/>
    <n v="30"/>
    <n v="10"/>
    <n v="15"/>
    <n v="2.7"/>
    <s v="No"/>
    <s v="Medium"/>
  </r>
  <r>
    <s v="EMP0202"/>
    <x v="4"/>
    <n v="59"/>
    <n v="15795"/>
    <n v="7"/>
    <n v="3.1"/>
    <n v="11"/>
    <n v="32"/>
    <n v="9"/>
    <n v="4.5999999999999996"/>
    <s v="No"/>
    <s v="Medium"/>
  </r>
  <r>
    <s v="EMP0203"/>
    <x v="2"/>
    <n v="42"/>
    <n v="21500"/>
    <n v="13"/>
    <n v="1.9"/>
    <n v="11"/>
    <n v="29"/>
    <n v="11"/>
    <n v="3.1"/>
    <s v="No"/>
    <s v="Medium"/>
  </r>
  <r>
    <s v="EMP0204"/>
    <x v="3"/>
    <n v="36"/>
    <n v="27091"/>
    <n v="11"/>
    <n v="3.4"/>
    <n v="4"/>
    <n v="24"/>
    <n v="4"/>
    <n v="3.3"/>
    <s v="No"/>
    <s v="Medium"/>
  </r>
  <r>
    <s v="EMP0205"/>
    <x v="0"/>
    <n v="35"/>
    <n v="28744"/>
    <n v="11"/>
    <n v="4.0999999999999996"/>
    <n v="32"/>
    <n v="6"/>
    <n v="6"/>
    <n v="3"/>
    <s v="No"/>
    <s v="Low"/>
  </r>
  <r>
    <s v="EMP0206"/>
    <x v="2"/>
    <n v="54"/>
    <n v="19708"/>
    <n v="12"/>
    <n v="2.6"/>
    <n v="33"/>
    <n v="2"/>
    <n v="1"/>
    <n v="3"/>
    <s v="No"/>
    <s v="Low"/>
  </r>
  <r>
    <s v="EMP0207"/>
    <x v="0"/>
    <n v="48"/>
    <n v="27463"/>
    <n v="4"/>
    <n v="3.6"/>
    <n v="25"/>
    <n v="2"/>
    <n v="5"/>
    <n v="4.7"/>
    <s v="No"/>
    <s v="Low"/>
  </r>
  <r>
    <s v="EMP0208"/>
    <x v="5"/>
    <n v="48"/>
    <n v="17129"/>
    <n v="10"/>
    <n v="3"/>
    <n v="43"/>
    <n v="32"/>
    <n v="5"/>
    <n v="3.3"/>
    <s v="Yes"/>
    <s v="High"/>
  </r>
  <r>
    <s v="EMP0209"/>
    <x v="1"/>
    <n v="49"/>
    <n v="34003"/>
    <n v="14"/>
    <n v="4.9000000000000004"/>
    <n v="19"/>
    <n v="34"/>
    <n v="11"/>
    <n v="2.7"/>
    <s v="Yes"/>
    <s v="High"/>
  </r>
  <r>
    <s v="EMP0210"/>
    <x v="4"/>
    <n v="32"/>
    <n v="13277"/>
    <n v="2"/>
    <n v="3.9"/>
    <n v="50"/>
    <n v="29"/>
    <n v="1"/>
    <n v="3.4"/>
    <s v="No"/>
    <s v="Medium"/>
  </r>
  <r>
    <s v="EMP0211"/>
    <x v="0"/>
    <n v="60"/>
    <n v="34574"/>
    <n v="4"/>
    <n v="3"/>
    <n v="35"/>
    <n v="2"/>
    <n v="11"/>
    <n v="3.7"/>
    <s v="No"/>
    <s v="Low"/>
  </r>
  <r>
    <s v="EMP0212"/>
    <x v="2"/>
    <n v="46"/>
    <n v="20102"/>
    <n v="8"/>
    <n v="2.4"/>
    <n v="5"/>
    <n v="23"/>
    <n v="6"/>
    <n v="2.5"/>
    <s v="No"/>
    <s v="Medium"/>
  </r>
  <r>
    <s v="EMP0213"/>
    <x v="1"/>
    <n v="50"/>
    <n v="23090"/>
    <n v="5"/>
    <n v="3.5"/>
    <n v="27"/>
    <n v="17"/>
    <n v="2"/>
    <n v="3.4"/>
    <s v="No"/>
    <s v="Low"/>
  </r>
  <r>
    <s v="EMP0214"/>
    <x v="5"/>
    <n v="46"/>
    <n v="28356"/>
    <n v="9"/>
    <n v="5"/>
    <n v="15"/>
    <n v="15"/>
    <n v="5"/>
    <n v="3"/>
    <s v="No"/>
    <s v="Low"/>
  </r>
  <r>
    <s v="EMP0215"/>
    <x v="5"/>
    <n v="38"/>
    <n v="29770"/>
    <n v="3"/>
    <n v="3.1"/>
    <n v="9"/>
    <n v="20"/>
    <n v="8"/>
    <n v="4"/>
    <s v="No"/>
    <s v="Low"/>
  </r>
  <r>
    <s v="EMP0216"/>
    <x v="3"/>
    <n v="32"/>
    <n v="22428"/>
    <n v="7"/>
    <n v="4.5999999999999996"/>
    <n v="48"/>
    <n v="14"/>
    <n v="3"/>
    <n v="4.4000000000000004"/>
    <s v="No"/>
    <s v="Low"/>
  </r>
  <r>
    <s v="EMP0217"/>
    <x v="2"/>
    <n v="35"/>
    <n v="30530"/>
    <n v="11"/>
    <n v="4.5"/>
    <n v="37"/>
    <n v="16"/>
    <n v="7"/>
    <n v="5"/>
    <s v="No"/>
    <s v="Low"/>
  </r>
  <r>
    <s v="EMP0218"/>
    <x v="2"/>
    <n v="60"/>
    <n v="24500"/>
    <n v="0"/>
    <n v="2.9"/>
    <n v="16"/>
    <n v="19"/>
    <n v="5"/>
    <n v="3.1"/>
    <s v="No"/>
    <s v="Medium"/>
  </r>
  <r>
    <s v="EMP0219"/>
    <x v="5"/>
    <n v="57"/>
    <n v="22933"/>
    <n v="1"/>
    <n v="3.9"/>
    <n v="25"/>
    <n v="15"/>
    <n v="13"/>
    <n v="3.4"/>
    <s v="No"/>
    <s v="Medium"/>
  </r>
  <r>
    <s v="EMP0220"/>
    <x v="0"/>
    <n v="46"/>
    <n v="20890"/>
    <n v="10"/>
    <n v="3.6"/>
    <n v="24"/>
    <n v="12"/>
    <n v="11"/>
    <n v="4.3"/>
    <s v="No"/>
    <s v="Low"/>
  </r>
  <r>
    <s v="EMP0221"/>
    <x v="0"/>
    <n v="47"/>
    <n v="41849"/>
    <n v="14"/>
    <n v="3.5"/>
    <n v="43"/>
    <n v="17"/>
    <n v="5"/>
    <n v="3.9"/>
    <s v="No"/>
    <s v="Low"/>
  </r>
  <r>
    <s v="EMP0222"/>
    <x v="2"/>
    <n v="39"/>
    <n v="16855"/>
    <n v="3"/>
    <n v="3.3"/>
    <n v="48"/>
    <n v="33"/>
    <n v="5"/>
    <n v="3.5"/>
    <s v="No"/>
    <s v="Medium"/>
  </r>
  <r>
    <s v="EMP0223"/>
    <x v="0"/>
    <n v="51"/>
    <n v="26902"/>
    <n v="11"/>
    <n v="2"/>
    <n v="25"/>
    <n v="35"/>
    <n v="11"/>
    <n v="4"/>
    <s v="No"/>
    <s v="Medium"/>
  </r>
  <r>
    <s v="EMP0224"/>
    <x v="2"/>
    <n v="41"/>
    <n v="30595"/>
    <n v="9"/>
    <n v="2"/>
    <n v="14"/>
    <n v="8"/>
    <n v="2"/>
    <n v="3.4"/>
    <s v="No"/>
    <s v="Low"/>
  </r>
  <r>
    <s v="EMP0225"/>
    <x v="4"/>
    <n v="38"/>
    <n v="18913"/>
    <n v="11"/>
    <n v="3.6"/>
    <n v="49"/>
    <n v="18"/>
    <n v="3"/>
    <n v="3.6"/>
    <s v="No"/>
    <s v="Low"/>
  </r>
  <r>
    <s v="EMP0226"/>
    <x v="2"/>
    <n v="26"/>
    <n v="28028"/>
    <n v="1"/>
    <n v="3.8"/>
    <n v="6"/>
    <n v="9"/>
    <n v="7"/>
    <n v="2.6"/>
    <s v="Yes"/>
    <s v="High"/>
  </r>
  <r>
    <s v="EMP0227"/>
    <x v="4"/>
    <n v="35"/>
    <n v="13896"/>
    <n v="10"/>
    <n v="3.6"/>
    <n v="4"/>
    <n v="20"/>
    <n v="5"/>
    <n v="3.3"/>
    <s v="No"/>
    <s v="Low"/>
  </r>
  <r>
    <s v="EMP0228"/>
    <x v="4"/>
    <n v="48"/>
    <n v="16659"/>
    <n v="12"/>
    <n v="3.6"/>
    <n v="28"/>
    <n v="31"/>
    <n v="12"/>
    <n v="5"/>
    <s v="No"/>
    <s v="Medium"/>
  </r>
  <r>
    <s v="EMP0229"/>
    <x v="0"/>
    <n v="48"/>
    <n v="38883"/>
    <n v="13"/>
    <n v="3.5"/>
    <n v="27"/>
    <n v="32"/>
    <n v="6"/>
    <n v="4.8"/>
    <s v="No"/>
    <s v="Medium"/>
  </r>
  <r>
    <s v="EMP0230"/>
    <x v="1"/>
    <n v="34"/>
    <n v="26157"/>
    <n v="3"/>
    <n v="3.3"/>
    <n v="12"/>
    <n v="12"/>
    <n v="7"/>
    <n v="3"/>
    <s v="No"/>
    <s v="Low"/>
  </r>
  <r>
    <s v="EMP0231"/>
    <x v="4"/>
    <n v="21"/>
    <n v="12132"/>
    <n v="2"/>
    <n v="2.6"/>
    <n v="35"/>
    <n v="10"/>
    <n v="5"/>
    <n v="3.7"/>
    <s v="No"/>
    <s v="Low"/>
  </r>
  <r>
    <s v="EMP0232"/>
    <x v="5"/>
    <n v="31"/>
    <n v="16426"/>
    <n v="14"/>
    <n v="4.4000000000000004"/>
    <n v="15"/>
    <n v="11"/>
    <n v="10"/>
    <n v="2.8"/>
    <s v="No"/>
    <s v="Medium"/>
  </r>
  <r>
    <s v="EMP0233"/>
    <x v="4"/>
    <n v="44"/>
    <n v="21358"/>
    <n v="1"/>
    <n v="2.9"/>
    <n v="36"/>
    <n v="29"/>
    <n v="11"/>
    <n v="2.4"/>
    <s v="Yes"/>
    <s v="High"/>
  </r>
  <r>
    <s v="EMP0234"/>
    <x v="2"/>
    <n v="46"/>
    <n v="15739"/>
    <n v="15"/>
    <n v="4.2"/>
    <n v="15"/>
    <n v="4"/>
    <n v="3"/>
    <n v="3.6"/>
    <s v="No"/>
    <s v="Low"/>
  </r>
  <r>
    <s v="EMP0235"/>
    <x v="4"/>
    <n v="34"/>
    <n v="14542"/>
    <n v="6"/>
    <n v="3.3"/>
    <n v="10"/>
    <n v="27"/>
    <n v="0"/>
    <n v="3.8"/>
    <s v="No"/>
    <s v="Medium"/>
  </r>
  <r>
    <s v="EMP0236"/>
    <x v="4"/>
    <n v="40"/>
    <n v="14728"/>
    <n v="10"/>
    <n v="2.2999999999999998"/>
    <n v="45"/>
    <n v="23"/>
    <n v="5"/>
    <n v="2.8"/>
    <s v="No"/>
    <s v="Medium"/>
  </r>
  <r>
    <s v="EMP0237"/>
    <x v="5"/>
    <n v="34"/>
    <n v="21846"/>
    <n v="15"/>
    <n v="3.3"/>
    <n v="35"/>
    <n v="14"/>
    <n v="2"/>
    <n v="3.9"/>
    <s v="No"/>
    <s v="Low"/>
  </r>
  <r>
    <s v="EMP0238"/>
    <x v="2"/>
    <n v="57"/>
    <n v="24899"/>
    <n v="3"/>
    <n v="4.0999999999999996"/>
    <n v="15"/>
    <n v="28"/>
    <n v="0"/>
    <n v="2.2999999999999998"/>
    <s v="No"/>
    <s v="Medium"/>
  </r>
  <r>
    <s v="EMP0239"/>
    <x v="2"/>
    <n v="32"/>
    <n v="19712"/>
    <n v="7"/>
    <n v="2.9"/>
    <n v="37"/>
    <n v="31"/>
    <n v="1"/>
    <n v="3.3"/>
    <s v="No"/>
    <s v="Medium"/>
  </r>
  <r>
    <s v="EMP0240"/>
    <x v="1"/>
    <n v="29"/>
    <n v="23281"/>
    <n v="3"/>
    <n v="2.9"/>
    <n v="12"/>
    <n v="23"/>
    <n v="0"/>
    <n v="4.4000000000000004"/>
    <s v="No"/>
    <s v="Medium"/>
  </r>
  <r>
    <s v="EMP0241"/>
    <x v="5"/>
    <n v="33"/>
    <n v="27468"/>
    <n v="15"/>
    <n v="1.9"/>
    <n v="33"/>
    <n v="33"/>
    <n v="0"/>
    <n v="1.6"/>
    <s v="No"/>
    <s v="Medium"/>
  </r>
  <r>
    <s v="EMP0242"/>
    <x v="4"/>
    <n v="34"/>
    <n v="15879"/>
    <n v="12"/>
    <n v="3.4"/>
    <n v="7"/>
    <n v="2"/>
    <n v="7"/>
    <n v="4.0999999999999996"/>
    <s v="No"/>
    <s v="Low"/>
  </r>
  <r>
    <s v="EMP0243"/>
    <x v="3"/>
    <n v="26"/>
    <n v="14088"/>
    <n v="6"/>
    <n v="4.0999999999999996"/>
    <n v="9"/>
    <n v="1"/>
    <n v="2"/>
    <n v="3.6"/>
    <s v="No"/>
    <s v="Low"/>
  </r>
  <r>
    <s v="EMP0244"/>
    <x v="4"/>
    <n v="58"/>
    <n v="15257"/>
    <n v="15"/>
    <n v="2.2999999999999998"/>
    <n v="21"/>
    <n v="32"/>
    <n v="8"/>
    <n v="4.5999999999999996"/>
    <s v="Yes"/>
    <s v="High"/>
  </r>
  <r>
    <s v="EMP0245"/>
    <x v="2"/>
    <n v="57"/>
    <n v="27617"/>
    <n v="15"/>
    <n v="5"/>
    <n v="13"/>
    <n v="25"/>
    <n v="12"/>
    <n v="3.9"/>
    <s v="No"/>
    <s v="Medium"/>
  </r>
  <r>
    <s v="EMP0246"/>
    <x v="0"/>
    <n v="31"/>
    <n v="40504"/>
    <n v="4"/>
    <n v="3.5"/>
    <n v="7"/>
    <n v="7"/>
    <n v="1"/>
    <n v="2.5"/>
    <s v="Yes"/>
    <s v="High"/>
  </r>
  <r>
    <s v="EMP0247"/>
    <x v="2"/>
    <n v="45"/>
    <n v="27195"/>
    <n v="3"/>
    <n v="3.2"/>
    <n v="12"/>
    <n v="21"/>
    <n v="5"/>
    <n v="2.2999999999999998"/>
    <s v="No"/>
    <s v="Medium"/>
  </r>
  <r>
    <s v="EMP0248"/>
    <x v="0"/>
    <n v="33"/>
    <n v="19213"/>
    <n v="12"/>
    <n v="1.9"/>
    <n v="25"/>
    <n v="13"/>
    <n v="0"/>
    <n v="3.1"/>
    <s v="No"/>
    <s v="Low"/>
  </r>
  <r>
    <s v="EMP0249"/>
    <x v="4"/>
    <n v="40"/>
    <n v="16621"/>
    <n v="5"/>
    <n v="3.9"/>
    <n v="39"/>
    <n v="25"/>
    <n v="8"/>
    <n v="3.1"/>
    <s v="No"/>
    <s v="Medium"/>
  </r>
  <r>
    <s v="EMP0250"/>
    <x v="2"/>
    <n v="57"/>
    <n v="24703"/>
    <n v="4"/>
    <n v="3.1"/>
    <n v="5"/>
    <n v="12"/>
    <n v="5"/>
    <n v="2.6"/>
    <s v="No"/>
    <s v="Medium"/>
  </r>
  <r>
    <s v="EMP0251"/>
    <x v="4"/>
    <n v="45"/>
    <n v="23725"/>
    <n v="11"/>
    <n v="4.3"/>
    <n v="35"/>
    <n v="1"/>
    <n v="10"/>
    <n v="3.5"/>
    <s v="No"/>
    <s v="Low"/>
  </r>
  <r>
    <s v="EMP0252"/>
    <x v="0"/>
    <n v="38"/>
    <n v="31889"/>
    <n v="11"/>
    <n v="2.8"/>
    <n v="28"/>
    <n v="19"/>
    <n v="6"/>
    <n v="2.9"/>
    <s v="No"/>
    <s v="Medium"/>
  </r>
  <r>
    <s v="EMP0253"/>
    <x v="1"/>
    <n v="25"/>
    <n v="23615"/>
    <n v="3"/>
    <n v="3.1"/>
    <n v="18"/>
    <n v="35"/>
    <n v="8"/>
    <n v="3.1"/>
    <s v="No"/>
    <s v="Medium"/>
  </r>
  <r>
    <s v="EMP0254"/>
    <x v="2"/>
    <n v="49"/>
    <n v="16797"/>
    <n v="13"/>
    <n v="3.4"/>
    <n v="18"/>
    <n v="8"/>
    <n v="8"/>
    <n v="3.9"/>
    <s v="No"/>
    <s v="Low"/>
  </r>
  <r>
    <s v="EMP0255"/>
    <x v="2"/>
    <n v="42"/>
    <n v="24467"/>
    <n v="0"/>
    <n v="3.6"/>
    <n v="22"/>
    <n v="2"/>
    <n v="12"/>
    <n v="3.4"/>
    <s v="No"/>
    <s v="Medium"/>
  </r>
  <r>
    <s v="EMP0256"/>
    <x v="3"/>
    <n v="52"/>
    <n v="27631"/>
    <n v="2"/>
    <n v="3.8"/>
    <n v="27"/>
    <n v="28"/>
    <n v="0"/>
    <n v="2.6"/>
    <s v="No"/>
    <s v="Medium"/>
  </r>
  <r>
    <s v="EMP0257"/>
    <x v="1"/>
    <n v="48"/>
    <n v="27233"/>
    <n v="4"/>
    <n v="3.7"/>
    <n v="31"/>
    <n v="0"/>
    <n v="3"/>
    <n v="4.3"/>
    <s v="No"/>
    <s v="Low"/>
  </r>
  <r>
    <s v="EMP0258"/>
    <x v="5"/>
    <n v="28"/>
    <n v="29933"/>
    <n v="7"/>
    <n v="4.0999999999999996"/>
    <n v="10"/>
    <n v="28"/>
    <n v="1"/>
    <n v="4.3"/>
    <s v="Yes"/>
    <s v="High"/>
  </r>
  <r>
    <s v="EMP0259"/>
    <x v="0"/>
    <n v="48"/>
    <n v="19396"/>
    <n v="11"/>
    <n v="3"/>
    <n v="5"/>
    <n v="6"/>
    <n v="7"/>
    <n v="4.8"/>
    <s v="No"/>
    <s v="Low"/>
  </r>
  <r>
    <s v="EMP0260"/>
    <x v="0"/>
    <n v="53"/>
    <n v="31388"/>
    <n v="14"/>
    <n v="3.2"/>
    <n v="49"/>
    <n v="14"/>
    <n v="1"/>
    <n v="5"/>
    <s v="No"/>
    <s v="Low"/>
  </r>
  <r>
    <s v="EMP0261"/>
    <x v="1"/>
    <n v="44"/>
    <n v="35122"/>
    <n v="5"/>
    <n v="3.8"/>
    <n v="5"/>
    <n v="27"/>
    <n v="8"/>
    <n v="3.9"/>
    <s v="No"/>
    <s v="Medium"/>
  </r>
  <r>
    <s v="EMP0262"/>
    <x v="1"/>
    <n v="49"/>
    <n v="33073"/>
    <n v="0"/>
    <n v="4.3"/>
    <n v="17"/>
    <n v="7"/>
    <n v="3"/>
    <n v="3.1"/>
    <s v="No"/>
    <s v="Medium"/>
  </r>
  <r>
    <s v="EMP0263"/>
    <x v="0"/>
    <n v="59"/>
    <n v="23130"/>
    <n v="12"/>
    <n v="3"/>
    <n v="26"/>
    <n v="4"/>
    <n v="7"/>
    <n v="1.7"/>
    <s v="No"/>
    <s v="Medium"/>
  </r>
  <r>
    <s v="EMP0264"/>
    <x v="3"/>
    <n v="22"/>
    <n v="19602"/>
    <n v="3"/>
    <n v="3.2"/>
    <n v="23"/>
    <n v="21"/>
    <n v="5"/>
    <n v="3.3"/>
    <s v="Yes"/>
    <s v="High"/>
  </r>
  <r>
    <s v="EMP0265"/>
    <x v="2"/>
    <n v="24"/>
    <n v="28645"/>
    <n v="8"/>
    <n v="4.7"/>
    <n v="20"/>
    <n v="15"/>
    <n v="8"/>
    <n v="1.3"/>
    <s v="Yes"/>
    <s v="High"/>
  </r>
  <r>
    <s v="EMP0266"/>
    <x v="4"/>
    <n v="57"/>
    <n v="22939"/>
    <n v="2"/>
    <n v="2.9"/>
    <n v="24"/>
    <n v="11"/>
    <n v="11"/>
    <n v="3.7"/>
    <s v="No"/>
    <s v="Low"/>
  </r>
  <r>
    <s v="EMP0267"/>
    <x v="5"/>
    <n v="40"/>
    <n v="25467"/>
    <n v="2"/>
    <n v="3.7"/>
    <n v="47"/>
    <n v="7"/>
    <n v="11"/>
    <n v="3.7"/>
    <s v="No"/>
    <s v="Low"/>
  </r>
  <r>
    <s v="EMP0268"/>
    <x v="1"/>
    <n v="27"/>
    <n v="22262"/>
    <n v="9"/>
    <n v="2.7"/>
    <n v="7"/>
    <n v="31"/>
    <n v="3"/>
    <n v="3.5"/>
    <s v="No"/>
    <s v="Medium"/>
  </r>
  <r>
    <s v="EMP0269"/>
    <x v="0"/>
    <n v="41"/>
    <n v="23997"/>
    <n v="9"/>
    <n v="1.9"/>
    <n v="43"/>
    <n v="28"/>
    <n v="2"/>
    <n v="3.5"/>
    <s v="No"/>
    <s v="Medium"/>
  </r>
  <r>
    <s v="EMP0270"/>
    <x v="1"/>
    <n v="31"/>
    <n v="23573"/>
    <n v="1"/>
    <n v="3.1"/>
    <n v="36"/>
    <n v="29"/>
    <n v="8"/>
    <n v="2.4"/>
    <s v="Yes"/>
    <s v="High"/>
  </r>
  <r>
    <s v="EMP0271"/>
    <x v="2"/>
    <n v="47"/>
    <n v="15799"/>
    <n v="8"/>
    <n v="4.9000000000000004"/>
    <n v="38"/>
    <n v="5"/>
    <n v="11"/>
    <n v="3.5"/>
    <s v="No"/>
    <s v="Low"/>
  </r>
  <r>
    <s v="EMP0272"/>
    <x v="5"/>
    <n v="53"/>
    <n v="17401"/>
    <n v="2"/>
    <n v="4.5999999999999996"/>
    <n v="32"/>
    <n v="1"/>
    <n v="5"/>
    <n v="2.2999999999999998"/>
    <s v="No"/>
    <s v="Medium"/>
  </r>
  <r>
    <s v="EMP0273"/>
    <x v="1"/>
    <n v="53"/>
    <n v="36911"/>
    <n v="9"/>
    <n v="2.9"/>
    <n v="11"/>
    <n v="28"/>
    <n v="5"/>
    <n v="5"/>
    <s v="No"/>
    <s v="Medium"/>
  </r>
  <r>
    <s v="EMP0274"/>
    <x v="4"/>
    <n v="35"/>
    <n v="20832"/>
    <n v="5"/>
    <n v="2.9"/>
    <n v="7"/>
    <n v="1"/>
    <n v="6"/>
    <n v="3.7"/>
    <s v="No"/>
    <s v="Low"/>
  </r>
  <r>
    <s v="EMP0275"/>
    <x v="3"/>
    <n v="26"/>
    <n v="22231"/>
    <n v="12"/>
    <n v="4.4000000000000004"/>
    <n v="9"/>
    <n v="10"/>
    <n v="9"/>
    <n v="2.2999999999999998"/>
    <s v="No"/>
    <s v="Medium"/>
  </r>
  <r>
    <s v="EMP0276"/>
    <x v="1"/>
    <n v="31"/>
    <n v="35537"/>
    <n v="12"/>
    <n v="3.3"/>
    <n v="41"/>
    <n v="30"/>
    <n v="5"/>
    <n v="3.2"/>
    <s v="Yes"/>
    <s v="High"/>
  </r>
  <r>
    <s v="EMP0277"/>
    <x v="1"/>
    <n v="35"/>
    <n v="21897"/>
    <n v="3"/>
    <n v="3.3"/>
    <n v="39"/>
    <n v="15"/>
    <n v="7"/>
    <n v="3.7"/>
    <s v="No"/>
    <s v="Low"/>
  </r>
  <r>
    <s v="EMP0278"/>
    <x v="4"/>
    <n v="56"/>
    <n v="19540"/>
    <n v="12"/>
    <n v="4"/>
    <n v="15"/>
    <n v="18"/>
    <n v="1"/>
    <n v="2"/>
    <s v="No"/>
    <s v="Medium"/>
  </r>
  <r>
    <s v="EMP0279"/>
    <x v="4"/>
    <n v="39"/>
    <n v="16338"/>
    <n v="13"/>
    <n v="4.3"/>
    <n v="23"/>
    <n v="9"/>
    <n v="7"/>
    <n v="3.5"/>
    <s v="No"/>
    <s v="Low"/>
  </r>
  <r>
    <s v="EMP0280"/>
    <x v="2"/>
    <n v="45"/>
    <n v="18664"/>
    <n v="13"/>
    <n v="3.4"/>
    <n v="21"/>
    <n v="34"/>
    <n v="6"/>
    <n v="3.4"/>
    <s v="No"/>
    <s v="Medium"/>
  </r>
  <r>
    <s v="EMP0281"/>
    <x v="0"/>
    <n v="38"/>
    <n v="31111"/>
    <n v="1"/>
    <n v="3.7"/>
    <n v="20"/>
    <n v="25"/>
    <n v="5"/>
    <n v="1"/>
    <s v="No"/>
    <s v="Medium"/>
  </r>
  <r>
    <s v="EMP0282"/>
    <x v="3"/>
    <n v="59"/>
    <n v="23211"/>
    <n v="2"/>
    <n v="3.7"/>
    <n v="23"/>
    <n v="4"/>
    <n v="8"/>
    <n v="5"/>
    <s v="No"/>
    <s v="Low"/>
  </r>
  <r>
    <s v="EMP0283"/>
    <x v="4"/>
    <n v="36"/>
    <n v="15351"/>
    <n v="13"/>
    <n v="3.8"/>
    <n v="50"/>
    <n v="26"/>
    <n v="8"/>
    <n v="4"/>
    <s v="No"/>
    <s v="Medium"/>
  </r>
  <r>
    <s v="EMP0284"/>
    <x v="2"/>
    <n v="37"/>
    <n v="24525"/>
    <n v="0"/>
    <n v="2.9"/>
    <n v="14"/>
    <n v="23"/>
    <n v="9"/>
    <n v="3"/>
    <s v="No"/>
    <s v="Medium"/>
  </r>
  <r>
    <s v="EMP0285"/>
    <x v="0"/>
    <n v="37"/>
    <n v="38194"/>
    <n v="1"/>
    <n v="4.3"/>
    <n v="21"/>
    <n v="1"/>
    <n v="2"/>
    <n v="3.6"/>
    <s v="No"/>
    <s v="Medium"/>
  </r>
  <r>
    <s v="EMP0286"/>
    <x v="3"/>
    <n v="51"/>
    <n v="24471"/>
    <n v="1"/>
    <n v="2.6"/>
    <n v="38"/>
    <n v="34"/>
    <n v="12"/>
    <n v="3"/>
    <s v="No"/>
    <s v="Medium"/>
  </r>
  <r>
    <s v="EMP0287"/>
    <x v="3"/>
    <n v="56"/>
    <n v="14304"/>
    <n v="13"/>
    <n v="1"/>
    <n v="18"/>
    <n v="20"/>
    <n v="5"/>
    <n v="2"/>
    <s v="No"/>
    <s v="Medium"/>
  </r>
  <r>
    <s v="EMP0288"/>
    <x v="1"/>
    <n v="55"/>
    <n v="36642"/>
    <n v="12"/>
    <n v="2.2000000000000002"/>
    <n v="48"/>
    <n v="35"/>
    <n v="0"/>
    <n v="4.2"/>
    <s v="No"/>
    <s v="Medium"/>
  </r>
  <r>
    <s v="EMP0289"/>
    <x v="1"/>
    <n v="26"/>
    <n v="27559"/>
    <n v="1"/>
    <n v="4.2"/>
    <n v="50"/>
    <n v="11"/>
    <n v="10"/>
    <n v="4.7"/>
    <s v="No"/>
    <s v="Medium"/>
  </r>
  <r>
    <s v="EMP0290"/>
    <x v="1"/>
    <n v="36"/>
    <n v="20457"/>
    <n v="15"/>
    <n v="3.8"/>
    <n v="9"/>
    <n v="27"/>
    <n v="5"/>
    <n v="3.1"/>
    <s v="No"/>
    <s v="Medium"/>
  </r>
  <r>
    <s v="EMP0291"/>
    <x v="5"/>
    <n v="56"/>
    <n v="19072"/>
    <n v="4"/>
    <n v="4.3"/>
    <n v="24"/>
    <n v="23"/>
    <n v="9"/>
    <n v="2.7"/>
    <s v="Yes"/>
    <s v="High"/>
  </r>
  <r>
    <s v="EMP0292"/>
    <x v="2"/>
    <n v="59"/>
    <n v="23867"/>
    <n v="5"/>
    <n v="2.9"/>
    <n v="7"/>
    <n v="18"/>
    <n v="19"/>
    <n v="1.8"/>
    <s v="No"/>
    <s v="Medium"/>
  </r>
  <r>
    <s v="EMP0293"/>
    <x v="1"/>
    <n v="56"/>
    <n v="35302"/>
    <n v="13"/>
    <n v="3.4"/>
    <n v="23"/>
    <n v="20"/>
    <n v="7"/>
    <n v="2.6"/>
    <s v="No"/>
    <s v="Medium"/>
  </r>
  <r>
    <s v="EMP0294"/>
    <x v="1"/>
    <n v="55"/>
    <n v="33765"/>
    <n v="7"/>
    <n v="3.8"/>
    <n v="16"/>
    <n v="32"/>
    <n v="6"/>
    <n v="3.2"/>
    <s v="Yes"/>
    <s v="High"/>
  </r>
  <r>
    <s v="EMP0295"/>
    <x v="1"/>
    <n v="37"/>
    <n v="23286"/>
    <n v="13"/>
    <n v="3.1"/>
    <n v="10"/>
    <n v="25"/>
    <n v="9"/>
    <n v="2.6"/>
    <s v="No"/>
    <s v="Medium"/>
  </r>
  <r>
    <s v="EMP0296"/>
    <x v="2"/>
    <n v="21"/>
    <n v="27942"/>
    <n v="9"/>
    <n v="2.6"/>
    <n v="15"/>
    <n v="28"/>
    <n v="0"/>
    <n v="4.2"/>
    <s v="No"/>
    <s v="Medium"/>
  </r>
  <r>
    <s v="EMP0297"/>
    <x v="3"/>
    <n v="40"/>
    <n v="23047"/>
    <n v="0"/>
    <n v="3.8"/>
    <n v="49"/>
    <n v="6"/>
    <n v="8"/>
    <n v="5"/>
    <s v="No"/>
    <s v="Medium"/>
  </r>
  <r>
    <s v="EMP0298"/>
    <x v="1"/>
    <n v="55"/>
    <n v="31722"/>
    <n v="0"/>
    <n v="4.4000000000000004"/>
    <n v="10"/>
    <n v="30"/>
    <n v="0"/>
    <n v="2"/>
    <s v="No"/>
    <s v="Medium"/>
  </r>
  <r>
    <s v="EMP0299"/>
    <x v="3"/>
    <n v="56"/>
    <n v="15832"/>
    <n v="11"/>
    <n v="2.1"/>
    <n v="4"/>
    <n v="17"/>
    <n v="8"/>
    <n v="1"/>
    <s v="No"/>
    <s v="Medium"/>
  </r>
  <r>
    <s v="EMP0300"/>
    <x v="1"/>
    <n v="31"/>
    <n v="23825"/>
    <n v="1"/>
    <n v="4.3"/>
    <n v="17"/>
    <n v="33"/>
    <n v="6"/>
    <n v="4.9000000000000004"/>
    <s v="No"/>
    <s v="Medium"/>
  </r>
  <r>
    <s v="EMP0301"/>
    <x v="1"/>
    <n v="35"/>
    <n v="31644"/>
    <n v="1"/>
    <n v="2.7"/>
    <n v="44"/>
    <n v="10"/>
    <n v="7"/>
    <n v="2.9"/>
    <s v="No"/>
    <s v="Medium"/>
  </r>
  <r>
    <s v="EMP0302"/>
    <x v="1"/>
    <n v="29"/>
    <n v="37267"/>
    <n v="10"/>
    <n v="3.9"/>
    <n v="20"/>
    <n v="23"/>
    <n v="9"/>
    <n v="1"/>
    <s v="Yes"/>
    <s v="High"/>
  </r>
  <r>
    <s v="EMP0303"/>
    <x v="2"/>
    <n v="48"/>
    <n v="22338"/>
    <n v="10"/>
    <n v="3.3"/>
    <n v="8"/>
    <n v="7"/>
    <n v="0"/>
    <n v="3.8"/>
    <s v="No"/>
    <s v="Low"/>
  </r>
  <r>
    <s v="EMP0304"/>
    <x v="3"/>
    <n v="39"/>
    <n v="24176"/>
    <n v="14"/>
    <n v="3.8"/>
    <n v="32"/>
    <n v="25"/>
    <n v="6"/>
    <n v="2.7"/>
    <s v="No"/>
    <s v="Medium"/>
  </r>
  <r>
    <s v="EMP0305"/>
    <x v="4"/>
    <n v="31"/>
    <n v="21094"/>
    <n v="12"/>
    <n v="2.8"/>
    <n v="34"/>
    <n v="22"/>
    <n v="0"/>
    <n v="3.1"/>
    <s v="Yes"/>
    <s v="High"/>
  </r>
  <r>
    <s v="EMP0306"/>
    <x v="2"/>
    <n v="59"/>
    <n v="26682"/>
    <n v="6"/>
    <n v="2.2999999999999998"/>
    <n v="6"/>
    <n v="24"/>
    <n v="0"/>
    <n v="2.4"/>
    <s v="Yes"/>
    <s v="High"/>
  </r>
  <r>
    <s v="EMP0307"/>
    <x v="4"/>
    <n v="55"/>
    <n v="15759"/>
    <n v="10"/>
    <n v="4.4000000000000004"/>
    <n v="4"/>
    <n v="2"/>
    <n v="0"/>
    <n v="4.5"/>
    <s v="No"/>
    <s v="Low"/>
  </r>
  <r>
    <s v="EMP0308"/>
    <x v="4"/>
    <n v="27"/>
    <n v="20276"/>
    <n v="9"/>
    <n v="2.2000000000000002"/>
    <n v="36"/>
    <n v="4"/>
    <n v="8"/>
    <n v="2.7"/>
    <s v="Yes"/>
    <s v="High"/>
  </r>
  <r>
    <s v="EMP0309"/>
    <x v="1"/>
    <n v="37"/>
    <n v="27581"/>
    <n v="6"/>
    <n v="4.0999999999999996"/>
    <n v="48"/>
    <n v="4"/>
    <n v="0"/>
    <n v="2.2000000000000002"/>
    <s v="No"/>
    <s v="Medium"/>
  </r>
  <r>
    <s v="EMP0310"/>
    <x v="5"/>
    <n v="27"/>
    <n v="25545"/>
    <n v="3"/>
    <n v="3.6"/>
    <n v="13"/>
    <n v="34"/>
    <n v="1"/>
    <n v="3.7"/>
    <s v="No"/>
    <s v="Medium"/>
  </r>
  <r>
    <s v="EMP0311"/>
    <x v="5"/>
    <n v="45"/>
    <n v="27720"/>
    <n v="1"/>
    <n v="2.6"/>
    <n v="34"/>
    <n v="8"/>
    <n v="17"/>
    <n v="3.6"/>
    <s v="No"/>
    <s v="Medium"/>
  </r>
  <r>
    <s v="EMP0312"/>
    <x v="4"/>
    <n v="29"/>
    <n v="13467"/>
    <n v="12"/>
    <n v="3.1"/>
    <n v="49"/>
    <n v="16"/>
    <n v="7"/>
    <n v="3.8"/>
    <s v="No"/>
    <s v="Low"/>
  </r>
  <r>
    <s v="EMP0313"/>
    <x v="5"/>
    <n v="35"/>
    <n v="18903"/>
    <n v="3"/>
    <n v="3.6"/>
    <n v="45"/>
    <n v="35"/>
    <n v="8"/>
    <n v="2.5"/>
    <s v="No"/>
    <s v="Medium"/>
  </r>
  <r>
    <s v="EMP0314"/>
    <x v="5"/>
    <n v="34"/>
    <n v="26660"/>
    <n v="6"/>
    <n v="3.4"/>
    <n v="14"/>
    <n v="9"/>
    <n v="11"/>
    <n v="4.5"/>
    <s v="Yes"/>
    <s v="High"/>
  </r>
  <r>
    <s v="EMP0315"/>
    <x v="0"/>
    <n v="32"/>
    <n v="18533"/>
    <n v="14"/>
    <n v="3"/>
    <n v="5"/>
    <n v="32"/>
    <n v="7"/>
    <n v="4.0999999999999996"/>
    <s v="No"/>
    <s v="Medium"/>
  </r>
  <r>
    <s v="EMP0316"/>
    <x v="4"/>
    <n v="51"/>
    <n v="16841"/>
    <n v="6"/>
    <n v="2.5"/>
    <n v="27"/>
    <n v="24"/>
    <n v="7"/>
    <n v="2.7"/>
    <s v="No"/>
    <s v="Medium"/>
  </r>
  <r>
    <s v="EMP0317"/>
    <x v="0"/>
    <n v="56"/>
    <n v="28463"/>
    <n v="1"/>
    <n v="3.5"/>
    <n v="39"/>
    <n v="8"/>
    <n v="3"/>
    <n v="3.7"/>
    <s v="No"/>
    <s v="Medium"/>
  </r>
  <r>
    <s v="EMP0318"/>
    <x v="5"/>
    <n v="41"/>
    <n v="27014"/>
    <n v="14"/>
    <n v="4"/>
    <n v="29"/>
    <n v="11"/>
    <n v="13"/>
    <n v="3.4"/>
    <s v="No"/>
    <s v="Low"/>
  </r>
  <r>
    <s v="EMP0319"/>
    <x v="1"/>
    <n v="58"/>
    <n v="21442"/>
    <n v="1"/>
    <n v="1.4"/>
    <n v="46"/>
    <n v="24"/>
    <n v="10"/>
    <n v="3.1"/>
    <s v="Yes"/>
    <s v="High"/>
  </r>
  <r>
    <s v="EMP0320"/>
    <x v="4"/>
    <n v="46"/>
    <n v="23535"/>
    <n v="7"/>
    <n v="3.6"/>
    <n v="22"/>
    <n v="0"/>
    <n v="8"/>
    <n v="2.2999999999999998"/>
    <s v="Yes"/>
    <s v="High"/>
  </r>
  <r>
    <s v="EMP0321"/>
    <x v="5"/>
    <n v="58"/>
    <n v="23565"/>
    <n v="0"/>
    <n v="2.7"/>
    <n v="16"/>
    <n v="27"/>
    <n v="10"/>
    <n v="2.9"/>
    <s v="No"/>
    <s v="Medium"/>
  </r>
  <r>
    <s v="EMP0322"/>
    <x v="3"/>
    <n v="55"/>
    <n v="22943"/>
    <n v="7"/>
    <n v="3.7"/>
    <n v="38"/>
    <n v="27"/>
    <n v="1"/>
    <n v="3"/>
    <s v="No"/>
    <s v="Medium"/>
  </r>
  <r>
    <s v="EMP0323"/>
    <x v="2"/>
    <n v="51"/>
    <n v="31338"/>
    <n v="11"/>
    <n v="4.8"/>
    <n v="31"/>
    <n v="11"/>
    <n v="7"/>
    <n v="2.2999999999999998"/>
    <s v="No"/>
    <s v="Medium"/>
  </r>
  <r>
    <s v="EMP0324"/>
    <x v="3"/>
    <n v="22"/>
    <n v="14425"/>
    <n v="11"/>
    <n v="4.5999999999999996"/>
    <n v="33"/>
    <n v="33"/>
    <n v="0"/>
    <n v="2.6"/>
    <s v="Yes"/>
    <s v="High"/>
  </r>
  <r>
    <s v="EMP0325"/>
    <x v="2"/>
    <n v="40"/>
    <n v="16577"/>
    <n v="11"/>
    <n v="5"/>
    <n v="33"/>
    <n v="23"/>
    <n v="2"/>
    <n v="3"/>
    <s v="No"/>
    <s v="Medium"/>
  </r>
  <r>
    <s v="EMP0326"/>
    <x v="3"/>
    <n v="52"/>
    <n v="23993"/>
    <n v="15"/>
    <n v="4"/>
    <n v="22"/>
    <n v="24"/>
    <n v="0"/>
    <n v="2.5"/>
    <s v="Yes"/>
    <s v="High"/>
  </r>
  <r>
    <s v="EMP0327"/>
    <x v="4"/>
    <n v="56"/>
    <n v="21702"/>
    <n v="12"/>
    <n v="4.2"/>
    <n v="15"/>
    <n v="10"/>
    <n v="4"/>
    <n v="4.8"/>
    <s v="No"/>
    <s v="Low"/>
  </r>
  <r>
    <s v="EMP0328"/>
    <x v="5"/>
    <n v="25"/>
    <n v="26983"/>
    <n v="8"/>
    <n v="4.9000000000000004"/>
    <n v="12"/>
    <n v="6"/>
    <n v="8"/>
    <n v="2.7"/>
    <s v="No"/>
    <s v="Medium"/>
  </r>
  <r>
    <s v="EMP0329"/>
    <x v="3"/>
    <n v="23"/>
    <n v="15071"/>
    <n v="4"/>
    <n v="4.5"/>
    <n v="35"/>
    <n v="0"/>
    <n v="12"/>
    <n v="3.4"/>
    <s v="No"/>
    <s v="Low"/>
  </r>
  <r>
    <s v="EMP0330"/>
    <x v="2"/>
    <n v="46"/>
    <n v="21194"/>
    <n v="14"/>
    <n v="3.3"/>
    <n v="14"/>
    <n v="13"/>
    <n v="8"/>
    <n v="2.8"/>
    <s v="No"/>
    <s v="Medium"/>
  </r>
  <r>
    <s v="EMP0331"/>
    <x v="0"/>
    <n v="53"/>
    <n v="36349"/>
    <n v="0"/>
    <n v="4.3"/>
    <n v="45"/>
    <n v="33"/>
    <n v="8"/>
    <n v="4"/>
    <s v="No"/>
    <s v="Medium"/>
  </r>
  <r>
    <s v="EMP0332"/>
    <x v="0"/>
    <n v="26"/>
    <n v="31752"/>
    <n v="0"/>
    <n v="4.5"/>
    <n v="34"/>
    <n v="4"/>
    <n v="9"/>
    <n v="3.7"/>
    <s v="No"/>
    <s v="Medium"/>
  </r>
  <r>
    <s v="EMP0333"/>
    <x v="4"/>
    <n v="24"/>
    <n v="22001"/>
    <n v="5"/>
    <n v="4.3"/>
    <n v="10"/>
    <n v="5"/>
    <n v="0"/>
    <n v="3"/>
    <s v="No"/>
    <s v="Low"/>
  </r>
  <r>
    <s v="EMP0334"/>
    <x v="2"/>
    <n v="44"/>
    <n v="21451"/>
    <n v="6"/>
    <n v="4.2"/>
    <n v="6"/>
    <n v="2"/>
    <n v="0"/>
    <n v="3.8"/>
    <s v="No"/>
    <s v="Low"/>
  </r>
  <r>
    <s v="EMP0335"/>
    <x v="4"/>
    <n v="21"/>
    <n v="22709"/>
    <n v="2"/>
    <n v="4.0999999999999996"/>
    <n v="23"/>
    <n v="35"/>
    <n v="2"/>
    <n v="3.1"/>
    <s v="No"/>
    <s v="Medium"/>
  </r>
  <r>
    <s v="EMP0336"/>
    <x v="4"/>
    <n v="30"/>
    <n v="21389"/>
    <n v="6"/>
    <n v="2.2000000000000002"/>
    <n v="30"/>
    <n v="22"/>
    <n v="8"/>
    <n v="3.9"/>
    <s v="No"/>
    <s v="Medium"/>
  </r>
  <r>
    <s v="EMP0337"/>
    <x v="2"/>
    <n v="47"/>
    <n v="16886"/>
    <n v="9"/>
    <n v="3.5"/>
    <n v="50"/>
    <n v="4"/>
    <n v="4"/>
    <n v="4.2"/>
    <s v="No"/>
    <s v="Low"/>
  </r>
  <r>
    <s v="EMP0338"/>
    <x v="5"/>
    <n v="60"/>
    <n v="22672"/>
    <n v="6"/>
    <n v="3.6"/>
    <n v="50"/>
    <n v="23"/>
    <n v="1"/>
    <n v="3.8"/>
    <s v="No"/>
    <s v="Medium"/>
  </r>
  <r>
    <s v="EMP0339"/>
    <x v="0"/>
    <n v="42"/>
    <n v="31784"/>
    <n v="13"/>
    <n v="4.2"/>
    <n v="16"/>
    <n v="35"/>
    <n v="7"/>
    <n v="3.7"/>
    <s v="No"/>
    <s v="Medium"/>
  </r>
  <r>
    <s v="EMP0340"/>
    <x v="1"/>
    <n v="55"/>
    <n v="36929"/>
    <n v="7"/>
    <n v="4.5999999999999996"/>
    <n v="28"/>
    <n v="19"/>
    <n v="4"/>
    <n v="3.7"/>
    <s v="Yes"/>
    <s v="High"/>
  </r>
  <r>
    <s v="EMP0341"/>
    <x v="1"/>
    <n v="24"/>
    <n v="28066"/>
    <n v="11"/>
    <n v="2.7"/>
    <n v="9"/>
    <n v="23"/>
    <n v="7"/>
    <n v="3.9"/>
    <s v="No"/>
    <s v="Medium"/>
  </r>
  <r>
    <s v="EMP0342"/>
    <x v="4"/>
    <n v="21"/>
    <n v="17317"/>
    <n v="3"/>
    <n v="3.3"/>
    <n v="6"/>
    <n v="31"/>
    <n v="4"/>
    <n v="2.8"/>
    <s v="Yes"/>
    <s v="High"/>
  </r>
  <r>
    <s v="EMP0343"/>
    <x v="5"/>
    <n v="27"/>
    <n v="22580"/>
    <n v="12"/>
    <n v="5"/>
    <n v="5"/>
    <n v="9"/>
    <n v="13"/>
    <n v="3"/>
    <s v="No"/>
    <s v="Low"/>
  </r>
  <r>
    <s v="EMP0344"/>
    <x v="4"/>
    <n v="45"/>
    <n v="12389"/>
    <n v="12"/>
    <n v="4"/>
    <n v="49"/>
    <n v="23"/>
    <n v="9"/>
    <n v="3"/>
    <s v="No"/>
    <s v="Medium"/>
  </r>
  <r>
    <s v="EMP0345"/>
    <x v="1"/>
    <n v="26"/>
    <n v="21709"/>
    <n v="14"/>
    <n v="4.5"/>
    <n v="40"/>
    <n v="22"/>
    <n v="2"/>
    <n v="3.6"/>
    <s v="No"/>
    <s v="Medium"/>
  </r>
  <r>
    <s v="EMP0346"/>
    <x v="3"/>
    <n v="24"/>
    <n v="18525"/>
    <n v="5"/>
    <n v="3.2"/>
    <n v="26"/>
    <n v="16"/>
    <n v="0"/>
    <n v="4.0999999999999996"/>
    <s v="No"/>
    <s v="Low"/>
  </r>
  <r>
    <s v="EMP0347"/>
    <x v="3"/>
    <n v="39"/>
    <n v="25533"/>
    <n v="6"/>
    <n v="3.9"/>
    <n v="39"/>
    <n v="3"/>
    <n v="2"/>
    <n v="4.7"/>
    <s v="No"/>
    <s v="Low"/>
  </r>
  <r>
    <s v="EMP0348"/>
    <x v="1"/>
    <n v="22"/>
    <n v="21154"/>
    <n v="9"/>
    <n v="2.9"/>
    <n v="47"/>
    <n v="13"/>
    <n v="13"/>
    <n v="3.1"/>
    <s v="Yes"/>
    <s v="High"/>
  </r>
  <r>
    <s v="EMP0349"/>
    <x v="4"/>
    <n v="58"/>
    <n v="12514"/>
    <n v="6"/>
    <n v="2.5"/>
    <n v="48"/>
    <n v="18"/>
    <n v="8"/>
    <n v="4.4000000000000004"/>
    <s v="No"/>
    <s v="Low"/>
  </r>
  <r>
    <s v="EMP0350"/>
    <x v="2"/>
    <n v="35"/>
    <n v="25036"/>
    <n v="7"/>
    <n v="3.8"/>
    <n v="27"/>
    <n v="21"/>
    <n v="8"/>
    <n v="4.0999999999999996"/>
    <s v="Yes"/>
    <s v="High"/>
  </r>
  <r>
    <s v="EMP0351"/>
    <x v="2"/>
    <n v="47"/>
    <n v="29954"/>
    <n v="12"/>
    <n v="1.7"/>
    <n v="39"/>
    <n v="3"/>
    <n v="2"/>
    <n v="4.2"/>
    <s v="No"/>
    <s v="Low"/>
  </r>
  <r>
    <s v="EMP0352"/>
    <x v="1"/>
    <n v="23"/>
    <n v="35415"/>
    <n v="4"/>
    <n v="3.8"/>
    <n v="49"/>
    <n v="13"/>
    <n v="3"/>
    <n v="2.4"/>
    <s v="No"/>
    <s v="Medium"/>
  </r>
  <r>
    <s v="EMP0353"/>
    <x v="5"/>
    <n v="44"/>
    <n v="23040"/>
    <n v="12"/>
    <n v="3.5"/>
    <n v="25"/>
    <n v="20"/>
    <n v="0"/>
    <n v="3.9"/>
    <s v="No"/>
    <s v="Low"/>
  </r>
  <r>
    <s v="EMP0354"/>
    <x v="2"/>
    <n v="25"/>
    <n v="30162"/>
    <n v="12"/>
    <n v="3.4"/>
    <n v="15"/>
    <n v="18"/>
    <n v="10"/>
    <n v="4.0999999999999996"/>
    <s v="No"/>
    <s v="Low"/>
  </r>
  <r>
    <s v="EMP0355"/>
    <x v="2"/>
    <n v="32"/>
    <n v="18897"/>
    <n v="2"/>
    <n v="4.8"/>
    <n v="40"/>
    <n v="2"/>
    <n v="7"/>
    <n v="2.2000000000000002"/>
    <s v="No"/>
    <s v="Medium"/>
  </r>
  <r>
    <s v="EMP0356"/>
    <x v="2"/>
    <n v="43"/>
    <n v="22004"/>
    <n v="8"/>
    <n v="2.1"/>
    <n v="19"/>
    <n v="0"/>
    <n v="11"/>
    <n v="5"/>
    <s v="No"/>
    <s v="Low"/>
  </r>
  <r>
    <s v="EMP0357"/>
    <x v="3"/>
    <n v="49"/>
    <n v="17613"/>
    <n v="10"/>
    <n v="5"/>
    <n v="33"/>
    <n v="21"/>
    <n v="4"/>
    <n v="3.5"/>
    <s v="No"/>
    <s v="Medium"/>
  </r>
  <r>
    <s v="EMP0358"/>
    <x v="5"/>
    <n v="49"/>
    <n v="17801"/>
    <n v="13"/>
    <n v="1"/>
    <n v="23"/>
    <n v="10"/>
    <n v="4"/>
    <n v="3.8"/>
    <s v="No"/>
    <s v="Low"/>
  </r>
  <r>
    <s v="EMP0359"/>
    <x v="3"/>
    <n v="32"/>
    <n v="20496"/>
    <n v="5"/>
    <n v="4.2"/>
    <n v="33"/>
    <n v="1"/>
    <n v="8"/>
    <n v="3.2"/>
    <s v="No"/>
    <s v="Low"/>
  </r>
  <r>
    <s v="EMP0360"/>
    <x v="2"/>
    <n v="26"/>
    <n v="25280"/>
    <n v="0"/>
    <n v="3"/>
    <n v="15"/>
    <n v="12"/>
    <n v="0"/>
    <n v="4.3"/>
    <s v="Yes"/>
    <s v="High"/>
  </r>
  <r>
    <s v="EMP0361"/>
    <x v="5"/>
    <n v="31"/>
    <n v="17039"/>
    <n v="15"/>
    <n v="3.2"/>
    <n v="40"/>
    <n v="6"/>
    <n v="0"/>
    <n v="2"/>
    <s v="No"/>
    <s v="Medium"/>
  </r>
  <r>
    <s v="EMP0362"/>
    <x v="0"/>
    <n v="55"/>
    <n v="28889"/>
    <n v="10"/>
    <n v="4"/>
    <n v="40"/>
    <n v="29"/>
    <n v="4"/>
    <n v="2.5"/>
    <s v="No"/>
    <s v="Medium"/>
  </r>
  <r>
    <s v="EMP0363"/>
    <x v="2"/>
    <n v="45"/>
    <n v="30933"/>
    <n v="7"/>
    <n v="2"/>
    <n v="48"/>
    <n v="13"/>
    <n v="7"/>
    <n v="5"/>
    <s v="No"/>
    <s v="Low"/>
  </r>
  <r>
    <s v="EMP0364"/>
    <x v="0"/>
    <n v="53"/>
    <n v="23648"/>
    <n v="1"/>
    <n v="4.3"/>
    <n v="46"/>
    <n v="6"/>
    <n v="8"/>
    <n v="3.4"/>
    <s v="No"/>
    <s v="Medium"/>
  </r>
  <r>
    <s v="EMP0365"/>
    <x v="3"/>
    <n v="31"/>
    <n v="22030"/>
    <n v="9"/>
    <n v="2.2999999999999998"/>
    <n v="18"/>
    <n v="8"/>
    <n v="5"/>
    <n v="3.1"/>
    <s v="No"/>
    <s v="Low"/>
  </r>
  <r>
    <s v="EMP0366"/>
    <x v="1"/>
    <n v="38"/>
    <n v="25927"/>
    <n v="3"/>
    <n v="3"/>
    <n v="8"/>
    <n v="26"/>
    <n v="16"/>
    <n v="3"/>
    <s v="No"/>
    <s v="Medium"/>
  </r>
  <r>
    <s v="EMP0367"/>
    <x v="4"/>
    <n v="33"/>
    <n v="12213"/>
    <n v="4"/>
    <n v="3.9"/>
    <n v="7"/>
    <n v="17"/>
    <n v="7"/>
    <n v="4.7"/>
    <s v="No"/>
    <s v="Low"/>
  </r>
  <r>
    <s v="EMP0368"/>
    <x v="0"/>
    <n v="29"/>
    <n v="34319"/>
    <n v="3"/>
    <n v="2.9"/>
    <n v="19"/>
    <n v="23"/>
    <n v="6"/>
    <n v="3.1"/>
    <s v="No"/>
    <s v="Medium"/>
  </r>
  <r>
    <s v="EMP0369"/>
    <x v="0"/>
    <n v="53"/>
    <n v="31694"/>
    <n v="8"/>
    <n v="3.4"/>
    <n v="7"/>
    <n v="22"/>
    <n v="6"/>
    <n v="3.1"/>
    <s v="No"/>
    <s v="Medium"/>
  </r>
  <r>
    <s v="EMP0370"/>
    <x v="3"/>
    <n v="50"/>
    <n v="27796"/>
    <n v="7"/>
    <n v="2.4"/>
    <n v="12"/>
    <n v="4"/>
    <n v="4"/>
    <n v="2.2000000000000002"/>
    <s v="No"/>
    <s v="Medium"/>
  </r>
  <r>
    <s v="EMP0371"/>
    <x v="2"/>
    <n v="47"/>
    <n v="16425"/>
    <n v="1"/>
    <n v="3.7"/>
    <n v="37"/>
    <n v="13"/>
    <n v="4"/>
    <n v="4.5999999999999996"/>
    <s v="No"/>
    <s v="Medium"/>
  </r>
  <r>
    <s v="EMP0372"/>
    <x v="4"/>
    <n v="55"/>
    <n v="14471"/>
    <n v="2"/>
    <n v="4.4000000000000004"/>
    <n v="16"/>
    <n v="7"/>
    <n v="5"/>
    <n v="3.5"/>
    <s v="Yes"/>
    <s v="High"/>
  </r>
  <r>
    <s v="EMP0373"/>
    <x v="3"/>
    <n v="56"/>
    <n v="20544"/>
    <n v="12"/>
    <n v="3.5"/>
    <n v="13"/>
    <n v="5"/>
    <n v="10"/>
    <n v="1.9"/>
    <s v="No"/>
    <s v="Medium"/>
  </r>
  <r>
    <s v="EMP0374"/>
    <x v="2"/>
    <n v="40"/>
    <n v="23402"/>
    <n v="13"/>
    <n v="2.8"/>
    <n v="29"/>
    <n v="12"/>
    <n v="4"/>
    <n v="2.2999999999999998"/>
    <s v="Yes"/>
    <s v="High"/>
  </r>
  <r>
    <s v="EMP0375"/>
    <x v="0"/>
    <n v="57"/>
    <n v="29265"/>
    <n v="12"/>
    <n v="3.7"/>
    <n v="14"/>
    <n v="24"/>
    <n v="8"/>
    <n v="4.5999999999999996"/>
    <s v="Yes"/>
    <s v="High"/>
  </r>
  <r>
    <s v="EMP0376"/>
    <x v="1"/>
    <n v="30"/>
    <n v="32465"/>
    <n v="10"/>
    <n v="4.5999999999999996"/>
    <n v="21"/>
    <n v="9"/>
    <n v="10"/>
    <n v="4"/>
    <s v="No"/>
    <s v="Low"/>
  </r>
  <r>
    <s v="EMP0377"/>
    <x v="2"/>
    <n v="55"/>
    <n v="30154"/>
    <n v="4"/>
    <n v="2.6"/>
    <n v="49"/>
    <n v="5"/>
    <n v="1"/>
    <n v="2.8"/>
    <s v="No"/>
    <s v="Medium"/>
  </r>
  <r>
    <s v="EMP0378"/>
    <x v="0"/>
    <n v="33"/>
    <n v="25845"/>
    <n v="5"/>
    <n v="2.5"/>
    <n v="27"/>
    <n v="3"/>
    <n v="4"/>
    <n v="3.9"/>
    <s v="No"/>
    <s v="Low"/>
  </r>
  <r>
    <s v="EMP0379"/>
    <x v="0"/>
    <n v="23"/>
    <n v="20541"/>
    <n v="15"/>
    <n v="2.8"/>
    <n v="50"/>
    <n v="17"/>
    <n v="8"/>
    <n v="2.7"/>
    <s v="No"/>
    <s v="Medium"/>
  </r>
  <r>
    <s v="EMP0380"/>
    <x v="4"/>
    <n v="57"/>
    <n v="18576"/>
    <n v="8"/>
    <n v="4.0999999999999996"/>
    <n v="50"/>
    <n v="21"/>
    <n v="10"/>
    <n v="3.1"/>
    <s v="No"/>
    <s v="Medium"/>
  </r>
  <r>
    <s v="EMP0381"/>
    <x v="1"/>
    <n v="57"/>
    <n v="31878"/>
    <n v="12"/>
    <n v="3.7"/>
    <n v="17"/>
    <n v="17"/>
    <n v="6"/>
    <n v="3.8"/>
    <s v="No"/>
    <s v="Low"/>
  </r>
  <r>
    <s v="EMP0382"/>
    <x v="2"/>
    <n v="55"/>
    <n v="14259"/>
    <n v="2"/>
    <n v="3.8"/>
    <n v="25"/>
    <n v="11"/>
    <n v="6"/>
    <n v="2.2000000000000002"/>
    <s v="No"/>
    <s v="Medium"/>
  </r>
  <r>
    <s v="EMP0383"/>
    <x v="1"/>
    <n v="57"/>
    <n v="28898"/>
    <n v="3"/>
    <n v="3.8"/>
    <n v="33"/>
    <n v="17"/>
    <n v="4"/>
    <n v="4"/>
    <s v="No"/>
    <s v="Low"/>
  </r>
  <r>
    <s v="EMP0384"/>
    <x v="2"/>
    <n v="38"/>
    <n v="19950"/>
    <n v="8"/>
    <n v="4"/>
    <n v="45"/>
    <n v="34"/>
    <n v="3"/>
    <n v="3.1"/>
    <s v="No"/>
    <s v="Medium"/>
  </r>
  <r>
    <s v="EMP0385"/>
    <x v="3"/>
    <n v="28"/>
    <n v="16497"/>
    <n v="14"/>
    <n v="2.9"/>
    <n v="33"/>
    <n v="14"/>
    <n v="5"/>
    <n v="5"/>
    <s v="No"/>
    <s v="Low"/>
  </r>
  <r>
    <s v="EMP0386"/>
    <x v="2"/>
    <n v="55"/>
    <n v="17997"/>
    <n v="4"/>
    <n v="4.5"/>
    <n v="11"/>
    <n v="5"/>
    <n v="3"/>
    <n v="4.2"/>
    <s v="No"/>
    <s v="Low"/>
  </r>
  <r>
    <s v="EMP0387"/>
    <x v="5"/>
    <n v="38"/>
    <n v="28363"/>
    <n v="8"/>
    <n v="3.4"/>
    <n v="36"/>
    <n v="29"/>
    <n v="4"/>
    <n v="3.3"/>
    <s v="No"/>
    <s v="Medium"/>
  </r>
  <r>
    <s v="EMP0388"/>
    <x v="4"/>
    <n v="52"/>
    <n v="14680"/>
    <n v="0"/>
    <n v="4.9000000000000004"/>
    <n v="48"/>
    <n v="33"/>
    <n v="3"/>
    <n v="3.8"/>
    <s v="No"/>
    <s v="Medium"/>
  </r>
  <r>
    <s v="EMP0389"/>
    <x v="0"/>
    <n v="35"/>
    <n v="33165"/>
    <n v="12"/>
    <n v="3.1"/>
    <n v="16"/>
    <n v="29"/>
    <n v="2"/>
    <n v="4.0999999999999996"/>
    <s v="Yes"/>
    <s v="High"/>
  </r>
  <r>
    <s v="EMP0390"/>
    <x v="2"/>
    <n v="43"/>
    <n v="18997"/>
    <n v="10"/>
    <n v="3.4"/>
    <n v="45"/>
    <n v="33"/>
    <n v="5"/>
    <n v="3.2"/>
    <s v="Yes"/>
    <s v="High"/>
  </r>
  <r>
    <s v="EMP0391"/>
    <x v="0"/>
    <n v="51"/>
    <n v="41903"/>
    <n v="10"/>
    <n v="1.9"/>
    <n v="16"/>
    <n v="7"/>
    <n v="8"/>
    <n v="2.2999999999999998"/>
    <s v="No"/>
    <s v="Medium"/>
  </r>
  <r>
    <s v="EMP0392"/>
    <x v="5"/>
    <n v="28"/>
    <n v="25281"/>
    <n v="2"/>
    <n v="3.9"/>
    <n v="35"/>
    <n v="10"/>
    <n v="8"/>
    <n v="3.1"/>
    <s v="No"/>
    <s v="Low"/>
  </r>
  <r>
    <s v="EMP0393"/>
    <x v="5"/>
    <n v="43"/>
    <n v="27706"/>
    <n v="5"/>
    <n v="3.6"/>
    <n v="45"/>
    <n v="11"/>
    <n v="5"/>
    <n v="2.2999999999999998"/>
    <s v="No"/>
    <s v="Medium"/>
  </r>
  <r>
    <s v="EMP0394"/>
    <x v="0"/>
    <n v="43"/>
    <n v="41564"/>
    <n v="6"/>
    <n v="2.9"/>
    <n v="19"/>
    <n v="9"/>
    <n v="9"/>
    <n v="4.5"/>
    <s v="No"/>
    <s v="Low"/>
  </r>
  <r>
    <s v="EMP0395"/>
    <x v="3"/>
    <n v="35"/>
    <n v="13023"/>
    <n v="15"/>
    <n v="2.9"/>
    <n v="18"/>
    <n v="22"/>
    <n v="0"/>
    <n v="3.5"/>
    <s v="No"/>
    <s v="Medium"/>
  </r>
  <r>
    <s v="EMP0396"/>
    <x v="5"/>
    <n v="43"/>
    <n v="29866"/>
    <n v="14"/>
    <n v="4"/>
    <n v="6"/>
    <n v="32"/>
    <n v="8"/>
    <n v="4.5"/>
    <s v="No"/>
    <s v="Medium"/>
  </r>
  <r>
    <s v="EMP0397"/>
    <x v="2"/>
    <n v="53"/>
    <n v="19190"/>
    <n v="15"/>
    <n v="4"/>
    <n v="26"/>
    <n v="35"/>
    <n v="9"/>
    <n v="3.8"/>
    <s v="No"/>
    <s v="Medium"/>
  </r>
  <r>
    <s v="EMP0398"/>
    <x v="4"/>
    <n v="32"/>
    <n v="16294"/>
    <n v="8"/>
    <n v="5"/>
    <n v="29"/>
    <n v="30"/>
    <n v="7"/>
    <n v="4.3"/>
    <s v="No"/>
    <s v="Medium"/>
  </r>
  <r>
    <s v="EMP0399"/>
    <x v="0"/>
    <n v="34"/>
    <n v="40637"/>
    <n v="0"/>
    <n v="2.5"/>
    <n v="22"/>
    <n v="16"/>
    <n v="1"/>
    <n v="4.2"/>
    <s v="No"/>
    <s v="Medium"/>
  </r>
  <r>
    <s v="EMP0400"/>
    <x v="4"/>
    <n v="57"/>
    <n v="17795"/>
    <n v="12"/>
    <n v="3.4"/>
    <n v="7"/>
    <n v="24"/>
    <n v="9"/>
    <n v="5"/>
    <s v="No"/>
    <s v="Medium"/>
  </r>
  <r>
    <s v="EMP0401"/>
    <x v="1"/>
    <n v="34"/>
    <n v="20615"/>
    <n v="15"/>
    <n v="3.8"/>
    <n v="45"/>
    <n v="7"/>
    <n v="4"/>
    <n v="2.7"/>
    <s v="No"/>
    <s v="Medium"/>
  </r>
  <r>
    <s v="EMP0402"/>
    <x v="3"/>
    <n v="38"/>
    <n v="20955"/>
    <n v="7"/>
    <n v="3.3"/>
    <n v="39"/>
    <n v="19"/>
    <n v="7"/>
    <n v="2.1"/>
    <s v="No"/>
    <s v="Medium"/>
  </r>
  <r>
    <s v="EMP0403"/>
    <x v="2"/>
    <n v="25"/>
    <n v="21200"/>
    <n v="9"/>
    <n v="3.1"/>
    <n v="50"/>
    <n v="30"/>
    <n v="4"/>
    <n v="2.9"/>
    <s v="No"/>
    <s v="Medium"/>
  </r>
  <r>
    <s v="EMP0404"/>
    <x v="1"/>
    <n v="51"/>
    <n v="29434"/>
    <n v="5"/>
    <n v="2.7"/>
    <n v="44"/>
    <n v="4"/>
    <n v="3"/>
    <n v="4.0999999999999996"/>
    <s v="No"/>
    <s v="Low"/>
  </r>
  <r>
    <s v="EMP0405"/>
    <x v="2"/>
    <n v="25"/>
    <n v="25213"/>
    <n v="2"/>
    <n v="2.7"/>
    <n v="17"/>
    <n v="20"/>
    <n v="4"/>
    <n v="2.4"/>
    <s v="No"/>
    <s v="Medium"/>
  </r>
  <r>
    <s v="EMP0406"/>
    <x v="2"/>
    <n v="51"/>
    <n v="14017"/>
    <n v="5"/>
    <n v="3.7"/>
    <n v="46"/>
    <n v="0"/>
    <n v="13"/>
    <n v="4.2"/>
    <s v="No"/>
    <s v="Low"/>
  </r>
  <r>
    <s v="EMP0407"/>
    <x v="0"/>
    <n v="26"/>
    <n v="28075"/>
    <n v="13"/>
    <n v="4.3"/>
    <n v="33"/>
    <n v="34"/>
    <n v="3"/>
    <n v="2.5"/>
    <s v="Yes"/>
    <s v="High"/>
  </r>
  <r>
    <s v="EMP0408"/>
    <x v="5"/>
    <n v="51"/>
    <n v="23037"/>
    <n v="7"/>
    <n v="3"/>
    <n v="9"/>
    <n v="11"/>
    <n v="10"/>
    <n v="4.4000000000000004"/>
    <s v="No"/>
    <s v="Low"/>
  </r>
  <r>
    <s v="EMP0409"/>
    <x v="2"/>
    <n v="50"/>
    <n v="25112"/>
    <n v="15"/>
    <n v="2.9"/>
    <n v="19"/>
    <n v="13"/>
    <n v="3"/>
    <n v="4.7"/>
    <s v="No"/>
    <s v="Low"/>
  </r>
  <r>
    <s v="EMP0410"/>
    <x v="4"/>
    <n v="40"/>
    <n v="18262"/>
    <n v="10"/>
    <n v="3"/>
    <n v="23"/>
    <n v="12"/>
    <n v="11"/>
    <n v="3.6"/>
    <s v="No"/>
    <s v="Low"/>
  </r>
  <r>
    <s v="EMP0411"/>
    <x v="5"/>
    <n v="42"/>
    <n v="15748"/>
    <n v="3"/>
    <n v="2.8"/>
    <n v="5"/>
    <n v="22"/>
    <n v="4"/>
    <n v="2.5"/>
    <s v="No"/>
    <s v="Medium"/>
  </r>
  <r>
    <s v="EMP0412"/>
    <x v="5"/>
    <n v="50"/>
    <n v="15818"/>
    <n v="4"/>
    <n v="3.5"/>
    <n v="30"/>
    <n v="35"/>
    <n v="3"/>
    <n v="3.6"/>
    <s v="No"/>
    <s v="Medium"/>
  </r>
  <r>
    <s v="EMP0413"/>
    <x v="3"/>
    <n v="52"/>
    <n v="20337"/>
    <n v="9"/>
    <n v="3.7"/>
    <n v="16"/>
    <n v="24"/>
    <n v="5"/>
    <n v="4.0999999999999996"/>
    <s v="No"/>
    <s v="Medium"/>
  </r>
  <r>
    <s v="EMP0414"/>
    <x v="1"/>
    <n v="42"/>
    <n v="32326"/>
    <n v="7"/>
    <n v="2.9"/>
    <n v="34"/>
    <n v="12"/>
    <n v="12"/>
    <n v="3.7"/>
    <s v="No"/>
    <s v="Low"/>
  </r>
  <r>
    <s v="EMP0415"/>
    <x v="5"/>
    <n v="48"/>
    <n v="16800"/>
    <n v="11"/>
    <n v="4.2"/>
    <n v="18"/>
    <n v="20"/>
    <n v="11"/>
    <n v="3.8"/>
    <s v="No"/>
    <s v="Low"/>
  </r>
  <r>
    <s v="EMP0416"/>
    <x v="4"/>
    <n v="21"/>
    <n v="20667"/>
    <n v="5"/>
    <n v="4.5999999999999996"/>
    <n v="33"/>
    <n v="26"/>
    <n v="4"/>
    <n v="2.6"/>
    <s v="Yes"/>
    <s v="High"/>
  </r>
  <r>
    <s v="EMP0417"/>
    <x v="2"/>
    <n v="41"/>
    <n v="23502"/>
    <n v="12"/>
    <n v="3"/>
    <n v="46"/>
    <n v="27"/>
    <n v="9"/>
    <n v="3.4"/>
    <s v="No"/>
    <s v="Medium"/>
  </r>
  <r>
    <s v="EMP0418"/>
    <x v="1"/>
    <n v="35"/>
    <n v="27434"/>
    <n v="3"/>
    <n v="5"/>
    <n v="29"/>
    <n v="15"/>
    <n v="6"/>
    <n v="2.7"/>
    <s v="No"/>
    <s v="Medium"/>
  </r>
  <r>
    <s v="EMP0419"/>
    <x v="1"/>
    <n v="38"/>
    <n v="26419"/>
    <n v="13"/>
    <n v="3.3"/>
    <n v="47"/>
    <n v="35"/>
    <n v="11"/>
    <n v="3.7"/>
    <s v="No"/>
    <s v="Medium"/>
  </r>
  <r>
    <s v="EMP0420"/>
    <x v="5"/>
    <n v="47"/>
    <n v="18580"/>
    <n v="8"/>
    <n v="3.9"/>
    <n v="10"/>
    <n v="15"/>
    <n v="12"/>
    <n v="5"/>
    <s v="No"/>
    <s v="Low"/>
  </r>
  <r>
    <s v="EMP0421"/>
    <x v="5"/>
    <n v="49"/>
    <n v="29097"/>
    <n v="1"/>
    <n v="2.7"/>
    <n v="37"/>
    <n v="22"/>
    <n v="6"/>
    <n v="3.8"/>
    <s v="No"/>
    <s v="Medium"/>
  </r>
  <r>
    <s v="EMP0422"/>
    <x v="1"/>
    <n v="42"/>
    <n v="23322"/>
    <n v="1"/>
    <n v="4.5"/>
    <n v="19"/>
    <n v="0"/>
    <n v="9"/>
    <n v="3.6"/>
    <s v="No"/>
    <s v="Medium"/>
  </r>
  <r>
    <s v="EMP0423"/>
    <x v="1"/>
    <n v="45"/>
    <n v="26321"/>
    <n v="4"/>
    <n v="4.7"/>
    <n v="10"/>
    <n v="8"/>
    <n v="1"/>
    <n v="3.5"/>
    <s v="No"/>
    <s v="Low"/>
  </r>
  <r>
    <s v="EMP0424"/>
    <x v="1"/>
    <n v="46"/>
    <n v="31832"/>
    <n v="10"/>
    <n v="2.9"/>
    <n v="44"/>
    <n v="30"/>
    <n v="11"/>
    <n v="3.1"/>
    <s v="No"/>
    <s v="Medium"/>
  </r>
  <r>
    <s v="EMP0425"/>
    <x v="2"/>
    <n v="57"/>
    <n v="21156"/>
    <n v="9"/>
    <n v="3.9"/>
    <n v="29"/>
    <n v="24"/>
    <n v="12"/>
    <n v="3.5"/>
    <s v="No"/>
    <s v="Medium"/>
  </r>
  <r>
    <s v="EMP0426"/>
    <x v="5"/>
    <n v="44"/>
    <n v="18007"/>
    <n v="13"/>
    <n v="3.7"/>
    <n v="14"/>
    <n v="8"/>
    <n v="9"/>
    <n v="3.5"/>
    <s v="No"/>
    <s v="Low"/>
  </r>
  <r>
    <s v="EMP0427"/>
    <x v="1"/>
    <n v="32"/>
    <n v="25812"/>
    <n v="9"/>
    <n v="3.5"/>
    <n v="41"/>
    <n v="26"/>
    <n v="10"/>
    <n v="2"/>
    <s v="No"/>
    <s v="Medium"/>
  </r>
  <r>
    <s v="EMP0428"/>
    <x v="3"/>
    <n v="55"/>
    <n v="25967"/>
    <n v="10"/>
    <n v="3.4"/>
    <n v="49"/>
    <n v="9"/>
    <n v="3"/>
    <n v="3.1"/>
    <s v="No"/>
    <s v="Low"/>
  </r>
  <r>
    <s v="EMP0429"/>
    <x v="2"/>
    <n v="30"/>
    <n v="16938"/>
    <n v="2"/>
    <n v="2.9"/>
    <n v="6"/>
    <n v="19"/>
    <n v="7"/>
    <n v="3.6"/>
    <s v="No"/>
    <s v="Low"/>
  </r>
  <r>
    <s v="EMP0430"/>
    <x v="5"/>
    <n v="44"/>
    <n v="24160"/>
    <n v="8"/>
    <n v="4.0999999999999996"/>
    <n v="31"/>
    <n v="25"/>
    <n v="4"/>
    <n v="4.2"/>
    <s v="No"/>
    <s v="Medium"/>
  </r>
  <r>
    <s v="EMP0431"/>
    <x v="0"/>
    <n v="33"/>
    <n v="22373"/>
    <n v="0"/>
    <n v="3.7"/>
    <n v="29"/>
    <n v="6"/>
    <n v="8"/>
    <n v="3.8"/>
    <s v="No"/>
    <s v="Medium"/>
  </r>
  <r>
    <s v="EMP0432"/>
    <x v="0"/>
    <n v="33"/>
    <n v="31378"/>
    <n v="3"/>
    <n v="5"/>
    <n v="46"/>
    <n v="27"/>
    <n v="7"/>
    <n v="2.6"/>
    <s v="No"/>
    <s v="Medium"/>
  </r>
  <r>
    <s v="EMP0433"/>
    <x v="3"/>
    <n v="48"/>
    <n v="25302"/>
    <n v="7"/>
    <n v="3.6"/>
    <n v="21"/>
    <n v="23"/>
    <n v="5"/>
    <n v="3.5"/>
    <s v="No"/>
    <s v="Medium"/>
  </r>
  <r>
    <s v="EMP0434"/>
    <x v="0"/>
    <n v="58"/>
    <n v="33978"/>
    <n v="8"/>
    <n v="3.7"/>
    <n v="49"/>
    <n v="8"/>
    <n v="11"/>
    <n v="3.7"/>
    <s v="No"/>
    <s v="Low"/>
  </r>
  <r>
    <s v="EMP0435"/>
    <x v="5"/>
    <n v="22"/>
    <n v="25844"/>
    <n v="9"/>
    <n v="4.0999999999999996"/>
    <n v="32"/>
    <n v="26"/>
    <n v="7"/>
    <n v="4"/>
    <s v="No"/>
    <s v="Medium"/>
  </r>
  <r>
    <s v="EMP0436"/>
    <x v="3"/>
    <n v="27"/>
    <n v="18261"/>
    <n v="13"/>
    <n v="3.1"/>
    <n v="10"/>
    <n v="11"/>
    <n v="7"/>
    <n v="3.3"/>
    <s v="No"/>
    <s v="Low"/>
  </r>
  <r>
    <s v="EMP0437"/>
    <x v="5"/>
    <n v="35"/>
    <n v="26102"/>
    <n v="4"/>
    <n v="2.5"/>
    <n v="8"/>
    <n v="11"/>
    <n v="13"/>
    <n v="4.0999999999999996"/>
    <s v="No"/>
    <s v="Low"/>
  </r>
  <r>
    <s v="EMP0438"/>
    <x v="5"/>
    <n v="42"/>
    <n v="26675"/>
    <n v="4"/>
    <n v="4.3"/>
    <n v="19"/>
    <n v="31"/>
    <n v="6"/>
    <n v="4"/>
    <s v="No"/>
    <s v="Medium"/>
  </r>
  <r>
    <s v="EMP0439"/>
    <x v="2"/>
    <n v="32"/>
    <n v="17267"/>
    <n v="14"/>
    <n v="3.6"/>
    <n v="48"/>
    <n v="22"/>
    <n v="6"/>
    <n v="4.5"/>
    <s v="No"/>
    <s v="Medium"/>
  </r>
  <r>
    <s v="EMP0440"/>
    <x v="4"/>
    <n v="60"/>
    <n v="12810"/>
    <n v="15"/>
    <n v="3.3"/>
    <n v="22"/>
    <n v="2"/>
    <n v="9"/>
    <n v="1.4"/>
    <s v="No"/>
    <s v="Medium"/>
  </r>
  <r>
    <s v="EMP0441"/>
    <x v="1"/>
    <n v="27"/>
    <n v="30631"/>
    <n v="3"/>
    <n v="2.9"/>
    <n v="13"/>
    <n v="31"/>
    <n v="6"/>
    <n v="4.8"/>
    <s v="No"/>
    <s v="Medium"/>
  </r>
  <r>
    <s v="EMP0442"/>
    <x v="5"/>
    <n v="50"/>
    <n v="29043"/>
    <n v="4"/>
    <n v="3"/>
    <n v="13"/>
    <n v="7"/>
    <n v="3"/>
    <n v="4"/>
    <s v="No"/>
    <s v="Low"/>
  </r>
  <r>
    <s v="EMP0443"/>
    <x v="1"/>
    <n v="58"/>
    <n v="25399"/>
    <n v="6"/>
    <n v="3.6"/>
    <n v="23"/>
    <n v="28"/>
    <n v="9"/>
    <n v="4.5999999999999996"/>
    <s v="No"/>
    <s v="Medium"/>
  </r>
  <r>
    <s v="EMP0444"/>
    <x v="5"/>
    <n v="52"/>
    <n v="19439"/>
    <n v="0"/>
    <n v="2.2999999999999998"/>
    <n v="14"/>
    <n v="0"/>
    <n v="10"/>
    <n v="2.4"/>
    <s v="No"/>
    <s v="Medium"/>
  </r>
  <r>
    <s v="EMP0445"/>
    <x v="5"/>
    <n v="43"/>
    <n v="27910"/>
    <n v="14"/>
    <n v="2.2999999999999998"/>
    <n v="15"/>
    <n v="25"/>
    <n v="6"/>
    <n v="2.2000000000000002"/>
    <s v="Yes"/>
    <s v="High"/>
  </r>
  <r>
    <s v="EMP0446"/>
    <x v="5"/>
    <n v="41"/>
    <n v="22411"/>
    <n v="15"/>
    <n v="3.9"/>
    <n v="24"/>
    <n v="10"/>
    <n v="8"/>
    <n v="4.0999999999999996"/>
    <s v="No"/>
    <s v="Low"/>
  </r>
  <r>
    <s v="EMP0447"/>
    <x v="3"/>
    <n v="26"/>
    <n v="14371"/>
    <n v="4"/>
    <n v="4.2"/>
    <n v="50"/>
    <n v="10"/>
    <n v="7"/>
    <n v="3.8"/>
    <s v="Yes"/>
    <s v="High"/>
  </r>
  <r>
    <s v="EMP0448"/>
    <x v="3"/>
    <n v="34"/>
    <n v="18174"/>
    <n v="12"/>
    <n v="3.9"/>
    <n v="18"/>
    <n v="27"/>
    <n v="6"/>
    <n v="4.7"/>
    <s v="No"/>
    <s v="Medium"/>
  </r>
  <r>
    <s v="EMP0449"/>
    <x v="4"/>
    <n v="47"/>
    <n v="14947"/>
    <n v="1"/>
    <n v="3.1"/>
    <n v="46"/>
    <n v="16"/>
    <n v="7"/>
    <n v="3.2"/>
    <s v="No"/>
    <s v="Medium"/>
  </r>
  <r>
    <s v="EMP0450"/>
    <x v="1"/>
    <n v="27"/>
    <n v="22505"/>
    <n v="1"/>
    <n v="3.3"/>
    <n v="6"/>
    <n v="17"/>
    <n v="0"/>
    <n v="2.6"/>
    <s v="Yes"/>
    <s v="High"/>
  </r>
  <r>
    <s v="EMP0451"/>
    <x v="0"/>
    <n v="25"/>
    <n v="23792"/>
    <n v="2"/>
    <n v="2.9"/>
    <n v="46"/>
    <n v="7"/>
    <n v="8"/>
    <n v="3.1"/>
    <s v="No"/>
    <s v="Low"/>
  </r>
  <r>
    <s v="EMP0452"/>
    <x v="5"/>
    <n v="47"/>
    <n v="29641"/>
    <n v="3"/>
    <n v="2.4"/>
    <n v="41"/>
    <n v="7"/>
    <n v="3"/>
    <n v="3.3"/>
    <s v="No"/>
    <s v="Low"/>
  </r>
  <r>
    <s v="EMP0453"/>
    <x v="3"/>
    <n v="40"/>
    <n v="13697"/>
    <n v="5"/>
    <n v="2.5"/>
    <n v="35"/>
    <n v="28"/>
    <n v="4"/>
    <n v="2.7"/>
    <s v="No"/>
    <s v="Medium"/>
  </r>
  <r>
    <s v="EMP0454"/>
    <x v="5"/>
    <n v="41"/>
    <n v="29257"/>
    <n v="9"/>
    <n v="2.7"/>
    <n v="11"/>
    <n v="27"/>
    <n v="6"/>
    <n v="2.8"/>
    <s v="No"/>
    <s v="Medium"/>
  </r>
  <r>
    <s v="EMP0455"/>
    <x v="2"/>
    <n v="60"/>
    <n v="18617"/>
    <n v="2"/>
    <n v="3.5"/>
    <n v="48"/>
    <n v="4"/>
    <n v="7"/>
    <n v="3.9"/>
    <s v="No"/>
    <s v="Low"/>
  </r>
  <r>
    <s v="EMP0456"/>
    <x v="0"/>
    <n v="28"/>
    <n v="33912"/>
    <n v="3"/>
    <n v="3.5"/>
    <n v="9"/>
    <n v="30"/>
    <n v="9"/>
    <n v="2.7"/>
    <s v="No"/>
    <s v="Medium"/>
  </r>
  <r>
    <s v="EMP0457"/>
    <x v="3"/>
    <n v="58"/>
    <n v="14581"/>
    <n v="6"/>
    <n v="4.2"/>
    <n v="7"/>
    <n v="14"/>
    <n v="9"/>
    <n v="4.0999999999999996"/>
    <s v="Yes"/>
    <s v="High"/>
  </r>
  <r>
    <s v="EMP0458"/>
    <x v="4"/>
    <n v="31"/>
    <n v="14642"/>
    <n v="10"/>
    <n v="2.8"/>
    <n v="16"/>
    <n v="34"/>
    <n v="0"/>
    <n v="4.5"/>
    <s v="Yes"/>
    <s v="High"/>
  </r>
  <r>
    <s v="EMP0459"/>
    <x v="4"/>
    <n v="23"/>
    <n v="20674"/>
    <n v="7"/>
    <n v="3.4"/>
    <n v="26"/>
    <n v="35"/>
    <n v="6"/>
    <n v="2.6"/>
    <s v="No"/>
    <s v="Medium"/>
  </r>
  <r>
    <s v="EMP0460"/>
    <x v="5"/>
    <n v="31"/>
    <n v="23748"/>
    <n v="13"/>
    <n v="1.7"/>
    <n v="14"/>
    <n v="29"/>
    <n v="6"/>
    <n v="1.3"/>
    <s v="No"/>
    <s v="Medium"/>
  </r>
  <r>
    <s v="EMP0461"/>
    <x v="0"/>
    <n v="56"/>
    <n v="34436"/>
    <n v="6"/>
    <n v="3.7"/>
    <n v="9"/>
    <n v="32"/>
    <n v="2"/>
    <n v="3.2"/>
    <s v="No"/>
    <s v="Medium"/>
  </r>
  <r>
    <s v="EMP0462"/>
    <x v="5"/>
    <n v="46"/>
    <n v="19060"/>
    <n v="9"/>
    <n v="3.7"/>
    <n v="10"/>
    <n v="0"/>
    <n v="9"/>
    <n v="3.3"/>
    <s v="No"/>
    <s v="Low"/>
  </r>
  <r>
    <s v="EMP0463"/>
    <x v="0"/>
    <n v="33"/>
    <n v="41491"/>
    <n v="7"/>
    <n v="3.1"/>
    <n v="42"/>
    <n v="4"/>
    <n v="8"/>
    <n v="2.6"/>
    <s v="No"/>
    <s v="Medium"/>
  </r>
  <r>
    <s v="EMP0464"/>
    <x v="4"/>
    <n v="22"/>
    <n v="22660"/>
    <n v="1"/>
    <n v="3.3"/>
    <n v="31"/>
    <n v="23"/>
    <n v="7"/>
    <n v="2.9"/>
    <s v="No"/>
    <s v="Medium"/>
  </r>
  <r>
    <s v="EMP0465"/>
    <x v="5"/>
    <n v="54"/>
    <n v="27620"/>
    <n v="4"/>
    <n v="2.6"/>
    <n v="30"/>
    <n v="7"/>
    <n v="7"/>
    <n v="2.4"/>
    <s v="Yes"/>
    <s v="High"/>
  </r>
  <r>
    <s v="EMP0466"/>
    <x v="5"/>
    <n v="47"/>
    <n v="26350"/>
    <n v="11"/>
    <n v="3.6"/>
    <n v="46"/>
    <n v="31"/>
    <n v="9"/>
    <n v="4.5999999999999996"/>
    <s v="No"/>
    <s v="Medium"/>
  </r>
  <r>
    <s v="EMP0467"/>
    <x v="4"/>
    <n v="30"/>
    <n v="18541"/>
    <n v="12"/>
    <n v="3.5"/>
    <n v="26"/>
    <n v="6"/>
    <n v="1"/>
    <n v="4"/>
    <s v="No"/>
    <s v="Low"/>
  </r>
  <r>
    <s v="EMP0468"/>
    <x v="5"/>
    <n v="58"/>
    <n v="24868"/>
    <n v="13"/>
    <n v="4.0999999999999996"/>
    <n v="44"/>
    <n v="0"/>
    <n v="7"/>
    <n v="1.9"/>
    <s v="No"/>
    <s v="Medium"/>
  </r>
  <r>
    <s v="EMP0469"/>
    <x v="5"/>
    <n v="59"/>
    <n v="22785"/>
    <n v="13"/>
    <n v="1.3"/>
    <n v="23"/>
    <n v="4"/>
    <n v="12"/>
    <n v="3.5"/>
    <s v="No"/>
    <s v="Low"/>
  </r>
  <r>
    <s v="EMP0470"/>
    <x v="2"/>
    <n v="56"/>
    <n v="14126"/>
    <n v="15"/>
    <n v="2.4"/>
    <n v="20"/>
    <n v="35"/>
    <n v="3"/>
    <n v="4.4000000000000004"/>
    <s v="No"/>
    <s v="Medium"/>
  </r>
  <r>
    <s v="EMP0471"/>
    <x v="3"/>
    <n v="38"/>
    <n v="26151"/>
    <n v="9"/>
    <n v="4.0999999999999996"/>
    <n v="22"/>
    <n v="29"/>
    <n v="9"/>
    <n v="2.1"/>
    <s v="Yes"/>
    <s v="High"/>
  </r>
  <r>
    <s v="EMP0472"/>
    <x v="4"/>
    <n v="58"/>
    <n v="21572"/>
    <n v="0"/>
    <n v="3.3"/>
    <n v="20"/>
    <n v="18"/>
    <n v="3"/>
    <n v="4.9000000000000004"/>
    <s v="No"/>
    <s v="Medium"/>
  </r>
  <r>
    <s v="EMP0473"/>
    <x v="4"/>
    <n v="53"/>
    <n v="12514"/>
    <n v="5"/>
    <n v="1.8"/>
    <n v="6"/>
    <n v="25"/>
    <n v="12"/>
    <n v="2.5"/>
    <s v="No"/>
    <s v="Medium"/>
  </r>
  <r>
    <s v="EMP0474"/>
    <x v="2"/>
    <n v="55"/>
    <n v="19870"/>
    <n v="3"/>
    <n v="4"/>
    <n v="18"/>
    <n v="0"/>
    <n v="1"/>
    <n v="3"/>
    <s v="No"/>
    <s v="Low"/>
  </r>
  <r>
    <s v="EMP0475"/>
    <x v="4"/>
    <n v="23"/>
    <n v="20861"/>
    <n v="7"/>
    <n v="2.4"/>
    <n v="20"/>
    <n v="6"/>
    <n v="2"/>
    <n v="2.5"/>
    <s v="No"/>
    <s v="Medium"/>
  </r>
  <r>
    <s v="EMP0476"/>
    <x v="2"/>
    <n v="30"/>
    <n v="28649"/>
    <n v="1"/>
    <n v="3.1"/>
    <n v="47"/>
    <n v="22"/>
    <n v="5"/>
    <n v="1.9"/>
    <s v="No"/>
    <s v="Medium"/>
  </r>
  <r>
    <s v="EMP0477"/>
    <x v="5"/>
    <n v="59"/>
    <n v="29928"/>
    <n v="12"/>
    <n v="3.1"/>
    <n v="40"/>
    <n v="12"/>
    <n v="11"/>
    <n v="4.5"/>
    <s v="No"/>
    <s v="Low"/>
  </r>
  <r>
    <s v="EMP0478"/>
    <x v="1"/>
    <n v="48"/>
    <n v="20696"/>
    <n v="0"/>
    <n v="1.4"/>
    <n v="45"/>
    <n v="7"/>
    <n v="4"/>
    <n v="3.3"/>
    <s v="No"/>
    <s v="Medium"/>
  </r>
  <r>
    <s v="EMP0479"/>
    <x v="2"/>
    <n v="22"/>
    <n v="17702"/>
    <n v="3"/>
    <n v="4"/>
    <n v="22"/>
    <n v="19"/>
    <n v="7"/>
    <n v="4.0999999999999996"/>
    <s v="No"/>
    <s v="Low"/>
  </r>
  <r>
    <s v="EMP0480"/>
    <x v="2"/>
    <n v="46"/>
    <n v="29858"/>
    <n v="11"/>
    <n v="3.2"/>
    <n v="14"/>
    <n v="19"/>
    <n v="10"/>
    <n v="3.1"/>
    <s v="No"/>
    <s v="Low"/>
  </r>
  <r>
    <s v="EMP0481"/>
    <x v="0"/>
    <n v="28"/>
    <n v="29278"/>
    <n v="10"/>
    <n v="4.5999999999999996"/>
    <n v="15"/>
    <n v="11"/>
    <n v="3"/>
    <n v="3.5"/>
    <s v="No"/>
    <s v="Low"/>
  </r>
  <r>
    <s v="EMP0482"/>
    <x v="4"/>
    <n v="39"/>
    <n v="19870"/>
    <n v="12"/>
    <n v="3.5"/>
    <n v="23"/>
    <n v="34"/>
    <n v="4"/>
    <n v="4.9000000000000004"/>
    <s v="No"/>
    <s v="Medium"/>
  </r>
  <r>
    <s v="EMP0483"/>
    <x v="0"/>
    <n v="59"/>
    <n v="28690"/>
    <n v="7"/>
    <n v="3"/>
    <n v="9"/>
    <n v="8"/>
    <n v="10"/>
    <n v="3.1"/>
    <s v="No"/>
    <s v="Low"/>
  </r>
  <r>
    <s v="EMP0484"/>
    <x v="0"/>
    <n v="59"/>
    <n v="18108"/>
    <n v="5"/>
    <n v="4.7"/>
    <n v="9"/>
    <n v="4"/>
    <n v="12"/>
    <n v="2.7"/>
    <s v="No"/>
    <s v="Medium"/>
  </r>
  <r>
    <s v="EMP0485"/>
    <x v="4"/>
    <n v="30"/>
    <n v="16435"/>
    <n v="7"/>
    <n v="2.6"/>
    <n v="49"/>
    <n v="20"/>
    <n v="3"/>
    <n v="2.9"/>
    <s v="No"/>
    <s v="Medium"/>
  </r>
  <r>
    <s v="EMP0486"/>
    <x v="1"/>
    <n v="31"/>
    <n v="29244"/>
    <n v="10"/>
    <n v="3.2"/>
    <n v="35"/>
    <n v="23"/>
    <n v="3"/>
    <n v="2.8"/>
    <s v="Yes"/>
    <s v="High"/>
  </r>
  <r>
    <s v="EMP0487"/>
    <x v="2"/>
    <n v="54"/>
    <n v="15545"/>
    <n v="14"/>
    <n v="2.8"/>
    <n v="18"/>
    <n v="23"/>
    <n v="7"/>
    <n v="2.9"/>
    <s v="Yes"/>
    <s v="High"/>
  </r>
  <r>
    <s v="EMP0488"/>
    <x v="3"/>
    <n v="54"/>
    <n v="14951"/>
    <n v="9"/>
    <n v="2.8"/>
    <n v="48"/>
    <n v="29"/>
    <n v="7"/>
    <n v="4.0999999999999996"/>
    <s v="No"/>
    <s v="Medium"/>
  </r>
  <r>
    <s v="EMP0489"/>
    <x v="0"/>
    <n v="23"/>
    <n v="25581"/>
    <n v="7"/>
    <n v="3.7"/>
    <n v="30"/>
    <n v="5"/>
    <n v="11"/>
    <n v="3.6"/>
    <s v="No"/>
    <s v="Low"/>
  </r>
  <r>
    <s v="EMP0490"/>
    <x v="4"/>
    <n v="54"/>
    <n v="20290"/>
    <n v="5"/>
    <n v="3.2"/>
    <n v="39"/>
    <n v="4"/>
    <n v="5"/>
    <n v="3.8"/>
    <s v="No"/>
    <s v="Low"/>
  </r>
  <r>
    <s v="EMP0491"/>
    <x v="0"/>
    <n v="21"/>
    <n v="36181"/>
    <n v="2"/>
    <n v="3.2"/>
    <n v="48"/>
    <n v="19"/>
    <n v="8"/>
    <n v="2"/>
    <s v="No"/>
    <s v="Medium"/>
  </r>
  <r>
    <s v="EMP0492"/>
    <x v="1"/>
    <n v="35"/>
    <n v="20638"/>
    <n v="3"/>
    <n v="4.2"/>
    <n v="26"/>
    <n v="27"/>
    <n v="5"/>
    <n v="2.9"/>
    <s v="Yes"/>
    <s v="High"/>
  </r>
  <r>
    <s v="EMP0493"/>
    <x v="3"/>
    <n v="52"/>
    <n v="25161"/>
    <n v="12"/>
    <n v="3.2"/>
    <n v="23"/>
    <n v="14"/>
    <n v="5"/>
    <n v="3.6"/>
    <s v="No"/>
    <s v="Low"/>
  </r>
  <r>
    <s v="EMP0494"/>
    <x v="5"/>
    <n v="37"/>
    <n v="29844"/>
    <n v="1"/>
    <n v="4.2"/>
    <n v="43"/>
    <n v="1"/>
    <n v="5"/>
    <n v="3"/>
    <s v="No"/>
    <s v="Medium"/>
  </r>
  <r>
    <s v="EMP0495"/>
    <x v="5"/>
    <n v="42"/>
    <n v="23704"/>
    <n v="10"/>
    <n v="4"/>
    <n v="38"/>
    <n v="26"/>
    <n v="11"/>
    <n v="3"/>
    <s v="No"/>
    <s v="Medium"/>
  </r>
  <r>
    <s v="EMP0496"/>
    <x v="4"/>
    <n v="39"/>
    <n v="16874"/>
    <n v="14"/>
    <n v="2.8"/>
    <n v="41"/>
    <n v="23"/>
    <n v="1"/>
    <n v="3.8"/>
    <s v="No"/>
    <s v="Medium"/>
  </r>
  <r>
    <s v="EMP0497"/>
    <x v="3"/>
    <n v="42"/>
    <n v="21492"/>
    <n v="1"/>
    <n v="3.5"/>
    <n v="41"/>
    <n v="29"/>
    <n v="7"/>
    <n v="3.3"/>
    <s v="No"/>
    <s v="Medium"/>
  </r>
  <r>
    <s v="EMP0498"/>
    <x v="4"/>
    <n v="25"/>
    <n v="22474"/>
    <n v="14"/>
    <n v="2.2999999999999998"/>
    <n v="9"/>
    <n v="29"/>
    <n v="10"/>
    <n v="3.5"/>
    <s v="No"/>
    <s v="Medium"/>
  </r>
  <r>
    <s v="EMP0499"/>
    <x v="1"/>
    <n v="37"/>
    <n v="27712"/>
    <n v="15"/>
    <n v="3.4"/>
    <n v="29"/>
    <n v="33"/>
    <n v="4"/>
    <n v="3.9"/>
    <s v="No"/>
    <s v="Medium"/>
  </r>
  <r>
    <s v="EMP0500"/>
    <x v="2"/>
    <n v="34"/>
    <n v="31306"/>
    <n v="3"/>
    <n v="3.7"/>
    <n v="9"/>
    <n v="15"/>
    <n v="0"/>
    <n v="1.7"/>
    <s v="No"/>
    <s v="Medium"/>
  </r>
  <r>
    <s v="EMP0501"/>
    <x v="2"/>
    <n v="38"/>
    <n v="25028"/>
    <n v="5"/>
    <n v="3.8"/>
    <n v="40"/>
    <n v="3"/>
    <n v="2"/>
    <n v="3.1"/>
    <s v="No"/>
    <s v="Low"/>
  </r>
  <r>
    <s v="EMP0502"/>
    <x v="3"/>
    <n v="58"/>
    <n v="14465"/>
    <n v="10"/>
    <n v="3.7"/>
    <n v="36"/>
    <n v="34"/>
    <n v="6"/>
    <n v="1.9"/>
    <s v="No"/>
    <s v="Medium"/>
  </r>
  <r>
    <s v="EMP0503"/>
    <x v="4"/>
    <n v="21"/>
    <n v="12327"/>
    <n v="3"/>
    <n v="3.8"/>
    <n v="41"/>
    <n v="5"/>
    <n v="8"/>
    <n v="5"/>
    <s v="No"/>
    <s v="Low"/>
  </r>
  <r>
    <s v="EMP0504"/>
    <x v="5"/>
    <n v="51"/>
    <n v="16986"/>
    <n v="13"/>
    <n v="3.5"/>
    <n v="6"/>
    <n v="3"/>
    <n v="5"/>
    <n v="2.7"/>
    <s v="No"/>
    <s v="Medium"/>
  </r>
  <r>
    <s v="EMP0505"/>
    <x v="2"/>
    <n v="53"/>
    <n v="18031"/>
    <n v="9"/>
    <n v="3.6"/>
    <n v="29"/>
    <n v="4"/>
    <n v="10"/>
    <n v="5"/>
    <s v="No"/>
    <s v="Low"/>
  </r>
  <r>
    <s v="EMP0506"/>
    <x v="5"/>
    <n v="52"/>
    <n v="29991"/>
    <n v="2"/>
    <n v="2.4"/>
    <n v="17"/>
    <n v="22"/>
    <n v="1"/>
    <n v="3.3"/>
    <s v="No"/>
    <s v="Medium"/>
  </r>
  <r>
    <s v="EMP0507"/>
    <x v="0"/>
    <n v="43"/>
    <n v="38272"/>
    <n v="10"/>
    <n v="1.3"/>
    <n v="31"/>
    <n v="5"/>
    <n v="3"/>
    <n v="1.9"/>
    <s v="No"/>
    <s v="Medium"/>
  </r>
  <r>
    <s v="EMP0508"/>
    <x v="0"/>
    <n v="26"/>
    <n v="30643"/>
    <n v="5"/>
    <n v="4.9000000000000004"/>
    <n v="26"/>
    <n v="22"/>
    <n v="6"/>
    <n v="3"/>
    <s v="No"/>
    <s v="Medium"/>
  </r>
  <r>
    <s v="EMP0509"/>
    <x v="0"/>
    <n v="46"/>
    <n v="39627"/>
    <n v="15"/>
    <n v="2.5"/>
    <n v="14"/>
    <n v="34"/>
    <n v="6"/>
    <n v="1"/>
    <s v="No"/>
    <s v="Medium"/>
  </r>
  <r>
    <s v="EMP0510"/>
    <x v="3"/>
    <n v="21"/>
    <n v="15901"/>
    <n v="12"/>
    <n v="1.9"/>
    <n v="20"/>
    <n v="16"/>
    <n v="12"/>
    <n v="4"/>
    <s v="No"/>
    <s v="Low"/>
  </r>
  <r>
    <s v="EMP0511"/>
    <x v="2"/>
    <n v="27"/>
    <n v="29133"/>
    <n v="9"/>
    <n v="2.9"/>
    <n v="27"/>
    <n v="7"/>
    <n v="8"/>
    <n v="4.7"/>
    <s v="No"/>
    <s v="Low"/>
  </r>
  <r>
    <s v="EMP0512"/>
    <x v="0"/>
    <n v="52"/>
    <n v="18271"/>
    <n v="6"/>
    <n v="3.7"/>
    <n v="31"/>
    <n v="8"/>
    <n v="10"/>
    <n v="3"/>
    <s v="No"/>
    <s v="Low"/>
  </r>
  <r>
    <s v="EMP0513"/>
    <x v="4"/>
    <n v="37"/>
    <n v="21486"/>
    <n v="7"/>
    <n v="2.2000000000000002"/>
    <n v="5"/>
    <n v="26"/>
    <n v="2"/>
    <n v="3.2"/>
    <s v="No"/>
    <s v="Medium"/>
  </r>
  <r>
    <s v="EMP0514"/>
    <x v="1"/>
    <n v="59"/>
    <n v="24691"/>
    <n v="8"/>
    <n v="3.3"/>
    <n v="43"/>
    <n v="32"/>
    <n v="3"/>
    <n v="3.6"/>
    <s v="No"/>
    <s v="Medium"/>
  </r>
  <r>
    <s v="EMP0515"/>
    <x v="1"/>
    <n v="28"/>
    <n v="36617"/>
    <n v="4"/>
    <n v="3.6"/>
    <n v="21"/>
    <n v="12"/>
    <n v="4"/>
    <n v="5"/>
    <s v="No"/>
    <s v="Low"/>
  </r>
  <r>
    <s v="EMP0516"/>
    <x v="5"/>
    <n v="28"/>
    <n v="26810"/>
    <n v="6"/>
    <n v="3.7"/>
    <n v="23"/>
    <n v="13"/>
    <n v="0"/>
    <n v="2.6"/>
    <s v="No"/>
    <s v="Medium"/>
  </r>
  <r>
    <s v="EMP0517"/>
    <x v="5"/>
    <n v="52"/>
    <n v="25680"/>
    <n v="7"/>
    <n v="3.3"/>
    <n v="22"/>
    <n v="30"/>
    <n v="3"/>
    <n v="1.8"/>
    <s v="Yes"/>
    <s v="High"/>
  </r>
  <r>
    <s v="EMP0518"/>
    <x v="4"/>
    <n v="21"/>
    <n v="20399"/>
    <n v="13"/>
    <n v="3.9"/>
    <n v="5"/>
    <n v="11"/>
    <n v="2"/>
    <n v="3.1"/>
    <s v="No"/>
    <s v="Low"/>
  </r>
  <r>
    <s v="EMP0519"/>
    <x v="0"/>
    <n v="23"/>
    <n v="20222"/>
    <n v="2"/>
    <n v="2.4"/>
    <n v="26"/>
    <n v="28"/>
    <n v="2"/>
    <n v="3.3"/>
    <s v="No"/>
    <s v="Medium"/>
  </r>
  <r>
    <s v="EMP0520"/>
    <x v="2"/>
    <n v="22"/>
    <n v="15854"/>
    <n v="8"/>
    <n v="3.4"/>
    <n v="10"/>
    <n v="13"/>
    <n v="8"/>
    <n v="4.0999999999999996"/>
    <s v="No"/>
    <s v="Low"/>
  </r>
  <r>
    <s v="EMP0521"/>
    <x v="5"/>
    <n v="25"/>
    <n v="25094"/>
    <n v="3"/>
    <n v="5"/>
    <n v="13"/>
    <n v="17"/>
    <n v="3"/>
    <n v="2.4"/>
    <s v="No"/>
    <s v="Medium"/>
  </r>
  <r>
    <s v="EMP0522"/>
    <x v="4"/>
    <n v="56"/>
    <n v="21409"/>
    <n v="13"/>
    <n v="3.2"/>
    <n v="17"/>
    <n v="11"/>
    <n v="7"/>
    <n v="3.7"/>
    <s v="No"/>
    <s v="Low"/>
  </r>
  <r>
    <s v="EMP0523"/>
    <x v="1"/>
    <n v="30"/>
    <n v="19458"/>
    <n v="6"/>
    <n v="3.6"/>
    <n v="38"/>
    <n v="3"/>
    <n v="8"/>
    <n v="4.0999999999999996"/>
    <s v="No"/>
    <s v="Low"/>
  </r>
  <r>
    <s v="EMP0524"/>
    <x v="2"/>
    <n v="45"/>
    <n v="21048"/>
    <n v="12"/>
    <n v="3.6"/>
    <n v="32"/>
    <n v="10"/>
    <n v="15"/>
    <n v="4.0999999999999996"/>
    <s v="No"/>
    <s v="Low"/>
  </r>
  <r>
    <s v="EMP0525"/>
    <x v="2"/>
    <n v="59"/>
    <n v="24984"/>
    <n v="4"/>
    <n v="4.0999999999999996"/>
    <n v="30"/>
    <n v="34"/>
    <n v="8"/>
    <n v="3.3"/>
    <s v="No"/>
    <s v="Medium"/>
  </r>
  <r>
    <s v="EMP0526"/>
    <x v="5"/>
    <n v="41"/>
    <n v="18987"/>
    <n v="10"/>
    <n v="3.3"/>
    <n v="40"/>
    <n v="0"/>
    <n v="10"/>
    <n v="3.6"/>
    <s v="No"/>
    <s v="Low"/>
  </r>
  <r>
    <s v="EMP0527"/>
    <x v="2"/>
    <n v="33"/>
    <n v="15134"/>
    <n v="3"/>
    <n v="3.8"/>
    <n v="40"/>
    <n v="2"/>
    <n v="13"/>
    <n v="3.4"/>
    <s v="Yes"/>
    <s v="High"/>
  </r>
  <r>
    <s v="EMP0528"/>
    <x v="3"/>
    <n v="52"/>
    <n v="13408"/>
    <n v="10"/>
    <n v="2.5"/>
    <n v="49"/>
    <n v="17"/>
    <n v="6"/>
    <n v="1.8"/>
    <s v="No"/>
    <s v="Medium"/>
  </r>
  <r>
    <s v="EMP0529"/>
    <x v="2"/>
    <n v="57"/>
    <n v="19478"/>
    <n v="14"/>
    <n v="3.4"/>
    <n v="7"/>
    <n v="9"/>
    <n v="9"/>
    <n v="4.0999999999999996"/>
    <s v="No"/>
    <s v="Low"/>
  </r>
  <r>
    <s v="EMP0530"/>
    <x v="0"/>
    <n v="32"/>
    <n v="22725"/>
    <n v="4"/>
    <n v="2.2000000000000002"/>
    <n v="25"/>
    <n v="11"/>
    <n v="7"/>
    <n v="4.5999999999999996"/>
    <s v="No"/>
    <s v="Low"/>
  </r>
  <r>
    <s v="EMP0531"/>
    <x v="0"/>
    <n v="22"/>
    <n v="27997"/>
    <n v="5"/>
    <n v="3.3"/>
    <n v="47"/>
    <n v="11"/>
    <n v="7"/>
    <n v="2.2999999999999998"/>
    <s v="No"/>
    <s v="Medium"/>
  </r>
  <r>
    <s v="EMP0532"/>
    <x v="0"/>
    <n v="29"/>
    <n v="31401"/>
    <n v="9"/>
    <n v="3.9"/>
    <n v="50"/>
    <n v="35"/>
    <n v="17"/>
    <n v="3.8"/>
    <s v="Yes"/>
    <s v="High"/>
  </r>
  <r>
    <s v="EMP0533"/>
    <x v="1"/>
    <n v="43"/>
    <n v="22668"/>
    <n v="3"/>
    <n v="4.3"/>
    <n v="24"/>
    <n v="34"/>
    <n v="10"/>
    <n v="1.9"/>
    <s v="Yes"/>
    <s v="High"/>
  </r>
  <r>
    <s v="EMP0534"/>
    <x v="3"/>
    <n v="55"/>
    <n v="25001"/>
    <n v="13"/>
    <n v="2.6"/>
    <n v="20"/>
    <n v="30"/>
    <n v="0"/>
    <n v="2.9"/>
    <s v="No"/>
    <s v="Medium"/>
  </r>
  <r>
    <s v="EMP0535"/>
    <x v="5"/>
    <n v="47"/>
    <n v="15963"/>
    <n v="8"/>
    <n v="3.2"/>
    <n v="36"/>
    <n v="14"/>
    <n v="9"/>
    <n v="2.2000000000000002"/>
    <s v="No"/>
    <s v="Medium"/>
  </r>
  <r>
    <s v="EMP0536"/>
    <x v="5"/>
    <n v="28"/>
    <n v="28866"/>
    <n v="4"/>
    <n v="3.8"/>
    <n v="9"/>
    <n v="27"/>
    <n v="6"/>
    <n v="3.7"/>
    <s v="No"/>
    <s v="Medium"/>
  </r>
  <r>
    <s v="EMP0537"/>
    <x v="4"/>
    <n v="54"/>
    <n v="17341"/>
    <n v="7"/>
    <n v="3.3"/>
    <n v="31"/>
    <n v="17"/>
    <n v="9"/>
    <n v="1.3"/>
    <s v="No"/>
    <s v="Medium"/>
  </r>
  <r>
    <s v="EMP0538"/>
    <x v="2"/>
    <n v="35"/>
    <n v="31294"/>
    <n v="4"/>
    <n v="4"/>
    <n v="49"/>
    <n v="0"/>
    <n v="13"/>
    <n v="5"/>
    <s v="No"/>
    <s v="Low"/>
  </r>
  <r>
    <s v="EMP0539"/>
    <x v="4"/>
    <n v="52"/>
    <n v="12024"/>
    <n v="6"/>
    <n v="3.4"/>
    <n v="5"/>
    <n v="1"/>
    <n v="6"/>
    <n v="2.6"/>
    <s v="No"/>
    <s v="Medium"/>
  </r>
  <r>
    <s v="EMP0540"/>
    <x v="4"/>
    <n v="46"/>
    <n v="12055"/>
    <n v="2"/>
    <n v="3.2"/>
    <n v="11"/>
    <n v="16"/>
    <n v="11"/>
    <n v="4.5"/>
    <s v="Yes"/>
    <s v="High"/>
  </r>
  <r>
    <s v="EMP0541"/>
    <x v="2"/>
    <n v="45"/>
    <n v="18989"/>
    <n v="14"/>
    <n v="3.3"/>
    <n v="38"/>
    <n v="29"/>
    <n v="1"/>
    <n v="3.3"/>
    <s v="No"/>
    <s v="Medium"/>
  </r>
  <r>
    <s v="EMP0542"/>
    <x v="5"/>
    <n v="42"/>
    <n v="29198"/>
    <n v="13"/>
    <n v="2.2999999999999998"/>
    <n v="34"/>
    <n v="16"/>
    <n v="5"/>
    <n v="3.6"/>
    <s v="Yes"/>
    <s v="High"/>
  </r>
  <r>
    <s v="EMP0543"/>
    <x v="5"/>
    <n v="58"/>
    <n v="22119"/>
    <n v="3"/>
    <n v="3.3"/>
    <n v="32"/>
    <n v="5"/>
    <n v="3"/>
    <n v="4.4000000000000004"/>
    <s v="No"/>
    <s v="Low"/>
  </r>
  <r>
    <s v="EMP0544"/>
    <x v="2"/>
    <n v="59"/>
    <n v="26103"/>
    <n v="9"/>
    <n v="3"/>
    <n v="13"/>
    <n v="1"/>
    <n v="7"/>
    <n v="4"/>
    <s v="No"/>
    <s v="Low"/>
  </r>
  <r>
    <s v="EMP0545"/>
    <x v="2"/>
    <n v="25"/>
    <n v="25895"/>
    <n v="13"/>
    <n v="2.7"/>
    <n v="28"/>
    <n v="16"/>
    <n v="8"/>
    <n v="3"/>
    <s v="No"/>
    <s v="Low"/>
  </r>
  <r>
    <s v="EMP0546"/>
    <x v="3"/>
    <n v="48"/>
    <n v="14564"/>
    <n v="4"/>
    <n v="5"/>
    <n v="21"/>
    <n v="1"/>
    <n v="8"/>
    <n v="2.1"/>
    <s v="No"/>
    <s v="Medium"/>
  </r>
  <r>
    <s v="EMP0547"/>
    <x v="2"/>
    <n v="53"/>
    <n v="18987"/>
    <n v="9"/>
    <n v="3.8"/>
    <n v="29"/>
    <n v="9"/>
    <n v="6"/>
    <n v="4.2"/>
    <s v="No"/>
    <s v="Low"/>
  </r>
  <r>
    <s v="EMP0548"/>
    <x v="3"/>
    <n v="37"/>
    <n v="16725"/>
    <n v="6"/>
    <n v="3.6"/>
    <n v="30"/>
    <n v="19"/>
    <n v="11"/>
    <n v="5"/>
    <s v="No"/>
    <s v="Low"/>
  </r>
  <r>
    <s v="EMP0549"/>
    <x v="3"/>
    <n v="22"/>
    <n v="15612"/>
    <n v="4"/>
    <n v="2.7"/>
    <n v="39"/>
    <n v="7"/>
    <n v="5"/>
    <n v="2.6"/>
    <s v="No"/>
    <s v="Medium"/>
  </r>
  <r>
    <s v="EMP0550"/>
    <x v="4"/>
    <n v="41"/>
    <n v="18513"/>
    <n v="3"/>
    <n v="1.7"/>
    <n v="6"/>
    <n v="3"/>
    <n v="4"/>
    <n v="3.5"/>
    <s v="No"/>
    <s v="Low"/>
  </r>
  <r>
    <s v="EMP0551"/>
    <x v="3"/>
    <n v="47"/>
    <n v="15093"/>
    <n v="4"/>
    <n v="3.2"/>
    <n v="50"/>
    <n v="11"/>
    <n v="6"/>
    <n v="4"/>
    <s v="No"/>
    <s v="Low"/>
  </r>
  <r>
    <s v="EMP0552"/>
    <x v="4"/>
    <n v="48"/>
    <n v="22729"/>
    <n v="8"/>
    <n v="5"/>
    <n v="38"/>
    <n v="23"/>
    <n v="13"/>
    <n v="3.5"/>
    <s v="No"/>
    <s v="Medium"/>
  </r>
  <r>
    <s v="EMP0553"/>
    <x v="1"/>
    <n v="35"/>
    <n v="31511"/>
    <n v="5"/>
    <n v="5"/>
    <n v="30"/>
    <n v="14"/>
    <n v="0"/>
    <n v="3.9"/>
    <s v="No"/>
    <s v="Low"/>
  </r>
  <r>
    <s v="EMP0554"/>
    <x v="2"/>
    <n v="27"/>
    <n v="16887"/>
    <n v="6"/>
    <n v="2.9"/>
    <n v="50"/>
    <n v="19"/>
    <n v="4"/>
    <n v="3.4"/>
    <s v="No"/>
    <s v="Low"/>
  </r>
  <r>
    <s v="EMP0555"/>
    <x v="5"/>
    <n v="47"/>
    <n v="17770"/>
    <n v="10"/>
    <n v="3.5"/>
    <n v="12"/>
    <n v="29"/>
    <n v="0"/>
    <n v="3.1"/>
    <s v="No"/>
    <s v="Medium"/>
  </r>
  <r>
    <s v="EMP0556"/>
    <x v="2"/>
    <n v="53"/>
    <n v="26844"/>
    <n v="4"/>
    <n v="3"/>
    <n v="12"/>
    <n v="17"/>
    <n v="16"/>
    <n v="3.2"/>
    <s v="No"/>
    <s v="Low"/>
  </r>
  <r>
    <s v="EMP0557"/>
    <x v="3"/>
    <n v="47"/>
    <n v="27028"/>
    <n v="9"/>
    <n v="1.9"/>
    <n v="46"/>
    <n v="10"/>
    <n v="7"/>
    <n v="2.2999999999999998"/>
    <s v="No"/>
    <s v="Medium"/>
  </r>
  <r>
    <s v="EMP0558"/>
    <x v="2"/>
    <n v="47"/>
    <n v="17566"/>
    <n v="9"/>
    <n v="2.9"/>
    <n v="13"/>
    <n v="8"/>
    <n v="7"/>
    <n v="5"/>
    <s v="No"/>
    <s v="Low"/>
  </r>
  <r>
    <s v="EMP0559"/>
    <x v="1"/>
    <n v="24"/>
    <n v="32738"/>
    <n v="4"/>
    <n v="3.8"/>
    <n v="25"/>
    <n v="27"/>
    <n v="5"/>
    <n v="4.0999999999999996"/>
    <s v="No"/>
    <s v="Medium"/>
  </r>
  <r>
    <s v="EMP0560"/>
    <x v="0"/>
    <n v="43"/>
    <n v="36836"/>
    <n v="8"/>
    <n v="2.5"/>
    <n v="22"/>
    <n v="5"/>
    <n v="6"/>
    <n v="3"/>
    <s v="No"/>
    <s v="Low"/>
  </r>
  <r>
    <s v="EMP0561"/>
    <x v="3"/>
    <n v="33"/>
    <n v="21703"/>
    <n v="7"/>
    <n v="4.5999999999999996"/>
    <n v="18"/>
    <n v="19"/>
    <n v="6"/>
    <n v="3.6"/>
    <s v="No"/>
    <s v="Low"/>
  </r>
  <r>
    <s v="EMP0562"/>
    <x v="5"/>
    <n v="53"/>
    <n v="23467"/>
    <n v="13"/>
    <n v="4.5999999999999996"/>
    <n v="38"/>
    <n v="1"/>
    <n v="10"/>
    <n v="3.4"/>
    <s v="No"/>
    <s v="Low"/>
  </r>
  <r>
    <s v="EMP0563"/>
    <x v="2"/>
    <n v="43"/>
    <n v="17222"/>
    <n v="11"/>
    <n v="3"/>
    <n v="21"/>
    <n v="5"/>
    <n v="11"/>
    <n v="3.6"/>
    <s v="No"/>
    <s v="Low"/>
  </r>
  <r>
    <s v="EMP0564"/>
    <x v="2"/>
    <n v="46"/>
    <n v="15669"/>
    <n v="15"/>
    <n v="2.9"/>
    <n v="13"/>
    <n v="6"/>
    <n v="5"/>
    <n v="2.1"/>
    <s v="No"/>
    <s v="Medium"/>
  </r>
  <r>
    <s v="EMP0565"/>
    <x v="2"/>
    <n v="24"/>
    <n v="20639"/>
    <n v="14"/>
    <n v="2.4"/>
    <n v="42"/>
    <n v="3"/>
    <n v="4"/>
    <n v="4.8"/>
    <s v="Yes"/>
    <s v="High"/>
  </r>
  <r>
    <s v="EMP0566"/>
    <x v="2"/>
    <n v="34"/>
    <n v="23758"/>
    <n v="15"/>
    <n v="4.0999999999999996"/>
    <n v="10"/>
    <n v="29"/>
    <n v="6"/>
    <n v="2.2999999999999998"/>
    <s v="Yes"/>
    <s v="High"/>
  </r>
  <r>
    <s v="EMP0567"/>
    <x v="4"/>
    <n v="27"/>
    <n v="22106"/>
    <n v="1"/>
    <n v="3.3"/>
    <n v="41"/>
    <n v="18"/>
    <n v="3"/>
    <n v="4.0999999999999996"/>
    <s v="No"/>
    <s v="Medium"/>
  </r>
  <r>
    <s v="EMP0568"/>
    <x v="1"/>
    <n v="44"/>
    <n v="22947"/>
    <n v="10"/>
    <n v="2.5"/>
    <n v="18"/>
    <n v="21"/>
    <n v="0"/>
    <n v="3.1"/>
    <s v="Yes"/>
    <s v="High"/>
  </r>
  <r>
    <s v="EMP0569"/>
    <x v="0"/>
    <n v="56"/>
    <n v="40151"/>
    <n v="15"/>
    <n v="4"/>
    <n v="7"/>
    <n v="14"/>
    <n v="9"/>
    <n v="1.3"/>
    <s v="Yes"/>
    <s v="High"/>
  </r>
  <r>
    <s v="EMP0570"/>
    <x v="2"/>
    <n v="56"/>
    <n v="30776"/>
    <n v="6"/>
    <n v="3.8"/>
    <n v="47"/>
    <n v="24"/>
    <n v="6"/>
    <n v="4.4000000000000004"/>
    <s v="Yes"/>
    <s v="High"/>
  </r>
  <r>
    <s v="EMP0571"/>
    <x v="0"/>
    <n v="52"/>
    <n v="25428"/>
    <n v="3"/>
    <n v="3.5"/>
    <n v="22"/>
    <n v="35"/>
    <n v="6"/>
    <n v="4.8"/>
    <s v="No"/>
    <s v="Medium"/>
  </r>
  <r>
    <s v="EMP0572"/>
    <x v="1"/>
    <n v="50"/>
    <n v="19482"/>
    <n v="9"/>
    <n v="3.5"/>
    <n v="16"/>
    <n v="8"/>
    <n v="7"/>
    <n v="4.3"/>
    <s v="No"/>
    <s v="Low"/>
  </r>
  <r>
    <s v="EMP0573"/>
    <x v="2"/>
    <n v="46"/>
    <n v="15246"/>
    <n v="8"/>
    <n v="2.7"/>
    <n v="28"/>
    <n v="28"/>
    <n v="9"/>
    <n v="3.1"/>
    <s v="No"/>
    <s v="Medium"/>
  </r>
  <r>
    <s v="EMP0574"/>
    <x v="4"/>
    <n v="28"/>
    <n v="14327"/>
    <n v="2"/>
    <n v="2.7"/>
    <n v="24"/>
    <n v="3"/>
    <n v="5"/>
    <n v="1.7"/>
    <s v="No"/>
    <s v="Medium"/>
  </r>
  <r>
    <s v="EMP0575"/>
    <x v="0"/>
    <n v="45"/>
    <n v="18144"/>
    <n v="11"/>
    <n v="5"/>
    <n v="45"/>
    <n v="33"/>
    <n v="9"/>
    <n v="3.6"/>
    <s v="No"/>
    <s v="Medium"/>
  </r>
  <r>
    <s v="EMP0576"/>
    <x v="0"/>
    <n v="28"/>
    <n v="25278"/>
    <n v="9"/>
    <n v="1.7"/>
    <n v="36"/>
    <n v="4"/>
    <n v="6"/>
    <n v="3.5"/>
    <s v="No"/>
    <s v="Low"/>
  </r>
  <r>
    <s v="EMP0577"/>
    <x v="4"/>
    <n v="48"/>
    <n v="12767"/>
    <n v="4"/>
    <n v="4.8"/>
    <n v="28"/>
    <n v="30"/>
    <n v="11"/>
    <n v="3.1"/>
    <s v="No"/>
    <s v="Medium"/>
  </r>
  <r>
    <s v="EMP0578"/>
    <x v="3"/>
    <n v="39"/>
    <n v="16786"/>
    <n v="10"/>
    <n v="2.1"/>
    <n v="18"/>
    <n v="19"/>
    <n v="4"/>
    <n v="3.3"/>
    <s v="No"/>
    <s v="Low"/>
  </r>
  <r>
    <s v="EMP0579"/>
    <x v="2"/>
    <n v="38"/>
    <n v="30340"/>
    <n v="13"/>
    <n v="3.7"/>
    <n v="34"/>
    <n v="15"/>
    <n v="4"/>
    <n v="2.6"/>
    <s v="No"/>
    <s v="Medium"/>
  </r>
  <r>
    <s v="EMP0580"/>
    <x v="2"/>
    <n v="29"/>
    <n v="31891"/>
    <n v="3"/>
    <n v="3.2"/>
    <n v="12"/>
    <n v="14"/>
    <n v="0"/>
    <n v="2.6"/>
    <s v="No"/>
    <s v="Medium"/>
  </r>
  <r>
    <s v="EMP0581"/>
    <x v="2"/>
    <n v="42"/>
    <n v="25871"/>
    <n v="1"/>
    <n v="3.5"/>
    <n v="33"/>
    <n v="10"/>
    <n v="0"/>
    <n v="3.5"/>
    <s v="No"/>
    <s v="Medium"/>
  </r>
  <r>
    <s v="EMP0582"/>
    <x v="1"/>
    <n v="48"/>
    <n v="32855"/>
    <n v="4"/>
    <n v="4.2"/>
    <n v="6"/>
    <n v="22"/>
    <n v="8"/>
    <n v="3.6"/>
    <s v="No"/>
    <s v="Medium"/>
  </r>
  <r>
    <s v="EMP0583"/>
    <x v="2"/>
    <n v="53"/>
    <n v="29199"/>
    <n v="15"/>
    <n v="2.2999999999999998"/>
    <n v="18"/>
    <n v="30"/>
    <n v="5"/>
    <n v="3.2"/>
    <s v="Yes"/>
    <s v="High"/>
  </r>
  <r>
    <s v="EMP0584"/>
    <x v="1"/>
    <n v="40"/>
    <n v="19522"/>
    <n v="9"/>
    <n v="3.2"/>
    <n v="8"/>
    <n v="19"/>
    <n v="2"/>
    <n v="3.4"/>
    <s v="No"/>
    <s v="Low"/>
  </r>
  <r>
    <s v="EMP0585"/>
    <x v="0"/>
    <n v="45"/>
    <n v="23308"/>
    <n v="12"/>
    <n v="3.1"/>
    <n v="13"/>
    <n v="28"/>
    <n v="2"/>
    <n v="3.8"/>
    <s v="No"/>
    <s v="Medium"/>
  </r>
  <r>
    <s v="EMP0586"/>
    <x v="2"/>
    <n v="49"/>
    <n v="27651"/>
    <n v="12"/>
    <n v="4.3"/>
    <n v="47"/>
    <n v="13"/>
    <n v="12"/>
    <n v="5"/>
    <s v="No"/>
    <s v="Low"/>
  </r>
  <r>
    <s v="EMP0587"/>
    <x v="4"/>
    <n v="34"/>
    <n v="18841"/>
    <n v="4"/>
    <n v="3.1"/>
    <n v="37"/>
    <n v="27"/>
    <n v="8"/>
    <n v="3.1"/>
    <s v="No"/>
    <s v="Medium"/>
  </r>
  <r>
    <s v="EMP0588"/>
    <x v="3"/>
    <n v="22"/>
    <n v="19445"/>
    <n v="7"/>
    <n v="1.9"/>
    <n v="15"/>
    <n v="3"/>
    <n v="4"/>
    <n v="1.9"/>
    <s v="No"/>
    <s v="Medium"/>
  </r>
  <r>
    <s v="EMP0589"/>
    <x v="1"/>
    <n v="21"/>
    <n v="36197"/>
    <n v="15"/>
    <n v="3.7"/>
    <n v="9"/>
    <n v="20"/>
    <n v="10"/>
    <n v="2.6"/>
    <s v="No"/>
    <s v="Medium"/>
  </r>
  <r>
    <s v="EMP0590"/>
    <x v="2"/>
    <n v="41"/>
    <n v="20286"/>
    <n v="15"/>
    <n v="2.9"/>
    <n v="36"/>
    <n v="29"/>
    <n v="2"/>
    <n v="3.4"/>
    <s v="No"/>
    <s v="Medium"/>
  </r>
  <r>
    <s v="EMP0591"/>
    <x v="3"/>
    <n v="25"/>
    <n v="17254"/>
    <n v="15"/>
    <n v="3.6"/>
    <n v="12"/>
    <n v="29"/>
    <n v="10"/>
    <n v="3.3"/>
    <s v="No"/>
    <s v="Medium"/>
  </r>
  <r>
    <s v="EMP0592"/>
    <x v="0"/>
    <n v="30"/>
    <n v="21384"/>
    <n v="11"/>
    <n v="2.9"/>
    <n v="45"/>
    <n v="31"/>
    <n v="4"/>
    <n v="3.6"/>
    <s v="No"/>
    <s v="Medium"/>
  </r>
  <r>
    <s v="EMP0593"/>
    <x v="3"/>
    <n v="31"/>
    <n v="23105"/>
    <n v="11"/>
    <n v="3.9"/>
    <n v="39"/>
    <n v="25"/>
    <n v="8"/>
    <n v="2.8"/>
    <s v="No"/>
    <s v="Medium"/>
  </r>
  <r>
    <s v="EMP0594"/>
    <x v="2"/>
    <n v="48"/>
    <n v="14257"/>
    <n v="13"/>
    <n v="3.1"/>
    <n v="40"/>
    <n v="35"/>
    <n v="20"/>
    <n v="3.7"/>
    <s v="No"/>
    <s v="Medium"/>
  </r>
  <r>
    <s v="EMP0595"/>
    <x v="0"/>
    <n v="46"/>
    <n v="34235"/>
    <n v="0"/>
    <n v="4"/>
    <n v="5"/>
    <n v="13"/>
    <n v="3"/>
    <n v="3.5"/>
    <s v="No"/>
    <s v="Medium"/>
  </r>
  <r>
    <s v="EMP0596"/>
    <x v="3"/>
    <n v="23"/>
    <n v="13539"/>
    <n v="6"/>
    <n v="3.1"/>
    <n v="17"/>
    <n v="11"/>
    <n v="2"/>
    <n v="3.9"/>
    <s v="No"/>
    <s v="Low"/>
  </r>
  <r>
    <s v="EMP0597"/>
    <x v="1"/>
    <n v="45"/>
    <n v="33436"/>
    <n v="14"/>
    <n v="2.9"/>
    <n v="39"/>
    <n v="0"/>
    <n v="7"/>
    <n v="1.2"/>
    <s v="Yes"/>
    <s v="High"/>
  </r>
  <r>
    <s v="EMP0598"/>
    <x v="3"/>
    <n v="41"/>
    <n v="27433"/>
    <n v="10"/>
    <n v="2.9"/>
    <n v="10"/>
    <n v="14"/>
    <n v="6"/>
    <n v="2.8"/>
    <s v="No"/>
    <s v="Medium"/>
  </r>
  <r>
    <s v="EMP0599"/>
    <x v="0"/>
    <n v="52"/>
    <n v="35724"/>
    <n v="3"/>
    <n v="3.6"/>
    <n v="45"/>
    <n v="3"/>
    <n v="3"/>
    <n v="2.9"/>
    <s v="No"/>
    <s v="Medium"/>
  </r>
  <r>
    <s v="EMP0600"/>
    <x v="2"/>
    <n v="29"/>
    <n v="28104"/>
    <n v="10"/>
    <n v="4.7"/>
    <n v="14"/>
    <n v="29"/>
    <n v="9"/>
    <n v="2.5"/>
    <s v="No"/>
    <s v="Medium"/>
  </r>
  <r>
    <s v="EMP0601"/>
    <x v="0"/>
    <n v="58"/>
    <n v="26676"/>
    <n v="0"/>
    <n v="2.4"/>
    <n v="23"/>
    <n v="0"/>
    <n v="6"/>
    <n v="2.5"/>
    <s v="No"/>
    <s v="Medium"/>
  </r>
  <r>
    <s v="EMP0602"/>
    <x v="3"/>
    <n v="22"/>
    <n v="13167"/>
    <n v="3"/>
    <n v="3.9"/>
    <n v="40"/>
    <n v="10"/>
    <n v="4"/>
    <n v="3.1"/>
    <s v="No"/>
    <s v="Low"/>
  </r>
  <r>
    <s v="EMP0603"/>
    <x v="1"/>
    <n v="40"/>
    <n v="20067"/>
    <n v="1"/>
    <n v="3"/>
    <n v="14"/>
    <n v="22"/>
    <n v="5"/>
    <n v="4.0999999999999996"/>
    <s v="Yes"/>
    <s v="High"/>
  </r>
  <r>
    <s v="EMP0604"/>
    <x v="0"/>
    <n v="36"/>
    <n v="20203"/>
    <n v="10"/>
    <n v="3.2"/>
    <n v="26"/>
    <n v="3"/>
    <n v="12"/>
    <n v="4.5999999999999996"/>
    <s v="No"/>
    <s v="Low"/>
  </r>
  <r>
    <s v="EMP0605"/>
    <x v="1"/>
    <n v="39"/>
    <n v="20094"/>
    <n v="9"/>
    <n v="3.2"/>
    <n v="16"/>
    <n v="15"/>
    <n v="3"/>
    <n v="3.6"/>
    <s v="No"/>
    <s v="Low"/>
  </r>
  <r>
    <s v="EMP0606"/>
    <x v="3"/>
    <n v="31"/>
    <n v="26301"/>
    <n v="11"/>
    <n v="3.8"/>
    <n v="40"/>
    <n v="34"/>
    <n v="9"/>
    <n v="3.4"/>
    <s v="Yes"/>
    <s v="High"/>
  </r>
  <r>
    <s v="EMP0607"/>
    <x v="1"/>
    <n v="38"/>
    <n v="37998"/>
    <n v="12"/>
    <n v="2.8"/>
    <n v="42"/>
    <n v="8"/>
    <n v="14"/>
    <n v="3.8"/>
    <s v="No"/>
    <s v="Low"/>
  </r>
  <r>
    <s v="EMP0608"/>
    <x v="3"/>
    <n v="46"/>
    <n v="20533"/>
    <n v="11"/>
    <n v="3.3"/>
    <n v="21"/>
    <n v="10"/>
    <n v="7"/>
    <n v="3.5"/>
    <s v="No"/>
    <s v="Low"/>
  </r>
  <r>
    <s v="EMP0609"/>
    <x v="1"/>
    <n v="26"/>
    <n v="30203"/>
    <n v="4"/>
    <n v="3.8"/>
    <n v="48"/>
    <n v="14"/>
    <n v="10"/>
    <n v="4.0999999999999996"/>
    <s v="No"/>
    <s v="Low"/>
  </r>
  <r>
    <s v="EMP0610"/>
    <x v="0"/>
    <n v="48"/>
    <n v="33514"/>
    <n v="12"/>
    <n v="3.9"/>
    <n v="20"/>
    <n v="24"/>
    <n v="13"/>
    <n v="4.5999999999999996"/>
    <s v="No"/>
    <s v="Medium"/>
  </r>
  <r>
    <s v="EMP0611"/>
    <x v="5"/>
    <n v="48"/>
    <n v="15073"/>
    <n v="5"/>
    <n v="2.5"/>
    <n v="21"/>
    <n v="20"/>
    <n v="0"/>
    <n v="3.9"/>
    <s v="No"/>
    <s v="Low"/>
  </r>
  <r>
    <s v="EMP0612"/>
    <x v="4"/>
    <n v="27"/>
    <n v="17810"/>
    <n v="0"/>
    <n v="2.9"/>
    <n v="24"/>
    <n v="6"/>
    <n v="5"/>
    <n v="4.8"/>
    <s v="No"/>
    <s v="Medium"/>
  </r>
  <r>
    <s v="EMP0613"/>
    <x v="5"/>
    <n v="27"/>
    <n v="28948"/>
    <n v="15"/>
    <n v="4.2"/>
    <n v="12"/>
    <n v="16"/>
    <n v="4"/>
    <n v="1"/>
    <s v="No"/>
    <s v="Medium"/>
  </r>
  <r>
    <s v="EMP0614"/>
    <x v="4"/>
    <n v="37"/>
    <n v="15870"/>
    <n v="8"/>
    <n v="3.9"/>
    <n v="44"/>
    <n v="20"/>
    <n v="4"/>
    <n v="2.2999999999999998"/>
    <s v="Yes"/>
    <s v="High"/>
  </r>
  <r>
    <s v="EMP0615"/>
    <x v="0"/>
    <n v="21"/>
    <n v="35784"/>
    <n v="15"/>
    <n v="2.4"/>
    <n v="16"/>
    <n v="13"/>
    <n v="0"/>
    <n v="4.5"/>
    <s v="No"/>
    <s v="Low"/>
  </r>
  <r>
    <s v="EMP0616"/>
    <x v="5"/>
    <n v="48"/>
    <n v="25117"/>
    <n v="5"/>
    <n v="2.5"/>
    <n v="25"/>
    <n v="29"/>
    <n v="5"/>
    <n v="2.1"/>
    <s v="No"/>
    <s v="Medium"/>
  </r>
  <r>
    <s v="EMP0617"/>
    <x v="1"/>
    <n v="24"/>
    <n v="35497"/>
    <n v="6"/>
    <n v="3.9"/>
    <n v="24"/>
    <n v="27"/>
    <n v="2"/>
    <n v="3.1"/>
    <s v="No"/>
    <s v="Medium"/>
  </r>
  <r>
    <s v="EMP0618"/>
    <x v="0"/>
    <n v="22"/>
    <n v="26720"/>
    <n v="5"/>
    <n v="2.5"/>
    <n v="27"/>
    <n v="19"/>
    <n v="13"/>
    <n v="2.6"/>
    <s v="No"/>
    <s v="Medium"/>
  </r>
  <r>
    <s v="EMP0619"/>
    <x v="1"/>
    <n v="44"/>
    <n v="31838"/>
    <n v="5"/>
    <n v="3.7"/>
    <n v="10"/>
    <n v="34"/>
    <n v="9"/>
    <n v="4"/>
    <s v="No"/>
    <s v="Medium"/>
  </r>
  <r>
    <s v="EMP0620"/>
    <x v="4"/>
    <n v="46"/>
    <n v="18736"/>
    <n v="6"/>
    <n v="4.5999999999999996"/>
    <n v="41"/>
    <n v="16"/>
    <n v="10"/>
    <n v="2.5"/>
    <s v="Yes"/>
    <s v="High"/>
  </r>
  <r>
    <s v="EMP0621"/>
    <x v="0"/>
    <n v="31"/>
    <n v="26962"/>
    <n v="5"/>
    <n v="2.2000000000000002"/>
    <n v="42"/>
    <n v="26"/>
    <n v="2"/>
    <n v="2.1"/>
    <s v="No"/>
    <s v="Medium"/>
  </r>
  <r>
    <s v="EMP0622"/>
    <x v="0"/>
    <n v="47"/>
    <n v="18008"/>
    <n v="1"/>
    <n v="4.3"/>
    <n v="41"/>
    <n v="23"/>
    <n v="4"/>
    <n v="3.6"/>
    <s v="No"/>
    <s v="Medium"/>
  </r>
  <r>
    <s v="EMP0623"/>
    <x v="1"/>
    <n v="23"/>
    <n v="26589"/>
    <n v="2"/>
    <n v="2.9"/>
    <n v="16"/>
    <n v="34"/>
    <n v="5"/>
    <n v="3"/>
    <s v="No"/>
    <s v="Medium"/>
  </r>
  <r>
    <s v="EMP0624"/>
    <x v="3"/>
    <n v="26"/>
    <n v="19263"/>
    <n v="1"/>
    <n v="3.1"/>
    <n v="30"/>
    <n v="1"/>
    <n v="8"/>
    <n v="3.2"/>
    <s v="No"/>
    <s v="Medium"/>
  </r>
  <r>
    <s v="EMP0625"/>
    <x v="2"/>
    <n v="41"/>
    <n v="27106"/>
    <n v="1"/>
    <n v="2.6"/>
    <n v="12"/>
    <n v="25"/>
    <n v="7"/>
    <n v="3.1"/>
    <s v="No"/>
    <s v="Medium"/>
  </r>
  <r>
    <s v="EMP0626"/>
    <x v="1"/>
    <n v="21"/>
    <n v="29668"/>
    <n v="6"/>
    <n v="4.5999999999999996"/>
    <n v="21"/>
    <n v="27"/>
    <n v="12"/>
    <n v="4.3"/>
    <s v="No"/>
    <s v="Medium"/>
  </r>
  <r>
    <s v="EMP0627"/>
    <x v="0"/>
    <n v="28"/>
    <n v="24495"/>
    <n v="8"/>
    <n v="3.3"/>
    <n v="31"/>
    <n v="19"/>
    <n v="8"/>
    <n v="3.8"/>
    <s v="No"/>
    <s v="Low"/>
  </r>
  <r>
    <s v="EMP0628"/>
    <x v="1"/>
    <n v="38"/>
    <n v="25443"/>
    <n v="15"/>
    <n v="3.8"/>
    <n v="46"/>
    <n v="24"/>
    <n v="1"/>
    <n v="3.3"/>
    <s v="No"/>
    <s v="Medium"/>
  </r>
  <r>
    <s v="EMP0629"/>
    <x v="2"/>
    <n v="48"/>
    <n v="20829"/>
    <n v="8"/>
    <n v="4.5"/>
    <n v="34"/>
    <n v="20"/>
    <n v="1"/>
    <n v="3.7"/>
    <s v="No"/>
    <s v="Low"/>
  </r>
  <r>
    <s v="EMP0630"/>
    <x v="2"/>
    <n v="26"/>
    <n v="30200"/>
    <n v="5"/>
    <n v="3.1"/>
    <n v="6"/>
    <n v="10"/>
    <n v="5"/>
    <n v="4"/>
    <s v="No"/>
    <s v="Low"/>
  </r>
  <r>
    <s v="EMP0631"/>
    <x v="1"/>
    <n v="25"/>
    <n v="26176"/>
    <n v="10"/>
    <n v="3.7"/>
    <n v="28"/>
    <n v="16"/>
    <n v="1"/>
    <n v="2"/>
    <s v="Yes"/>
    <s v="High"/>
  </r>
  <r>
    <s v="EMP0632"/>
    <x v="1"/>
    <n v="39"/>
    <n v="26385"/>
    <n v="13"/>
    <n v="3.8"/>
    <n v="39"/>
    <n v="2"/>
    <n v="5"/>
    <n v="4.4000000000000004"/>
    <s v="No"/>
    <s v="Low"/>
  </r>
  <r>
    <s v="EMP0633"/>
    <x v="3"/>
    <n v="38"/>
    <n v="13052"/>
    <n v="7"/>
    <n v="2.7"/>
    <n v="24"/>
    <n v="30"/>
    <n v="6"/>
    <n v="3.4"/>
    <s v="Yes"/>
    <s v="High"/>
  </r>
  <r>
    <s v="EMP0634"/>
    <x v="4"/>
    <n v="38"/>
    <n v="12532"/>
    <n v="7"/>
    <n v="2.8"/>
    <n v="34"/>
    <n v="34"/>
    <n v="11"/>
    <n v="4"/>
    <s v="Yes"/>
    <s v="High"/>
  </r>
  <r>
    <s v="EMP0635"/>
    <x v="3"/>
    <n v="47"/>
    <n v="20464"/>
    <n v="8"/>
    <n v="3.3"/>
    <n v="29"/>
    <n v="24"/>
    <n v="10"/>
    <n v="4.7"/>
    <s v="No"/>
    <s v="Medium"/>
  </r>
  <r>
    <s v="EMP0636"/>
    <x v="1"/>
    <n v="47"/>
    <n v="34314"/>
    <n v="7"/>
    <n v="4.0999999999999996"/>
    <n v="29"/>
    <n v="35"/>
    <n v="14"/>
    <n v="2.5"/>
    <s v="No"/>
    <s v="Medium"/>
  </r>
  <r>
    <s v="EMP0637"/>
    <x v="1"/>
    <n v="40"/>
    <n v="31214"/>
    <n v="1"/>
    <n v="3.8"/>
    <n v="34"/>
    <n v="10"/>
    <n v="5"/>
    <n v="3"/>
    <s v="No"/>
    <s v="Medium"/>
  </r>
  <r>
    <s v="EMP0638"/>
    <x v="1"/>
    <n v="42"/>
    <n v="33890"/>
    <n v="12"/>
    <n v="3.2"/>
    <n v="5"/>
    <n v="18"/>
    <n v="10"/>
    <n v="3.3"/>
    <s v="No"/>
    <s v="Low"/>
  </r>
  <r>
    <s v="EMP0639"/>
    <x v="3"/>
    <n v="23"/>
    <n v="24565"/>
    <n v="8"/>
    <n v="4.3"/>
    <n v="19"/>
    <n v="13"/>
    <n v="3"/>
    <n v="4.4000000000000004"/>
    <s v="No"/>
    <s v="Low"/>
  </r>
  <r>
    <s v="EMP0640"/>
    <x v="0"/>
    <n v="22"/>
    <n v="33433"/>
    <n v="5"/>
    <n v="3.6"/>
    <n v="30"/>
    <n v="26"/>
    <n v="9"/>
    <n v="2.7"/>
    <s v="No"/>
    <s v="Medium"/>
  </r>
  <r>
    <s v="EMP0641"/>
    <x v="1"/>
    <n v="26"/>
    <n v="33815"/>
    <n v="13"/>
    <n v="2.9"/>
    <n v="25"/>
    <n v="2"/>
    <n v="10"/>
    <n v="2.2999999999999998"/>
    <s v="No"/>
    <s v="Medium"/>
  </r>
  <r>
    <s v="EMP0642"/>
    <x v="0"/>
    <n v="40"/>
    <n v="40818"/>
    <n v="15"/>
    <n v="4.3"/>
    <n v="29"/>
    <n v="1"/>
    <n v="6"/>
    <n v="2.6"/>
    <s v="No"/>
    <s v="Medium"/>
  </r>
  <r>
    <s v="EMP0643"/>
    <x v="1"/>
    <n v="22"/>
    <n v="23523"/>
    <n v="14"/>
    <n v="4.5"/>
    <n v="39"/>
    <n v="27"/>
    <n v="8"/>
    <n v="3.5"/>
    <s v="No"/>
    <s v="Medium"/>
  </r>
  <r>
    <s v="EMP0644"/>
    <x v="3"/>
    <n v="49"/>
    <n v="16374"/>
    <n v="2"/>
    <n v="2"/>
    <n v="29"/>
    <n v="10"/>
    <n v="0"/>
    <n v="2.2999999999999998"/>
    <s v="No"/>
    <s v="Medium"/>
  </r>
  <r>
    <s v="EMP0645"/>
    <x v="2"/>
    <n v="51"/>
    <n v="20280"/>
    <n v="2"/>
    <n v="2.9"/>
    <n v="38"/>
    <n v="10"/>
    <n v="1"/>
    <n v="2.2000000000000002"/>
    <s v="No"/>
    <s v="Medium"/>
  </r>
  <r>
    <s v="EMP0646"/>
    <x v="1"/>
    <n v="34"/>
    <n v="21963"/>
    <n v="13"/>
    <n v="3.5"/>
    <n v="23"/>
    <n v="16"/>
    <n v="9"/>
    <n v="4.5"/>
    <s v="No"/>
    <s v="Low"/>
  </r>
  <r>
    <s v="EMP0647"/>
    <x v="0"/>
    <n v="58"/>
    <n v="40510"/>
    <n v="7"/>
    <n v="4.0999999999999996"/>
    <n v="44"/>
    <n v="1"/>
    <n v="5"/>
    <n v="4"/>
    <s v="No"/>
    <s v="Low"/>
  </r>
  <r>
    <s v="EMP0648"/>
    <x v="3"/>
    <n v="49"/>
    <n v="14040"/>
    <n v="14"/>
    <n v="3.9"/>
    <n v="16"/>
    <n v="0"/>
    <n v="0"/>
    <n v="5"/>
    <s v="No"/>
    <s v="Low"/>
  </r>
  <r>
    <s v="EMP0649"/>
    <x v="1"/>
    <n v="35"/>
    <n v="27039"/>
    <n v="4"/>
    <n v="3.7"/>
    <n v="8"/>
    <n v="29"/>
    <n v="0"/>
    <n v="3.3"/>
    <s v="No"/>
    <s v="Medium"/>
  </r>
  <r>
    <s v="EMP0650"/>
    <x v="2"/>
    <n v="45"/>
    <n v="26350"/>
    <n v="3"/>
    <n v="3"/>
    <n v="25"/>
    <n v="33"/>
    <n v="0"/>
    <n v="2.7"/>
    <s v="No"/>
    <s v="Medium"/>
  </r>
  <r>
    <s v="EMP0651"/>
    <x v="2"/>
    <n v="27"/>
    <n v="26439"/>
    <n v="4"/>
    <n v="4.3"/>
    <n v="9"/>
    <n v="21"/>
    <n v="3"/>
    <n v="5"/>
    <s v="No"/>
    <s v="Medium"/>
  </r>
  <r>
    <s v="EMP0652"/>
    <x v="2"/>
    <n v="51"/>
    <n v="15782"/>
    <n v="1"/>
    <n v="3.4"/>
    <n v="32"/>
    <n v="3"/>
    <n v="7"/>
    <n v="4.4000000000000004"/>
    <s v="No"/>
    <s v="Medium"/>
  </r>
  <r>
    <s v="EMP0653"/>
    <x v="5"/>
    <n v="25"/>
    <n v="23662"/>
    <n v="13"/>
    <n v="2.2999999999999998"/>
    <n v="22"/>
    <n v="19"/>
    <n v="4"/>
    <n v="3.8"/>
    <s v="No"/>
    <s v="Low"/>
  </r>
  <r>
    <s v="EMP0654"/>
    <x v="4"/>
    <n v="22"/>
    <n v="21493"/>
    <n v="10"/>
    <n v="2.8"/>
    <n v="40"/>
    <n v="11"/>
    <n v="3"/>
    <n v="2.6"/>
    <s v="No"/>
    <s v="Medium"/>
  </r>
  <r>
    <s v="EMP0655"/>
    <x v="2"/>
    <n v="47"/>
    <n v="31689"/>
    <n v="12"/>
    <n v="3.7"/>
    <n v="34"/>
    <n v="25"/>
    <n v="4"/>
    <n v="3.3"/>
    <s v="Yes"/>
    <s v="High"/>
  </r>
  <r>
    <s v="EMP0656"/>
    <x v="0"/>
    <n v="22"/>
    <n v="38476"/>
    <n v="5"/>
    <n v="3.5"/>
    <n v="30"/>
    <n v="12"/>
    <n v="2"/>
    <n v="1.8"/>
    <s v="No"/>
    <s v="Medium"/>
  </r>
  <r>
    <s v="EMP0657"/>
    <x v="0"/>
    <n v="41"/>
    <n v="38650"/>
    <n v="15"/>
    <n v="3.7"/>
    <n v="4"/>
    <n v="18"/>
    <n v="5"/>
    <n v="4.2"/>
    <s v="No"/>
    <s v="Low"/>
  </r>
  <r>
    <s v="EMP0658"/>
    <x v="0"/>
    <n v="44"/>
    <n v="31363"/>
    <n v="7"/>
    <n v="1.7"/>
    <n v="33"/>
    <n v="23"/>
    <n v="6"/>
    <n v="4"/>
    <s v="No"/>
    <s v="Medium"/>
  </r>
  <r>
    <s v="EMP0659"/>
    <x v="5"/>
    <n v="49"/>
    <n v="24994"/>
    <n v="14"/>
    <n v="5"/>
    <n v="22"/>
    <n v="15"/>
    <n v="6"/>
    <n v="3.1"/>
    <s v="No"/>
    <s v="Low"/>
  </r>
  <r>
    <s v="EMP0660"/>
    <x v="4"/>
    <n v="40"/>
    <n v="18961"/>
    <n v="8"/>
    <n v="3.7"/>
    <n v="36"/>
    <n v="5"/>
    <n v="4"/>
    <n v="1.8"/>
    <s v="No"/>
    <s v="Medium"/>
  </r>
  <r>
    <s v="EMP0661"/>
    <x v="1"/>
    <n v="22"/>
    <n v="27912"/>
    <n v="4"/>
    <n v="4.5999999999999996"/>
    <n v="40"/>
    <n v="28"/>
    <n v="12"/>
    <n v="4.0999999999999996"/>
    <s v="No"/>
    <s v="Medium"/>
  </r>
  <r>
    <s v="EMP0662"/>
    <x v="4"/>
    <n v="46"/>
    <n v="19010"/>
    <n v="1"/>
    <n v="3.4"/>
    <n v="28"/>
    <n v="25"/>
    <n v="8"/>
    <n v="2.2999999999999998"/>
    <s v="No"/>
    <s v="Medium"/>
  </r>
  <r>
    <s v="EMP0663"/>
    <x v="5"/>
    <n v="47"/>
    <n v="21108"/>
    <n v="9"/>
    <n v="2.6"/>
    <n v="46"/>
    <n v="11"/>
    <n v="4"/>
    <n v="3.6"/>
    <s v="No"/>
    <s v="Low"/>
  </r>
  <r>
    <s v="EMP0664"/>
    <x v="5"/>
    <n v="54"/>
    <n v="24235"/>
    <n v="4"/>
    <n v="3.6"/>
    <n v="4"/>
    <n v="24"/>
    <n v="5"/>
    <n v="3.6"/>
    <s v="No"/>
    <s v="Medium"/>
  </r>
  <r>
    <s v="EMP0665"/>
    <x v="5"/>
    <n v="58"/>
    <n v="20648"/>
    <n v="4"/>
    <n v="2.2999999999999998"/>
    <n v="50"/>
    <n v="35"/>
    <n v="3"/>
    <n v="3.4"/>
    <s v="No"/>
    <s v="Medium"/>
  </r>
  <r>
    <s v="EMP0666"/>
    <x v="3"/>
    <n v="46"/>
    <n v="20388"/>
    <n v="11"/>
    <n v="4.0999999999999996"/>
    <n v="31"/>
    <n v="0"/>
    <n v="5"/>
    <n v="4"/>
    <s v="No"/>
    <s v="Low"/>
  </r>
  <r>
    <s v="EMP0667"/>
    <x v="2"/>
    <n v="54"/>
    <n v="22240"/>
    <n v="6"/>
    <n v="4.5"/>
    <n v="13"/>
    <n v="8"/>
    <n v="5"/>
    <n v="3.2"/>
    <s v="No"/>
    <s v="Low"/>
  </r>
  <r>
    <s v="EMP0668"/>
    <x v="1"/>
    <n v="40"/>
    <n v="34283"/>
    <n v="2"/>
    <n v="3.5"/>
    <n v="23"/>
    <n v="14"/>
    <n v="11"/>
    <n v="1.9"/>
    <s v="No"/>
    <s v="Medium"/>
  </r>
  <r>
    <s v="EMP0669"/>
    <x v="5"/>
    <n v="25"/>
    <n v="18344"/>
    <n v="15"/>
    <n v="2.7"/>
    <n v="38"/>
    <n v="30"/>
    <n v="14"/>
    <n v="4.2"/>
    <s v="No"/>
    <s v="Medium"/>
  </r>
  <r>
    <s v="EMP0670"/>
    <x v="4"/>
    <n v="41"/>
    <n v="22930"/>
    <n v="4"/>
    <n v="4.2"/>
    <n v="22"/>
    <n v="0"/>
    <n v="1"/>
    <n v="5"/>
    <s v="No"/>
    <s v="Low"/>
  </r>
  <r>
    <s v="EMP0671"/>
    <x v="2"/>
    <n v="54"/>
    <n v="19985"/>
    <n v="15"/>
    <n v="4.2"/>
    <n v="10"/>
    <n v="16"/>
    <n v="6"/>
    <n v="2.2000000000000002"/>
    <s v="Yes"/>
    <s v="High"/>
  </r>
  <r>
    <s v="EMP0672"/>
    <x v="5"/>
    <n v="55"/>
    <n v="23748"/>
    <n v="0"/>
    <n v="3"/>
    <n v="9"/>
    <n v="30"/>
    <n v="4"/>
    <n v="2.8"/>
    <s v="No"/>
    <s v="Medium"/>
  </r>
  <r>
    <s v="EMP0673"/>
    <x v="3"/>
    <n v="60"/>
    <n v="21621"/>
    <n v="10"/>
    <n v="3.9"/>
    <n v="45"/>
    <n v="18"/>
    <n v="6"/>
    <n v="3.5"/>
    <s v="No"/>
    <s v="Low"/>
  </r>
  <r>
    <s v="EMP0674"/>
    <x v="1"/>
    <n v="52"/>
    <n v="24353"/>
    <n v="6"/>
    <n v="3.3"/>
    <n v="34"/>
    <n v="20"/>
    <n v="7"/>
    <n v="3.1"/>
    <s v="No"/>
    <s v="Low"/>
  </r>
  <r>
    <s v="EMP0675"/>
    <x v="3"/>
    <n v="52"/>
    <n v="14200"/>
    <n v="1"/>
    <n v="3.5"/>
    <n v="40"/>
    <n v="11"/>
    <n v="8"/>
    <n v="3.9"/>
    <s v="No"/>
    <s v="Medium"/>
  </r>
  <r>
    <s v="EMP0676"/>
    <x v="5"/>
    <n v="58"/>
    <n v="22934"/>
    <n v="6"/>
    <n v="3.3"/>
    <n v="33"/>
    <n v="2"/>
    <n v="8"/>
    <n v="4.8"/>
    <s v="No"/>
    <s v="Low"/>
  </r>
  <r>
    <s v="EMP0677"/>
    <x v="1"/>
    <n v="38"/>
    <n v="37020"/>
    <n v="15"/>
    <n v="2.6"/>
    <n v="38"/>
    <n v="26"/>
    <n v="8"/>
    <n v="4.4000000000000004"/>
    <s v="No"/>
    <s v="Medium"/>
  </r>
  <r>
    <s v="EMP0678"/>
    <x v="2"/>
    <n v="21"/>
    <n v="29415"/>
    <n v="2"/>
    <n v="2.4"/>
    <n v="34"/>
    <n v="2"/>
    <n v="12"/>
    <n v="3.2"/>
    <s v="No"/>
    <s v="Low"/>
  </r>
  <r>
    <s v="EMP0679"/>
    <x v="1"/>
    <n v="26"/>
    <n v="26828"/>
    <n v="11"/>
    <n v="4.0999999999999996"/>
    <n v="16"/>
    <n v="16"/>
    <n v="8"/>
    <n v="5"/>
    <s v="No"/>
    <s v="Low"/>
  </r>
  <r>
    <s v="EMP0680"/>
    <x v="1"/>
    <n v="53"/>
    <n v="30348"/>
    <n v="3"/>
    <n v="3.7"/>
    <n v="24"/>
    <n v="28"/>
    <n v="6"/>
    <n v="4.8"/>
    <s v="No"/>
    <s v="Medium"/>
  </r>
  <r>
    <s v="EMP0681"/>
    <x v="4"/>
    <n v="44"/>
    <n v="22594"/>
    <n v="15"/>
    <n v="3.4"/>
    <n v="22"/>
    <n v="0"/>
    <n v="6"/>
    <n v="1.8"/>
    <s v="No"/>
    <s v="Medium"/>
  </r>
  <r>
    <s v="EMP0682"/>
    <x v="4"/>
    <n v="40"/>
    <n v="12301"/>
    <n v="7"/>
    <n v="2.5"/>
    <n v="42"/>
    <n v="34"/>
    <n v="7"/>
    <n v="3.7"/>
    <s v="No"/>
    <s v="Medium"/>
  </r>
  <r>
    <s v="EMP0683"/>
    <x v="4"/>
    <n v="34"/>
    <n v="23983"/>
    <n v="1"/>
    <n v="3.5"/>
    <n v="38"/>
    <n v="35"/>
    <n v="10"/>
    <n v="1.6"/>
    <s v="No"/>
    <s v="Medium"/>
  </r>
  <r>
    <s v="EMP0684"/>
    <x v="4"/>
    <n v="22"/>
    <n v="18418"/>
    <n v="10"/>
    <n v="4.5999999999999996"/>
    <n v="14"/>
    <n v="21"/>
    <n v="13"/>
    <n v="4.4000000000000004"/>
    <s v="No"/>
    <s v="Medium"/>
  </r>
  <r>
    <s v="EMP0685"/>
    <x v="3"/>
    <n v="59"/>
    <n v="18612"/>
    <n v="4"/>
    <n v="4"/>
    <n v="42"/>
    <n v="29"/>
    <n v="15"/>
    <n v="2.9"/>
    <s v="No"/>
    <s v="Medium"/>
  </r>
  <r>
    <s v="EMP0686"/>
    <x v="5"/>
    <n v="24"/>
    <n v="26793"/>
    <n v="15"/>
    <n v="4.9000000000000004"/>
    <n v="6"/>
    <n v="10"/>
    <n v="12"/>
    <n v="3.7"/>
    <s v="No"/>
    <s v="Low"/>
  </r>
  <r>
    <s v="EMP0687"/>
    <x v="4"/>
    <n v="60"/>
    <n v="13292"/>
    <n v="2"/>
    <n v="3.9"/>
    <n v="13"/>
    <n v="24"/>
    <n v="13"/>
    <n v="3.1"/>
    <s v="No"/>
    <s v="Medium"/>
  </r>
  <r>
    <s v="EMP0688"/>
    <x v="5"/>
    <n v="42"/>
    <n v="21542"/>
    <n v="5"/>
    <n v="3.6"/>
    <n v="46"/>
    <n v="7"/>
    <n v="10"/>
    <n v="4.2"/>
    <s v="Yes"/>
    <s v="High"/>
  </r>
  <r>
    <s v="EMP0689"/>
    <x v="3"/>
    <n v="31"/>
    <n v="16700"/>
    <n v="0"/>
    <n v="1.5"/>
    <n v="27"/>
    <n v="17"/>
    <n v="7"/>
    <n v="3"/>
    <s v="No"/>
    <s v="Medium"/>
  </r>
  <r>
    <s v="EMP0690"/>
    <x v="2"/>
    <n v="55"/>
    <n v="18508"/>
    <n v="9"/>
    <n v="4.5999999999999996"/>
    <n v="28"/>
    <n v="4"/>
    <n v="8"/>
    <n v="2.2999999999999998"/>
    <s v="No"/>
    <s v="Medium"/>
  </r>
  <r>
    <s v="EMP0691"/>
    <x v="5"/>
    <n v="38"/>
    <n v="17167"/>
    <n v="5"/>
    <n v="3.4"/>
    <n v="40"/>
    <n v="24"/>
    <n v="12"/>
    <n v="4.2"/>
    <s v="No"/>
    <s v="Medium"/>
  </r>
  <r>
    <s v="EMP0692"/>
    <x v="0"/>
    <n v="45"/>
    <n v="35518"/>
    <n v="15"/>
    <n v="3"/>
    <n v="39"/>
    <n v="28"/>
    <n v="15"/>
    <n v="3.5"/>
    <s v="No"/>
    <s v="Medium"/>
  </r>
  <r>
    <s v="EMP0693"/>
    <x v="2"/>
    <n v="42"/>
    <n v="15698"/>
    <n v="7"/>
    <n v="3.3"/>
    <n v="6"/>
    <n v="8"/>
    <n v="6"/>
    <n v="3.2"/>
    <s v="Yes"/>
    <s v="High"/>
  </r>
  <r>
    <s v="EMP0694"/>
    <x v="4"/>
    <n v="48"/>
    <n v="12179"/>
    <n v="6"/>
    <n v="1.7"/>
    <n v="41"/>
    <n v="2"/>
    <n v="0"/>
    <n v="1.9"/>
    <s v="Yes"/>
    <s v="High"/>
  </r>
  <r>
    <s v="EMP0695"/>
    <x v="4"/>
    <n v="36"/>
    <n v="21966"/>
    <n v="8"/>
    <n v="2.8"/>
    <n v="33"/>
    <n v="23"/>
    <n v="11"/>
    <n v="2.1"/>
    <s v="No"/>
    <s v="Medium"/>
  </r>
  <r>
    <s v="EMP0696"/>
    <x v="2"/>
    <n v="57"/>
    <n v="20116"/>
    <n v="13"/>
    <n v="2.9"/>
    <n v="6"/>
    <n v="8"/>
    <n v="9"/>
    <n v="2.6"/>
    <s v="No"/>
    <s v="Medium"/>
  </r>
  <r>
    <s v="EMP0697"/>
    <x v="3"/>
    <n v="39"/>
    <n v="23324"/>
    <n v="1"/>
    <n v="2.8"/>
    <n v="42"/>
    <n v="18"/>
    <n v="12"/>
    <n v="2.7"/>
    <s v="Yes"/>
    <s v="High"/>
  </r>
  <r>
    <s v="EMP0698"/>
    <x v="2"/>
    <n v="28"/>
    <n v="14533"/>
    <n v="12"/>
    <n v="1.7"/>
    <n v="26"/>
    <n v="22"/>
    <n v="3"/>
    <n v="3.3"/>
    <s v="No"/>
    <s v="Medium"/>
  </r>
  <r>
    <s v="EMP0699"/>
    <x v="1"/>
    <n v="42"/>
    <n v="24141"/>
    <n v="11"/>
    <n v="4"/>
    <n v="35"/>
    <n v="3"/>
    <n v="10"/>
    <n v="3"/>
    <s v="Yes"/>
    <s v="High"/>
  </r>
  <r>
    <s v="EMP0700"/>
    <x v="3"/>
    <n v="27"/>
    <n v="21876"/>
    <n v="14"/>
    <n v="4.2"/>
    <n v="4"/>
    <n v="18"/>
    <n v="1"/>
    <n v="3.8"/>
    <s v="No"/>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EMP0001"/>
    <x v="0"/>
    <n v="31"/>
    <n v="38817"/>
    <x v="0"/>
    <n v="3.5"/>
    <n v="26"/>
    <n v="15"/>
    <n v="9"/>
    <n v="2.1"/>
    <s v="No"/>
    <s v="Medium"/>
  </r>
  <r>
    <s v="EMP0002"/>
    <x v="1"/>
    <n v="39"/>
    <n v="21019"/>
    <x v="1"/>
    <n v="3.2"/>
    <n v="43"/>
    <n v="27"/>
    <n v="12"/>
    <n v="4.0999999999999996"/>
    <s v="No"/>
    <s v="Medium"/>
  </r>
  <r>
    <s v="EMP0003"/>
    <x v="2"/>
    <n v="26"/>
    <n v="24433"/>
    <x v="2"/>
    <n v="2.2000000000000002"/>
    <n v="24"/>
    <n v="28"/>
    <n v="3"/>
    <n v="2.4"/>
    <s v="No"/>
    <s v="Medium"/>
  </r>
  <r>
    <s v="EMP0004"/>
    <x v="1"/>
    <n v="52"/>
    <n v="25235"/>
    <x v="1"/>
    <n v="4.5"/>
    <n v="48"/>
    <n v="22"/>
    <n v="0"/>
    <n v="4.4000000000000004"/>
    <s v="No"/>
    <s v="Medium"/>
  </r>
  <r>
    <s v="EMP0005"/>
    <x v="3"/>
    <n v="50"/>
    <n v="15327"/>
    <x v="3"/>
    <n v="4.9000000000000004"/>
    <n v="24"/>
    <n v="24"/>
    <n v="3"/>
    <n v="4.7"/>
    <s v="No"/>
    <s v="Medium"/>
  </r>
  <r>
    <s v="EMP0006"/>
    <x v="2"/>
    <n v="48"/>
    <n v="19661"/>
    <x v="4"/>
    <n v="3.3"/>
    <n v="34"/>
    <n v="9"/>
    <n v="6"/>
    <n v="4"/>
    <s v="No"/>
    <s v="Low"/>
  </r>
  <r>
    <s v="EMP0007"/>
    <x v="0"/>
    <n v="40"/>
    <n v="27098"/>
    <x v="5"/>
    <n v="1.6"/>
    <n v="14"/>
    <n v="31"/>
    <n v="10"/>
    <n v="3.7"/>
    <s v="No"/>
    <s v="Medium"/>
  </r>
  <r>
    <s v="EMP0008"/>
    <x v="2"/>
    <n v="41"/>
    <n v="29620"/>
    <x v="5"/>
    <n v="3.3"/>
    <n v="17"/>
    <n v="26"/>
    <n v="0"/>
    <n v="3.5"/>
    <s v="No"/>
    <s v="Medium"/>
  </r>
  <r>
    <s v="EMP0009"/>
    <x v="1"/>
    <n v="40"/>
    <n v="22992"/>
    <x v="0"/>
    <n v="3"/>
    <n v="48"/>
    <n v="8"/>
    <n v="9"/>
    <n v="1.8"/>
    <s v="Yes"/>
    <s v="High"/>
  </r>
  <r>
    <s v="EMP0010"/>
    <x v="3"/>
    <n v="44"/>
    <n v="18344"/>
    <x v="6"/>
    <n v="5"/>
    <n v="44"/>
    <n v="30"/>
    <n v="7"/>
    <n v="2.2999999999999998"/>
    <s v="No"/>
    <s v="Medium"/>
  </r>
  <r>
    <s v="EMP0011"/>
    <x v="1"/>
    <n v="33"/>
    <n v="37752"/>
    <x v="7"/>
    <n v="3.6"/>
    <n v="40"/>
    <n v="30"/>
    <n v="3"/>
    <n v="4"/>
    <s v="No"/>
    <s v="Medium"/>
  </r>
  <r>
    <s v="EMP0012"/>
    <x v="3"/>
    <n v="30"/>
    <n v="21043"/>
    <x v="8"/>
    <n v="3"/>
    <n v="8"/>
    <n v="28"/>
    <n v="4"/>
    <n v="3.8"/>
    <s v="No"/>
    <s v="Medium"/>
  </r>
  <r>
    <s v="EMP0013"/>
    <x v="4"/>
    <n v="30"/>
    <n v="22372"/>
    <x v="9"/>
    <n v="2.7"/>
    <n v="34"/>
    <n v="35"/>
    <n v="13"/>
    <n v="3.8"/>
    <s v="No"/>
    <s v="Medium"/>
  </r>
  <r>
    <s v="EMP0014"/>
    <x v="1"/>
    <n v="59"/>
    <n v="25166"/>
    <x v="0"/>
    <n v="3.9"/>
    <n v="50"/>
    <n v="3"/>
    <n v="6"/>
    <n v="2.8"/>
    <s v="No"/>
    <s v="Medium"/>
  </r>
  <r>
    <s v="EMP0015"/>
    <x v="1"/>
    <n v="36"/>
    <n v="19357"/>
    <x v="10"/>
    <n v="3.3"/>
    <n v="45"/>
    <n v="26"/>
    <n v="7"/>
    <n v="4.3"/>
    <s v="No"/>
    <s v="Medium"/>
  </r>
  <r>
    <s v="EMP0016"/>
    <x v="0"/>
    <n v="49"/>
    <n v="36194"/>
    <x v="11"/>
    <n v="3.8"/>
    <n v="21"/>
    <n v="29"/>
    <n v="5"/>
    <n v="4.8"/>
    <s v="No"/>
    <s v="Medium"/>
  </r>
  <r>
    <s v="EMP0017"/>
    <x v="0"/>
    <n v="58"/>
    <n v="28577"/>
    <x v="5"/>
    <n v="2.9"/>
    <n v="50"/>
    <n v="24"/>
    <n v="9"/>
    <n v="2.2000000000000002"/>
    <s v="No"/>
    <s v="Medium"/>
  </r>
  <r>
    <s v="EMP0018"/>
    <x v="3"/>
    <n v="32"/>
    <n v="23545"/>
    <x v="1"/>
    <n v="3.1"/>
    <n v="36"/>
    <n v="3"/>
    <n v="5"/>
    <n v="2"/>
    <s v="No"/>
    <s v="Medium"/>
  </r>
  <r>
    <s v="EMP0019"/>
    <x v="2"/>
    <n v="29"/>
    <n v="18966"/>
    <x v="2"/>
    <n v="3.5"/>
    <n v="25"/>
    <n v="5"/>
    <n v="0"/>
    <n v="2.1"/>
    <s v="No"/>
    <s v="Medium"/>
  </r>
  <r>
    <s v="EMP0020"/>
    <x v="5"/>
    <n v="24"/>
    <n v="17539"/>
    <x v="2"/>
    <n v="4.0999999999999996"/>
    <n v="17"/>
    <n v="28"/>
    <n v="10"/>
    <n v="4.7"/>
    <s v="No"/>
    <s v="Medium"/>
  </r>
  <r>
    <s v="EMP0021"/>
    <x v="0"/>
    <n v="36"/>
    <n v="39127"/>
    <x v="7"/>
    <n v="3.2"/>
    <n v="18"/>
    <n v="9"/>
    <n v="6"/>
    <n v="3.9"/>
    <s v="No"/>
    <s v="Low"/>
  </r>
  <r>
    <s v="EMP0022"/>
    <x v="3"/>
    <n v="46"/>
    <n v="21064"/>
    <x v="3"/>
    <n v="3.3"/>
    <n v="39"/>
    <n v="4"/>
    <n v="11"/>
    <n v="3.7"/>
    <s v="No"/>
    <s v="Low"/>
  </r>
  <r>
    <s v="EMP0023"/>
    <x v="5"/>
    <n v="52"/>
    <n v="29444"/>
    <x v="12"/>
    <n v="3"/>
    <n v="4"/>
    <n v="18"/>
    <n v="7"/>
    <n v="3.3"/>
    <s v="No"/>
    <s v="Low"/>
  </r>
  <r>
    <s v="EMP0024"/>
    <x v="0"/>
    <n v="59"/>
    <n v="28960"/>
    <x v="4"/>
    <n v="4.2"/>
    <n v="11"/>
    <n v="18"/>
    <n v="2"/>
    <n v="3.7"/>
    <s v="No"/>
    <s v="Low"/>
  </r>
  <r>
    <s v="EMP0025"/>
    <x v="4"/>
    <n v="53"/>
    <n v="18348"/>
    <x v="11"/>
    <n v="3.3"/>
    <n v="16"/>
    <n v="19"/>
    <n v="0"/>
    <n v="4.0999999999999996"/>
    <s v="No"/>
    <s v="Low"/>
  </r>
  <r>
    <s v="EMP0026"/>
    <x v="1"/>
    <n v="44"/>
    <n v="26530"/>
    <x v="13"/>
    <n v="2.4"/>
    <n v="36"/>
    <n v="1"/>
    <n v="5"/>
    <n v="4"/>
    <s v="No"/>
    <s v="Low"/>
  </r>
  <r>
    <s v="EMP0027"/>
    <x v="1"/>
    <n v="34"/>
    <n v="31732"/>
    <x v="4"/>
    <n v="3"/>
    <n v="35"/>
    <n v="30"/>
    <n v="5"/>
    <n v="2.7"/>
    <s v="No"/>
    <s v="Medium"/>
  </r>
  <r>
    <s v="EMP0028"/>
    <x v="0"/>
    <n v="25"/>
    <n v="18008"/>
    <x v="8"/>
    <n v="3.2"/>
    <n v="4"/>
    <n v="19"/>
    <n v="0"/>
    <n v="3.9"/>
    <s v="No"/>
    <s v="Low"/>
  </r>
  <r>
    <s v="EMP0029"/>
    <x v="2"/>
    <n v="24"/>
    <n v="26060"/>
    <x v="2"/>
    <n v="3.2"/>
    <n v="23"/>
    <n v="2"/>
    <n v="12"/>
    <n v="4"/>
    <s v="No"/>
    <s v="Low"/>
  </r>
  <r>
    <s v="EMP0030"/>
    <x v="0"/>
    <n v="28"/>
    <n v="33614"/>
    <x v="7"/>
    <n v="3"/>
    <n v="33"/>
    <n v="35"/>
    <n v="6"/>
    <n v="3.6"/>
    <s v="No"/>
    <s v="Medium"/>
  </r>
  <r>
    <s v="EMP0031"/>
    <x v="2"/>
    <n v="30"/>
    <n v="21060"/>
    <x v="1"/>
    <n v="1.9"/>
    <n v="30"/>
    <n v="11"/>
    <n v="6"/>
    <n v="4.5999999999999996"/>
    <s v="Yes"/>
    <s v="High"/>
  </r>
  <r>
    <s v="EMP0032"/>
    <x v="2"/>
    <n v="38"/>
    <n v="23226"/>
    <x v="9"/>
    <n v="3.2"/>
    <n v="46"/>
    <n v="17"/>
    <n v="9"/>
    <n v="3.3"/>
    <s v="No"/>
    <s v="Medium"/>
  </r>
  <r>
    <s v="EMP0033"/>
    <x v="2"/>
    <n v="23"/>
    <n v="28265"/>
    <x v="1"/>
    <n v="3.3"/>
    <n v="27"/>
    <n v="29"/>
    <n v="8"/>
    <n v="3.9"/>
    <s v="No"/>
    <s v="Medium"/>
  </r>
  <r>
    <s v="EMP0034"/>
    <x v="1"/>
    <n v="56"/>
    <n v="29509"/>
    <x v="3"/>
    <n v="2.5"/>
    <n v="15"/>
    <n v="25"/>
    <n v="0"/>
    <n v="5"/>
    <s v="No"/>
    <s v="Medium"/>
  </r>
  <r>
    <s v="EMP0035"/>
    <x v="0"/>
    <n v="52"/>
    <n v="31363"/>
    <x v="8"/>
    <n v="3.9"/>
    <n v="26"/>
    <n v="29"/>
    <n v="4"/>
    <n v="2.2999999999999998"/>
    <s v="No"/>
    <s v="Medium"/>
  </r>
  <r>
    <s v="EMP0036"/>
    <x v="2"/>
    <n v="42"/>
    <n v="30592"/>
    <x v="12"/>
    <n v="3.7"/>
    <n v="40"/>
    <n v="8"/>
    <n v="13"/>
    <n v="3.2"/>
    <s v="No"/>
    <s v="Low"/>
  </r>
  <r>
    <s v="EMP0037"/>
    <x v="3"/>
    <n v="26"/>
    <n v="21912"/>
    <x v="11"/>
    <n v="2.9"/>
    <n v="39"/>
    <n v="10"/>
    <n v="5"/>
    <n v="3.3"/>
    <s v="No"/>
    <s v="Low"/>
  </r>
  <r>
    <s v="EMP0038"/>
    <x v="3"/>
    <n v="28"/>
    <n v="21985"/>
    <x v="4"/>
    <n v="2.2000000000000002"/>
    <n v="18"/>
    <n v="22"/>
    <n v="6"/>
    <n v="2"/>
    <s v="No"/>
    <s v="Medium"/>
  </r>
  <r>
    <s v="EMP0039"/>
    <x v="0"/>
    <n v="50"/>
    <n v="40739"/>
    <x v="11"/>
    <n v="1.6"/>
    <n v="48"/>
    <n v="19"/>
    <n v="6"/>
    <n v="3.4"/>
    <s v="No"/>
    <s v="Low"/>
  </r>
  <r>
    <s v="EMP0040"/>
    <x v="5"/>
    <n v="27"/>
    <n v="19846"/>
    <x v="13"/>
    <n v="4.2"/>
    <n v="15"/>
    <n v="4"/>
    <n v="10"/>
    <n v="3.8"/>
    <s v="No"/>
    <s v="Low"/>
  </r>
  <r>
    <s v="EMP0041"/>
    <x v="1"/>
    <n v="46"/>
    <n v="28837"/>
    <x v="13"/>
    <n v="3"/>
    <n v="34"/>
    <n v="2"/>
    <n v="11"/>
    <n v="2.2999999999999998"/>
    <s v="No"/>
    <s v="Medium"/>
  </r>
  <r>
    <s v="EMP0042"/>
    <x v="1"/>
    <n v="22"/>
    <n v="34518"/>
    <x v="11"/>
    <n v="1.4"/>
    <n v="31"/>
    <n v="22"/>
    <n v="12"/>
    <n v="3"/>
    <s v="No"/>
    <s v="Medium"/>
  </r>
  <r>
    <s v="EMP0043"/>
    <x v="3"/>
    <n v="23"/>
    <n v="17131"/>
    <x v="2"/>
    <n v="3.4"/>
    <n v="44"/>
    <n v="6"/>
    <n v="14"/>
    <n v="2"/>
    <s v="No"/>
    <s v="Medium"/>
  </r>
  <r>
    <s v="EMP0044"/>
    <x v="3"/>
    <n v="23"/>
    <n v="25733"/>
    <x v="13"/>
    <n v="3.8"/>
    <n v="43"/>
    <n v="26"/>
    <n v="11"/>
    <n v="4.2"/>
    <s v="No"/>
    <s v="Medium"/>
  </r>
  <r>
    <s v="EMP0045"/>
    <x v="4"/>
    <n v="22"/>
    <n v="19588"/>
    <x v="8"/>
    <n v="3.1"/>
    <n v="38"/>
    <n v="3"/>
    <n v="2"/>
    <n v="3.4"/>
    <s v="No"/>
    <s v="Low"/>
  </r>
  <r>
    <s v="EMP0046"/>
    <x v="0"/>
    <n v="49"/>
    <n v="23332"/>
    <x v="3"/>
    <n v="3.8"/>
    <n v="11"/>
    <n v="9"/>
    <n v="8"/>
    <n v="3.3"/>
    <s v="No"/>
    <s v="Low"/>
  </r>
  <r>
    <s v="EMP0047"/>
    <x v="0"/>
    <n v="21"/>
    <n v="39426"/>
    <x v="0"/>
    <n v="3.7"/>
    <n v="47"/>
    <n v="31"/>
    <n v="9"/>
    <n v="3.5"/>
    <s v="No"/>
    <s v="Medium"/>
  </r>
  <r>
    <s v="EMP0048"/>
    <x v="2"/>
    <n v="27"/>
    <n v="19388"/>
    <x v="9"/>
    <n v="4.3"/>
    <n v="32"/>
    <n v="31"/>
    <n v="2"/>
    <n v="4.4000000000000004"/>
    <s v="Yes"/>
    <s v="High"/>
  </r>
  <r>
    <s v="EMP0049"/>
    <x v="5"/>
    <n v="44"/>
    <n v="15549"/>
    <x v="3"/>
    <n v="2.6"/>
    <n v="8"/>
    <n v="5"/>
    <n v="5"/>
    <n v="3.2"/>
    <s v="No"/>
    <s v="Low"/>
  </r>
  <r>
    <s v="EMP0050"/>
    <x v="3"/>
    <n v="53"/>
    <n v="13395"/>
    <x v="12"/>
    <n v="5"/>
    <n v="46"/>
    <n v="12"/>
    <n v="0"/>
    <n v="4.4000000000000004"/>
    <s v="No"/>
    <s v="Low"/>
  </r>
  <r>
    <s v="EMP0051"/>
    <x v="1"/>
    <n v="51"/>
    <n v="25078"/>
    <x v="1"/>
    <n v="3.5"/>
    <n v="12"/>
    <n v="25"/>
    <n v="8"/>
    <n v="3.7"/>
    <s v="No"/>
    <s v="Medium"/>
  </r>
  <r>
    <s v="EMP0052"/>
    <x v="2"/>
    <n v="54"/>
    <n v="22712"/>
    <x v="6"/>
    <n v="3.4"/>
    <n v="19"/>
    <n v="30"/>
    <n v="7"/>
    <n v="2.8"/>
    <s v="No"/>
    <s v="Medium"/>
  </r>
  <r>
    <s v="EMP0053"/>
    <x v="3"/>
    <n v="34"/>
    <n v="22060"/>
    <x v="2"/>
    <n v="3.7"/>
    <n v="36"/>
    <n v="9"/>
    <n v="8"/>
    <n v="3.6"/>
    <s v="No"/>
    <s v="Low"/>
  </r>
  <r>
    <s v="EMP0054"/>
    <x v="2"/>
    <n v="57"/>
    <n v="19397"/>
    <x v="7"/>
    <n v="3.2"/>
    <n v="20"/>
    <n v="26"/>
    <n v="10"/>
    <n v="3.8"/>
    <s v="No"/>
    <s v="Medium"/>
  </r>
  <r>
    <s v="EMP0055"/>
    <x v="3"/>
    <n v="22"/>
    <n v="19402"/>
    <x v="7"/>
    <n v="3.4"/>
    <n v="43"/>
    <n v="32"/>
    <n v="4"/>
    <n v="4.4000000000000004"/>
    <s v="No"/>
    <s v="Medium"/>
  </r>
  <r>
    <s v="EMP0056"/>
    <x v="0"/>
    <n v="36"/>
    <n v="27424"/>
    <x v="9"/>
    <n v="2.7"/>
    <n v="30"/>
    <n v="4"/>
    <n v="0"/>
    <n v="2.9"/>
    <s v="No"/>
    <s v="Medium"/>
  </r>
  <r>
    <s v="EMP0057"/>
    <x v="4"/>
    <n v="23"/>
    <n v="22652"/>
    <x v="6"/>
    <n v="3.1"/>
    <n v="24"/>
    <n v="19"/>
    <n v="11"/>
    <n v="4"/>
    <s v="No"/>
    <s v="Low"/>
  </r>
  <r>
    <s v="EMP0058"/>
    <x v="4"/>
    <n v="58"/>
    <n v="20022"/>
    <x v="6"/>
    <n v="2.7"/>
    <n v="38"/>
    <n v="33"/>
    <n v="5"/>
    <n v="3.2"/>
    <s v="No"/>
    <s v="Medium"/>
  </r>
  <r>
    <s v="EMP0059"/>
    <x v="1"/>
    <n v="39"/>
    <n v="29258"/>
    <x v="13"/>
    <n v="3"/>
    <n v="25"/>
    <n v="33"/>
    <n v="9"/>
    <n v="3.1"/>
    <s v="No"/>
    <s v="Medium"/>
  </r>
  <r>
    <s v="EMP0060"/>
    <x v="4"/>
    <n v="33"/>
    <n v="23239"/>
    <x v="14"/>
    <n v="2.8"/>
    <n v="49"/>
    <n v="34"/>
    <n v="3"/>
    <n v="3.2"/>
    <s v="No"/>
    <s v="Medium"/>
  </r>
  <r>
    <s v="EMP0061"/>
    <x v="5"/>
    <n v="32"/>
    <n v="19047"/>
    <x v="6"/>
    <n v="3.9"/>
    <n v="35"/>
    <n v="23"/>
    <n v="11"/>
    <n v="3.4"/>
    <s v="No"/>
    <s v="Medium"/>
  </r>
  <r>
    <s v="EMP0062"/>
    <x v="5"/>
    <n v="50"/>
    <n v="24928"/>
    <x v="8"/>
    <n v="4.3"/>
    <n v="11"/>
    <n v="24"/>
    <n v="10"/>
    <n v="1"/>
    <s v="Yes"/>
    <s v="High"/>
  </r>
  <r>
    <s v="EMP0063"/>
    <x v="0"/>
    <n v="37"/>
    <n v="32901"/>
    <x v="3"/>
    <n v="3.5"/>
    <n v="31"/>
    <n v="31"/>
    <n v="7"/>
    <n v="2.6"/>
    <s v="No"/>
    <s v="Medium"/>
  </r>
  <r>
    <s v="EMP0064"/>
    <x v="2"/>
    <n v="29"/>
    <n v="19934"/>
    <x v="1"/>
    <n v="2.9"/>
    <n v="8"/>
    <n v="17"/>
    <n v="10"/>
    <n v="4.0999999999999996"/>
    <s v="Yes"/>
    <s v="High"/>
  </r>
  <r>
    <s v="EMP0065"/>
    <x v="2"/>
    <n v="48"/>
    <n v="20713"/>
    <x v="6"/>
    <n v="4.7"/>
    <n v="22"/>
    <n v="27"/>
    <n v="5"/>
    <n v="3.4"/>
    <s v="No"/>
    <s v="Medium"/>
  </r>
  <r>
    <s v="EMP0066"/>
    <x v="1"/>
    <n v="56"/>
    <n v="23971"/>
    <x v="6"/>
    <n v="4"/>
    <n v="18"/>
    <n v="10"/>
    <n v="9"/>
    <n v="1.8"/>
    <s v="No"/>
    <s v="Medium"/>
  </r>
  <r>
    <s v="EMP0067"/>
    <x v="5"/>
    <n v="22"/>
    <n v="25061"/>
    <x v="5"/>
    <n v="3.8"/>
    <n v="30"/>
    <n v="14"/>
    <n v="8"/>
    <n v="3.5"/>
    <s v="No"/>
    <s v="Low"/>
  </r>
  <r>
    <s v="EMP0068"/>
    <x v="0"/>
    <n v="38"/>
    <n v="18103"/>
    <x v="4"/>
    <n v="4.5"/>
    <n v="32"/>
    <n v="13"/>
    <n v="7"/>
    <n v="5"/>
    <s v="No"/>
    <s v="Low"/>
  </r>
  <r>
    <s v="EMP0069"/>
    <x v="3"/>
    <n v="49"/>
    <n v="13377"/>
    <x v="13"/>
    <n v="4.0999999999999996"/>
    <n v="37"/>
    <n v="21"/>
    <n v="3"/>
    <n v="2.9"/>
    <s v="No"/>
    <s v="Medium"/>
  </r>
  <r>
    <s v="EMP0070"/>
    <x v="3"/>
    <n v="59"/>
    <n v="24525"/>
    <x v="4"/>
    <n v="4.2"/>
    <n v="14"/>
    <n v="25"/>
    <n v="7"/>
    <n v="4.2"/>
    <s v="No"/>
    <s v="Medium"/>
  </r>
  <r>
    <s v="EMP0071"/>
    <x v="0"/>
    <n v="39"/>
    <n v="30433"/>
    <x v="7"/>
    <n v="3.2"/>
    <n v="49"/>
    <n v="1"/>
    <n v="5"/>
    <n v="2.8"/>
    <s v="No"/>
    <s v="Medium"/>
  </r>
  <r>
    <s v="EMP0072"/>
    <x v="3"/>
    <n v="48"/>
    <n v="20165"/>
    <x v="7"/>
    <n v="3.9"/>
    <n v="21"/>
    <n v="23"/>
    <n v="9"/>
    <n v="3"/>
    <s v="No"/>
    <s v="Medium"/>
  </r>
  <r>
    <s v="EMP0073"/>
    <x v="0"/>
    <n v="58"/>
    <n v="37631"/>
    <x v="4"/>
    <n v="2.5"/>
    <n v="9"/>
    <n v="10"/>
    <n v="11"/>
    <n v="4.5999999999999996"/>
    <s v="No"/>
    <s v="Low"/>
  </r>
  <r>
    <s v="EMP0074"/>
    <x v="2"/>
    <n v="54"/>
    <n v="22360"/>
    <x v="8"/>
    <n v="4.0999999999999996"/>
    <n v="15"/>
    <n v="14"/>
    <n v="4"/>
    <n v="3.7"/>
    <s v="No"/>
    <s v="Low"/>
  </r>
  <r>
    <s v="EMP0075"/>
    <x v="2"/>
    <n v="60"/>
    <n v="15708"/>
    <x v="3"/>
    <n v="3.9"/>
    <n v="16"/>
    <n v="4"/>
    <n v="4"/>
    <n v="3.8"/>
    <s v="No"/>
    <s v="Low"/>
  </r>
  <r>
    <s v="EMP0076"/>
    <x v="0"/>
    <n v="55"/>
    <n v="33156"/>
    <x v="12"/>
    <n v="3.6"/>
    <n v="13"/>
    <n v="34"/>
    <n v="9"/>
    <n v="3.1"/>
    <s v="Yes"/>
    <s v="High"/>
  </r>
  <r>
    <s v="EMP0077"/>
    <x v="0"/>
    <n v="38"/>
    <n v="18678"/>
    <x v="4"/>
    <n v="3.6"/>
    <n v="13"/>
    <n v="8"/>
    <n v="7"/>
    <n v="3.5"/>
    <s v="No"/>
    <s v="Low"/>
  </r>
  <r>
    <s v="EMP0078"/>
    <x v="1"/>
    <n v="50"/>
    <n v="24739"/>
    <x v="7"/>
    <n v="4.5"/>
    <n v="14"/>
    <n v="2"/>
    <n v="10"/>
    <n v="3.8"/>
    <s v="Yes"/>
    <s v="High"/>
  </r>
  <r>
    <s v="EMP0079"/>
    <x v="3"/>
    <n v="54"/>
    <n v="22016"/>
    <x v="4"/>
    <n v="4.0999999999999996"/>
    <n v="45"/>
    <n v="33"/>
    <n v="3"/>
    <n v="2.7"/>
    <s v="No"/>
    <s v="Medium"/>
  </r>
  <r>
    <s v="EMP0080"/>
    <x v="4"/>
    <n v="46"/>
    <n v="20187"/>
    <x v="10"/>
    <n v="4.3"/>
    <n v="6"/>
    <n v="13"/>
    <n v="18"/>
    <n v="4.7"/>
    <s v="No"/>
    <s v="Low"/>
  </r>
  <r>
    <s v="EMP0081"/>
    <x v="2"/>
    <n v="59"/>
    <n v="27513"/>
    <x v="6"/>
    <n v="2.1"/>
    <n v="17"/>
    <n v="27"/>
    <n v="7"/>
    <n v="3.6"/>
    <s v="No"/>
    <s v="Medium"/>
  </r>
  <r>
    <s v="EMP0082"/>
    <x v="5"/>
    <n v="29"/>
    <n v="15268"/>
    <x v="15"/>
    <n v="2.1"/>
    <n v="20"/>
    <n v="31"/>
    <n v="1"/>
    <n v="4.2"/>
    <s v="No"/>
    <s v="Medium"/>
  </r>
  <r>
    <s v="EMP0083"/>
    <x v="0"/>
    <n v="50"/>
    <n v="31624"/>
    <x v="11"/>
    <n v="3.3"/>
    <n v="33"/>
    <n v="24"/>
    <n v="7"/>
    <n v="4.8"/>
    <s v="Yes"/>
    <s v="High"/>
  </r>
  <r>
    <s v="EMP0084"/>
    <x v="1"/>
    <n v="43"/>
    <n v="34633"/>
    <x v="2"/>
    <n v="2.2999999999999998"/>
    <n v="26"/>
    <n v="21"/>
    <n v="9"/>
    <n v="5"/>
    <s v="No"/>
    <s v="Medium"/>
  </r>
  <r>
    <s v="EMP0085"/>
    <x v="2"/>
    <n v="30"/>
    <n v="22834"/>
    <x v="14"/>
    <n v="4.2"/>
    <n v="43"/>
    <n v="29"/>
    <n v="7"/>
    <n v="2.9"/>
    <s v="No"/>
    <s v="Medium"/>
  </r>
  <r>
    <s v="EMP0086"/>
    <x v="5"/>
    <n v="58"/>
    <n v="27511"/>
    <x v="1"/>
    <n v="4"/>
    <n v="46"/>
    <n v="35"/>
    <n v="5"/>
    <n v="2.2000000000000002"/>
    <s v="Yes"/>
    <s v="High"/>
  </r>
  <r>
    <s v="EMP0087"/>
    <x v="0"/>
    <n v="45"/>
    <n v="39647"/>
    <x v="8"/>
    <n v="4.2"/>
    <n v="16"/>
    <n v="5"/>
    <n v="11"/>
    <n v="2.9"/>
    <s v="No"/>
    <s v="Medium"/>
  </r>
  <r>
    <s v="EMP0088"/>
    <x v="2"/>
    <n v="40"/>
    <n v="14396"/>
    <x v="3"/>
    <n v="3"/>
    <n v="13"/>
    <n v="27"/>
    <n v="3"/>
    <n v="3.2"/>
    <s v="No"/>
    <s v="Medium"/>
  </r>
  <r>
    <s v="EMP0089"/>
    <x v="2"/>
    <n v="25"/>
    <n v="19354"/>
    <x v="7"/>
    <n v="1.2"/>
    <n v="47"/>
    <n v="31"/>
    <n v="8"/>
    <n v="4.4000000000000004"/>
    <s v="No"/>
    <s v="Medium"/>
  </r>
  <r>
    <s v="EMP0090"/>
    <x v="1"/>
    <n v="60"/>
    <n v="27456"/>
    <x v="6"/>
    <n v="4.2"/>
    <n v="44"/>
    <n v="20"/>
    <n v="0"/>
    <n v="3.2"/>
    <s v="No"/>
    <s v="Low"/>
  </r>
  <r>
    <s v="EMP0091"/>
    <x v="5"/>
    <n v="54"/>
    <n v="28351"/>
    <x v="3"/>
    <n v="2.7"/>
    <n v="36"/>
    <n v="19"/>
    <n v="6"/>
    <n v="2"/>
    <s v="No"/>
    <s v="Medium"/>
  </r>
  <r>
    <s v="EMP0092"/>
    <x v="5"/>
    <n v="40"/>
    <n v="18663"/>
    <x v="7"/>
    <n v="3.4"/>
    <n v="33"/>
    <n v="9"/>
    <n v="12"/>
    <n v="2.8"/>
    <s v="No"/>
    <s v="Medium"/>
  </r>
  <r>
    <s v="EMP0093"/>
    <x v="3"/>
    <n v="46"/>
    <n v="17900"/>
    <x v="12"/>
    <n v="2"/>
    <n v="46"/>
    <n v="4"/>
    <n v="0"/>
    <n v="3.7"/>
    <s v="No"/>
    <s v="Low"/>
  </r>
  <r>
    <s v="EMP0094"/>
    <x v="3"/>
    <n v="48"/>
    <n v="13501"/>
    <x v="11"/>
    <n v="1.6"/>
    <n v="23"/>
    <n v="15"/>
    <n v="0"/>
    <n v="3.7"/>
    <s v="No"/>
    <s v="Low"/>
  </r>
  <r>
    <s v="EMP0095"/>
    <x v="3"/>
    <n v="58"/>
    <n v="26917"/>
    <x v="7"/>
    <n v="3"/>
    <n v="14"/>
    <n v="20"/>
    <n v="4"/>
    <n v="1.9"/>
    <s v="Yes"/>
    <s v="High"/>
  </r>
  <r>
    <s v="EMP0096"/>
    <x v="2"/>
    <n v="21"/>
    <n v="18916"/>
    <x v="10"/>
    <n v="2.5"/>
    <n v="7"/>
    <n v="0"/>
    <n v="5"/>
    <n v="3.4"/>
    <s v="No"/>
    <s v="Low"/>
  </r>
  <r>
    <s v="EMP0097"/>
    <x v="1"/>
    <n v="43"/>
    <n v="24413"/>
    <x v="11"/>
    <n v="4.4000000000000004"/>
    <n v="6"/>
    <n v="0"/>
    <n v="7"/>
    <n v="3.7"/>
    <s v="No"/>
    <s v="Low"/>
  </r>
  <r>
    <s v="EMP0098"/>
    <x v="3"/>
    <n v="52"/>
    <n v="23083"/>
    <x v="2"/>
    <n v="2.9"/>
    <n v="43"/>
    <n v="18"/>
    <n v="9"/>
    <n v="4.2"/>
    <s v="No"/>
    <s v="Low"/>
  </r>
  <r>
    <s v="EMP0099"/>
    <x v="0"/>
    <n v="53"/>
    <n v="34266"/>
    <x v="4"/>
    <n v="4.0999999999999996"/>
    <n v="48"/>
    <n v="30"/>
    <n v="1"/>
    <n v="3.7"/>
    <s v="No"/>
    <s v="Medium"/>
  </r>
  <r>
    <s v="EMP0100"/>
    <x v="1"/>
    <n v="46"/>
    <n v="29135"/>
    <x v="7"/>
    <n v="2.7"/>
    <n v="33"/>
    <n v="9"/>
    <n v="6"/>
    <n v="3.2"/>
    <s v="No"/>
    <s v="Low"/>
  </r>
  <r>
    <s v="EMP0101"/>
    <x v="2"/>
    <n v="30"/>
    <n v="17528"/>
    <x v="0"/>
    <n v="3.6"/>
    <n v="41"/>
    <n v="15"/>
    <n v="0"/>
    <n v="3.2"/>
    <s v="No"/>
    <s v="Low"/>
  </r>
  <r>
    <s v="EMP0102"/>
    <x v="4"/>
    <n v="56"/>
    <n v="22750"/>
    <x v="1"/>
    <n v="2.6"/>
    <n v="27"/>
    <n v="10"/>
    <n v="3"/>
    <n v="3.9"/>
    <s v="Yes"/>
    <s v="High"/>
  </r>
  <r>
    <s v="EMP0103"/>
    <x v="1"/>
    <n v="45"/>
    <n v="34188"/>
    <x v="6"/>
    <n v="2"/>
    <n v="49"/>
    <n v="27"/>
    <n v="8"/>
    <n v="2.2000000000000002"/>
    <s v="No"/>
    <s v="Medium"/>
  </r>
  <r>
    <s v="EMP0104"/>
    <x v="4"/>
    <n v="32"/>
    <n v="19977"/>
    <x v="6"/>
    <n v="1.7"/>
    <n v="13"/>
    <n v="2"/>
    <n v="8"/>
    <n v="3"/>
    <s v="No"/>
    <s v="Low"/>
  </r>
  <r>
    <s v="EMP0105"/>
    <x v="1"/>
    <n v="33"/>
    <n v="20259"/>
    <x v="14"/>
    <n v="3.1"/>
    <n v="27"/>
    <n v="21"/>
    <n v="0"/>
    <n v="4.4000000000000004"/>
    <s v="No"/>
    <s v="Medium"/>
  </r>
  <r>
    <s v="EMP0106"/>
    <x v="5"/>
    <n v="33"/>
    <n v="25791"/>
    <x v="8"/>
    <n v="3.4"/>
    <n v="37"/>
    <n v="25"/>
    <n v="16"/>
    <n v="1.6"/>
    <s v="No"/>
    <s v="Medium"/>
  </r>
  <r>
    <s v="EMP0107"/>
    <x v="5"/>
    <n v="33"/>
    <n v="26781"/>
    <x v="0"/>
    <n v="2.1"/>
    <n v="6"/>
    <n v="18"/>
    <n v="4"/>
    <n v="2.9"/>
    <s v="No"/>
    <s v="Medium"/>
  </r>
  <r>
    <s v="EMP0108"/>
    <x v="2"/>
    <n v="51"/>
    <n v="27672"/>
    <x v="7"/>
    <n v="4.0999999999999996"/>
    <n v="32"/>
    <n v="16"/>
    <n v="4"/>
    <n v="4.5999999999999996"/>
    <s v="Yes"/>
    <s v="High"/>
  </r>
  <r>
    <s v="EMP0109"/>
    <x v="0"/>
    <n v="58"/>
    <n v="30937"/>
    <x v="1"/>
    <n v="3.7"/>
    <n v="19"/>
    <n v="25"/>
    <n v="13"/>
    <n v="3.7"/>
    <s v="Yes"/>
    <s v="High"/>
  </r>
  <r>
    <s v="EMP0110"/>
    <x v="1"/>
    <n v="55"/>
    <n v="19535"/>
    <x v="0"/>
    <n v="3.4"/>
    <n v="42"/>
    <n v="3"/>
    <n v="1"/>
    <n v="3.4"/>
    <s v="No"/>
    <s v="Low"/>
  </r>
  <r>
    <s v="EMP0111"/>
    <x v="5"/>
    <n v="39"/>
    <n v="26890"/>
    <x v="12"/>
    <n v="2.9"/>
    <n v="47"/>
    <n v="27"/>
    <n v="5"/>
    <n v="4.5"/>
    <s v="No"/>
    <s v="Medium"/>
  </r>
  <r>
    <s v="EMP0112"/>
    <x v="2"/>
    <n v="27"/>
    <n v="18255"/>
    <x v="8"/>
    <n v="4"/>
    <n v="30"/>
    <n v="10"/>
    <n v="8"/>
    <n v="3.1"/>
    <s v="No"/>
    <s v="Low"/>
  </r>
  <r>
    <s v="EMP0113"/>
    <x v="2"/>
    <n v="39"/>
    <n v="24141"/>
    <x v="10"/>
    <n v="4.5"/>
    <n v="4"/>
    <n v="15"/>
    <n v="0"/>
    <n v="4.8"/>
    <s v="No"/>
    <s v="Low"/>
  </r>
  <r>
    <s v="EMP0114"/>
    <x v="1"/>
    <n v="32"/>
    <n v="30060"/>
    <x v="15"/>
    <n v="4"/>
    <n v="36"/>
    <n v="7"/>
    <n v="1"/>
    <n v="3.5"/>
    <s v="No"/>
    <s v="Low"/>
  </r>
  <r>
    <s v="EMP0115"/>
    <x v="1"/>
    <n v="26"/>
    <n v="31710"/>
    <x v="8"/>
    <n v="3.1"/>
    <n v="43"/>
    <n v="5"/>
    <n v="0"/>
    <n v="3.9"/>
    <s v="No"/>
    <s v="Low"/>
  </r>
  <r>
    <s v="EMP0116"/>
    <x v="5"/>
    <n v="55"/>
    <n v="20573"/>
    <x v="3"/>
    <n v="3.4"/>
    <n v="10"/>
    <n v="32"/>
    <n v="7"/>
    <n v="2.5"/>
    <s v="Yes"/>
    <s v="High"/>
  </r>
  <r>
    <s v="EMP0117"/>
    <x v="5"/>
    <n v="51"/>
    <n v="27629"/>
    <x v="4"/>
    <n v="3.1"/>
    <n v="6"/>
    <n v="2"/>
    <n v="9"/>
    <n v="3.3"/>
    <s v="No"/>
    <s v="Low"/>
  </r>
  <r>
    <s v="EMP0118"/>
    <x v="4"/>
    <n v="44"/>
    <n v="19593"/>
    <x v="2"/>
    <n v="3.4"/>
    <n v="12"/>
    <n v="6"/>
    <n v="2"/>
    <n v="2.8"/>
    <s v="Yes"/>
    <s v="High"/>
  </r>
  <r>
    <s v="EMP0119"/>
    <x v="0"/>
    <n v="51"/>
    <n v="36139"/>
    <x v="11"/>
    <n v="3.3"/>
    <n v="44"/>
    <n v="20"/>
    <n v="5"/>
    <n v="3.4"/>
    <s v="No"/>
    <s v="Low"/>
  </r>
  <r>
    <s v="EMP0120"/>
    <x v="2"/>
    <n v="27"/>
    <n v="15799"/>
    <x v="10"/>
    <n v="4.4000000000000004"/>
    <n v="21"/>
    <n v="21"/>
    <n v="13"/>
    <n v="1.3"/>
    <s v="No"/>
    <s v="Medium"/>
  </r>
  <r>
    <s v="EMP0121"/>
    <x v="1"/>
    <n v="25"/>
    <n v="28824"/>
    <x v="0"/>
    <n v="2.8"/>
    <n v="12"/>
    <n v="33"/>
    <n v="12"/>
    <n v="2"/>
    <s v="No"/>
    <s v="Medium"/>
  </r>
  <r>
    <s v="EMP0122"/>
    <x v="2"/>
    <n v="37"/>
    <n v="24937"/>
    <x v="2"/>
    <n v="2.5"/>
    <n v="18"/>
    <n v="3"/>
    <n v="5"/>
    <n v="5"/>
    <s v="No"/>
    <s v="Low"/>
  </r>
  <r>
    <s v="EMP0123"/>
    <x v="5"/>
    <n v="26"/>
    <n v="29849"/>
    <x v="0"/>
    <n v="4.0999999999999996"/>
    <n v="6"/>
    <n v="19"/>
    <n v="8"/>
    <n v="4.2"/>
    <s v="No"/>
    <s v="Low"/>
  </r>
  <r>
    <s v="EMP0124"/>
    <x v="1"/>
    <n v="24"/>
    <n v="22090"/>
    <x v="5"/>
    <n v="3"/>
    <n v="6"/>
    <n v="30"/>
    <n v="7"/>
    <n v="2.5"/>
    <s v="Yes"/>
    <s v="High"/>
  </r>
  <r>
    <s v="EMP0125"/>
    <x v="0"/>
    <n v="58"/>
    <n v="20687"/>
    <x v="11"/>
    <n v="3.3"/>
    <n v="17"/>
    <n v="8"/>
    <n v="5"/>
    <n v="4.5"/>
    <s v="No"/>
    <s v="Low"/>
  </r>
  <r>
    <s v="EMP0126"/>
    <x v="5"/>
    <n v="36"/>
    <n v="19477"/>
    <x v="13"/>
    <n v="5"/>
    <n v="35"/>
    <n v="35"/>
    <n v="6"/>
    <n v="4.4000000000000004"/>
    <s v="No"/>
    <s v="Medium"/>
  </r>
  <r>
    <s v="EMP0127"/>
    <x v="3"/>
    <n v="33"/>
    <n v="15231"/>
    <x v="3"/>
    <n v="4"/>
    <n v="19"/>
    <n v="7"/>
    <n v="4"/>
    <n v="3.2"/>
    <s v="No"/>
    <s v="Low"/>
  </r>
  <r>
    <s v="EMP0128"/>
    <x v="2"/>
    <n v="28"/>
    <n v="27288"/>
    <x v="10"/>
    <n v="2.8"/>
    <n v="40"/>
    <n v="11"/>
    <n v="8"/>
    <n v="2.2999999999999998"/>
    <s v="No"/>
    <s v="Medium"/>
  </r>
  <r>
    <s v="EMP0129"/>
    <x v="0"/>
    <n v="29"/>
    <n v="25564"/>
    <x v="2"/>
    <n v="3.2"/>
    <n v="17"/>
    <n v="17"/>
    <n v="4"/>
    <n v="4.5"/>
    <s v="No"/>
    <s v="Low"/>
  </r>
  <r>
    <s v="EMP0130"/>
    <x v="4"/>
    <n v="28"/>
    <n v="19324"/>
    <x v="10"/>
    <n v="3.1"/>
    <n v="13"/>
    <n v="7"/>
    <n v="8"/>
    <n v="2.8"/>
    <s v="No"/>
    <s v="Medium"/>
  </r>
  <r>
    <s v="EMP0131"/>
    <x v="4"/>
    <n v="54"/>
    <n v="14390"/>
    <x v="13"/>
    <n v="3"/>
    <n v="46"/>
    <n v="15"/>
    <n v="8"/>
    <n v="1.2"/>
    <s v="No"/>
    <s v="Medium"/>
  </r>
  <r>
    <s v="EMP0132"/>
    <x v="1"/>
    <n v="21"/>
    <n v="24197"/>
    <x v="15"/>
    <n v="3.5"/>
    <n v="37"/>
    <n v="18"/>
    <n v="7"/>
    <n v="3.8"/>
    <s v="No"/>
    <s v="Low"/>
  </r>
  <r>
    <s v="EMP0133"/>
    <x v="1"/>
    <n v="38"/>
    <n v="19451"/>
    <x v="2"/>
    <n v="2.8"/>
    <n v="45"/>
    <n v="14"/>
    <n v="4"/>
    <n v="2.1"/>
    <s v="No"/>
    <s v="Medium"/>
  </r>
  <r>
    <s v="EMP0134"/>
    <x v="3"/>
    <n v="45"/>
    <n v="16613"/>
    <x v="9"/>
    <n v="3.8"/>
    <n v="19"/>
    <n v="31"/>
    <n v="0"/>
    <n v="5"/>
    <s v="No"/>
    <s v="Medium"/>
  </r>
  <r>
    <s v="EMP0135"/>
    <x v="4"/>
    <n v="30"/>
    <n v="23303"/>
    <x v="11"/>
    <n v="3.2"/>
    <n v="23"/>
    <n v="25"/>
    <n v="12"/>
    <n v="4.5999999999999996"/>
    <s v="No"/>
    <s v="Medium"/>
  </r>
  <r>
    <s v="EMP0136"/>
    <x v="0"/>
    <n v="39"/>
    <n v="26005"/>
    <x v="12"/>
    <n v="3.5"/>
    <n v="44"/>
    <n v="31"/>
    <n v="6"/>
    <n v="3.4"/>
    <s v="No"/>
    <s v="Medium"/>
  </r>
  <r>
    <s v="EMP0137"/>
    <x v="1"/>
    <n v="56"/>
    <n v="30183"/>
    <x v="12"/>
    <n v="3.9"/>
    <n v="31"/>
    <n v="16"/>
    <n v="8"/>
    <n v="3.2"/>
    <s v="No"/>
    <s v="Low"/>
  </r>
  <r>
    <s v="EMP0138"/>
    <x v="3"/>
    <n v="59"/>
    <n v="20730"/>
    <x v="7"/>
    <n v="2.8"/>
    <n v="24"/>
    <n v="2"/>
    <n v="8"/>
    <n v="2.7"/>
    <s v="No"/>
    <s v="Medium"/>
  </r>
  <r>
    <s v="EMP0139"/>
    <x v="5"/>
    <n v="42"/>
    <n v="15269"/>
    <x v="2"/>
    <n v="4.8"/>
    <n v="18"/>
    <n v="26"/>
    <n v="11"/>
    <n v="3.8"/>
    <s v="No"/>
    <s v="Medium"/>
  </r>
  <r>
    <s v="EMP0140"/>
    <x v="4"/>
    <n v="25"/>
    <n v="14223"/>
    <x v="7"/>
    <n v="3"/>
    <n v="17"/>
    <n v="13"/>
    <n v="5"/>
    <n v="3.6"/>
    <s v="Yes"/>
    <s v="High"/>
  </r>
  <r>
    <s v="EMP0141"/>
    <x v="5"/>
    <n v="47"/>
    <n v="18425"/>
    <x v="6"/>
    <n v="4.4000000000000004"/>
    <n v="9"/>
    <n v="16"/>
    <n v="3"/>
    <n v="3.7"/>
    <s v="No"/>
    <s v="Low"/>
  </r>
  <r>
    <s v="EMP0142"/>
    <x v="0"/>
    <n v="23"/>
    <n v="40577"/>
    <x v="9"/>
    <n v="2.4"/>
    <n v="35"/>
    <n v="13"/>
    <n v="8"/>
    <n v="1.6"/>
    <s v="Yes"/>
    <s v="High"/>
  </r>
  <r>
    <s v="EMP0143"/>
    <x v="5"/>
    <n v="58"/>
    <n v="21997"/>
    <x v="14"/>
    <n v="4.5999999999999996"/>
    <n v="39"/>
    <n v="10"/>
    <n v="3"/>
    <n v="3.8"/>
    <s v="No"/>
    <s v="Low"/>
  </r>
  <r>
    <s v="EMP0144"/>
    <x v="2"/>
    <n v="38"/>
    <n v="20309"/>
    <x v="12"/>
    <n v="3.5"/>
    <n v="16"/>
    <n v="13"/>
    <n v="7"/>
    <n v="4.0999999999999996"/>
    <s v="No"/>
    <s v="Low"/>
  </r>
  <r>
    <s v="EMP0145"/>
    <x v="3"/>
    <n v="35"/>
    <n v="24890"/>
    <x v="13"/>
    <n v="2.5"/>
    <n v="23"/>
    <n v="27"/>
    <n v="11"/>
    <n v="3.6"/>
    <s v="No"/>
    <s v="Medium"/>
  </r>
  <r>
    <s v="EMP0146"/>
    <x v="3"/>
    <n v="45"/>
    <n v="13575"/>
    <x v="3"/>
    <n v="3.6"/>
    <n v="10"/>
    <n v="5"/>
    <n v="6"/>
    <n v="2.8"/>
    <s v="Yes"/>
    <s v="High"/>
  </r>
  <r>
    <s v="EMP0147"/>
    <x v="2"/>
    <n v="48"/>
    <n v="21512"/>
    <x v="6"/>
    <n v="3.8"/>
    <n v="42"/>
    <n v="34"/>
    <n v="4"/>
    <n v="3.1"/>
    <s v="No"/>
    <s v="Medium"/>
  </r>
  <r>
    <s v="EMP0148"/>
    <x v="0"/>
    <n v="60"/>
    <n v="27148"/>
    <x v="9"/>
    <n v="2.9"/>
    <n v="16"/>
    <n v="25"/>
    <n v="4"/>
    <n v="4.9000000000000004"/>
    <s v="No"/>
    <s v="Medium"/>
  </r>
  <r>
    <s v="EMP0149"/>
    <x v="2"/>
    <n v="58"/>
    <n v="17779"/>
    <x v="11"/>
    <n v="2.7"/>
    <n v="45"/>
    <n v="8"/>
    <n v="5"/>
    <n v="3.9"/>
    <s v="No"/>
    <s v="Low"/>
  </r>
  <r>
    <s v="EMP0150"/>
    <x v="0"/>
    <n v="36"/>
    <n v="34659"/>
    <x v="2"/>
    <n v="3.6"/>
    <n v="25"/>
    <n v="33"/>
    <n v="3"/>
    <n v="3.2"/>
    <s v="No"/>
    <s v="Medium"/>
  </r>
  <r>
    <s v="EMP0151"/>
    <x v="0"/>
    <n v="32"/>
    <n v="32015"/>
    <x v="10"/>
    <n v="3.6"/>
    <n v="44"/>
    <n v="5"/>
    <n v="3"/>
    <n v="2.1"/>
    <s v="Yes"/>
    <s v="High"/>
  </r>
  <r>
    <s v="EMP0152"/>
    <x v="4"/>
    <n v="55"/>
    <n v="16527"/>
    <x v="6"/>
    <n v="3.3"/>
    <n v="5"/>
    <n v="2"/>
    <n v="7"/>
    <n v="1.8"/>
    <s v="No"/>
    <s v="Medium"/>
  </r>
  <r>
    <s v="EMP0153"/>
    <x v="4"/>
    <n v="22"/>
    <n v="22437"/>
    <x v="2"/>
    <n v="3.9"/>
    <n v="10"/>
    <n v="28"/>
    <n v="7"/>
    <n v="3.6"/>
    <s v="No"/>
    <s v="Medium"/>
  </r>
  <r>
    <s v="EMP0154"/>
    <x v="4"/>
    <n v="59"/>
    <n v="18210"/>
    <x v="11"/>
    <n v="2.4"/>
    <n v="36"/>
    <n v="18"/>
    <n v="6"/>
    <n v="2.7"/>
    <s v="Yes"/>
    <s v="High"/>
  </r>
  <r>
    <s v="EMP0155"/>
    <x v="0"/>
    <n v="59"/>
    <n v="33623"/>
    <x v="10"/>
    <n v="4"/>
    <n v="36"/>
    <n v="2"/>
    <n v="12"/>
    <n v="3"/>
    <s v="No"/>
    <s v="Low"/>
  </r>
  <r>
    <s v="EMP0156"/>
    <x v="3"/>
    <n v="22"/>
    <n v="13045"/>
    <x v="7"/>
    <n v="4.2"/>
    <n v="28"/>
    <n v="22"/>
    <n v="5"/>
    <n v="3.1"/>
    <s v="No"/>
    <s v="Medium"/>
  </r>
  <r>
    <s v="EMP0157"/>
    <x v="1"/>
    <n v="54"/>
    <n v="31377"/>
    <x v="3"/>
    <n v="3.8"/>
    <n v="18"/>
    <n v="20"/>
    <n v="9"/>
    <n v="3.2"/>
    <s v="No"/>
    <s v="Low"/>
  </r>
  <r>
    <s v="EMP0158"/>
    <x v="0"/>
    <n v="57"/>
    <n v="41907"/>
    <x v="5"/>
    <n v="3.6"/>
    <n v="7"/>
    <n v="26"/>
    <n v="7"/>
    <n v="4.3"/>
    <s v="No"/>
    <s v="Medium"/>
  </r>
  <r>
    <s v="EMP0159"/>
    <x v="5"/>
    <n v="50"/>
    <n v="17060"/>
    <x v="1"/>
    <n v="3.4"/>
    <n v="11"/>
    <n v="25"/>
    <n v="7"/>
    <n v="3.4"/>
    <s v="No"/>
    <s v="Medium"/>
  </r>
  <r>
    <s v="EMP0160"/>
    <x v="5"/>
    <n v="21"/>
    <n v="25547"/>
    <x v="5"/>
    <n v="4.4000000000000004"/>
    <n v="35"/>
    <n v="15"/>
    <n v="2"/>
    <n v="3.3"/>
    <s v="No"/>
    <s v="Low"/>
  </r>
  <r>
    <s v="EMP0161"/>
    <x v="5"/>
    <n v="25"/>
    <n v="26026"/>
    <x v="10"/>
    <n v="3"/>
    <n v="22"/>
    <n v="10"/>
    <n v="1"/>
    <n v="2.1"/>
    <s v="No"/>
    <s v="Medium"/>
  </r>
  <r>
    <s v="EMP0162"/>
    <x v="1"/>
    <n v="47"/>
    <n v="19678"/>
    <x v="10"/>
    <n v="3.2"/>
    <n v="27"/>
    <n v="33"/>
    <n v="4"/>
    <n v="3.6"/>
    <s v="No"/>
    <s v="Medium"/>
  </r>
  <r>
    <s v="EMP0163"/>
    <x v="1"/>
    <n v="26"/>
    <n v="31785"/>
    <x v="12"/>
    <n v="2.6"/>
    <n v="22"/>
    <n v="2"/>
    <n v="11"/>
    <n v="4"/>
    <s v="No"/>
    <s v="Low"/>
  </r>
  <r>
    <s v="EMP0164"/>
    <x v="1"/>
    <n v="42"/>
    <n v="25126"/>
    <x v="9"/>
    <n v="4.7"/>
    <n v="46"/>
    <n v="5"/>
    <n v="3"/>
    <n v="3.5"/>
    <s v="No"/>
    <s v="Medium"/>
  </r>
  <r>
    <s v="EMP0165"/>
    <x v="1"/>
    <n v="53"/>
    <n v="19737"/>
    <x v="11"/>
    <n v="2.7"/>
    <n v="36"/>
    <n v="33"/>
    <n v="10"/>
    <n v="4.5"/>
    <s v="No"/>
    <s v="Medium"/>
  </r>
  <r>
    <s v="EMP0166"/>
    <x v="0"/>
    <n v="50"/>
    <n v="40075"/>
    <x v="1"/>
    <n v="5"/>
    <n v="22"/>
    <n v="15"/>
    <n v="7"/>
    <n v="4"/>
    <s v="No"/>
    <s v="Medium"/>
  </r>
  <r>
    <s v="EMP0167"/>
    <x v="1"/>
    <n v="33"/>
    <n v="29324"/>
    <x v="4"/>
    <n v="3.2"/>
    <n v="10"/>
    <n v="5"/>
    <n v="0"/>
    <n v="4.4000000000000004"/>
    <s v="No"/>
    <s v="Low"/>
  </r>
  <r>
    <s v="EMP0168"/>
    <x v="4"/>
    <n v="28"/>
    <n v="13497"/>
    <x v="13"/>
    <n v="4"/>
    <n v="35"/>
    <n v="13"/>
    <n v="10"/>
    <n v="4.4000000000000004"/>
    <s v="No"/>
    <s v="Low"/>
  </r>
  <r>
    <s v="EMP0169"/>
    <x v="2"/>
    <n v="47"/>
    <n v="15138"/>
    <x v="5"/>
    <n v="3.4"/>
    <n v="28"/>
    <n v="6"/>
    <n v="2"/>
    <n v="2.4"/>
    <s v="No"/>
    <s v="Medium"/>
  </r>
  <r>
    <s v="EMP0170"/>
    <x v="5"/>
    <n v="54"/>
    <n v="28440"/>
    <x v="9"/>
    <n v="3.6"/>
    <n v="41"/>
    <n v="6"/>
    <n v="4"/>
    <n v="4.2"/>
    <s v="No"/>
    <s v="Medium"/>
  </r>
  <r>
    <s v="EMP0171"/>
    <x v="5"/>
    <n v="54"/>
    <n v="22737"/>
    <x v="5"/>
    <n v="3.3"/>
    <n v="42"/>
    <n v="7"/>
    <n v="9"/>
    <n v="5"/>
    <s v="No"/>
    <s v="Low"/>
  </r>
  <r>
    <s v="EMP0172"/>
    <x v="5"/>
    <n v="34"/>
    <n v="29514"/>
    <x v="2"/>
    <n v="3"/>
    <n v="23"/>
    <n v="4"/>
    <n v="9"/>
    <n v="1.7"/>
    <s v="No"/>
    <s v="Medium"/>
  </r>
  <r>
    <s v="EMP0173"/>
    <x v="5"/>
    <n v="39"/>
    <n v="18790"/>
    <x v="5"/>
    <n v="3.3"/>
    <n v="12"/>
    <n v="26"/>
    <n v="7"/>
    <n v="4"/>
    <s v="No"/>
    <s v="Medium"/>
  </r>
  <r>
    <s v="EMP0174"/>
    <x v="0"/>
    <n v="59"/>
    <n v="22845"/>
    <x v="6"/>
    <n v="4.8"/>
    <n v="25"/>
    <n v="26"/>
    <n v="9"/>
    <n v="3.7"/>
    <s v="Yes"/>
    <s v="High"/>
  </r>
  <r>
    <s v="EMP0175"/>
    <x v="4"/>
    <n v="39"/>
    <n v="12702"/>
    <x v="14"/>
    <n v="2.5"/>
    <n v="25"/>
    <n v="15"/>
    <n v="1"/>
    <n v="2.5"/>
    <s v="No"/>
    <s v="Medium"/>
  </r>
  <r>
    <s v="EMP0176"/>
    <x v="4"/>
    <n v="23"/>
    <n v="14110"/>
    <x v="3"/>
    <n v="3.4"/>
    <n v="5"/>
    <n v="2"/>
    <n v="14"/>
    <n v="2.8"/>
    <s v="Yes"/>
    <s v="High"/>
  </r>
  <r>
    <s v="EMP0177"/>
    <x v="0"/>
    <n v="44"/>
    <n v="31036"/>
    <x v="4"/>
    <n v="3.9"/>
    <n v="24"/>
    <n v="13"/>
    <n v="10"/>
    <n v="3.9"/>
    <s v="No"/>
    <s v="Low"/>
  </r>
  <r>
    <s v="EMP0178"/>
    <x v="1"/>
    <n v="43"/>
    <n v="35681"/>
    <x v="11"/>
    <n v="3.7"/>
    <n v="35"/>
    <n v="31"/>
    <n v="1"/>
    <n v="3.9"/>
    <s v="No"/>
    <s v="Medium"/>
  </r>
  <r>
    <s v="EMP0179"/>
    <x v="5"/>
    <n v="34"/>
    <n v="15660"/>
    <x v="7"/>
    <n v="3.1"/>
    <n v="37"/>
    <n v="28"/>
    <n v="11"/>
    <n v="3.6"/>
    <s v="No"/>
    <s v="Medium"/>
  </r>
  <r>
    <s v="EMP0180"/>
    <x v="4"/>
    <n v="56"/>
    <n v="15829"/>
    <x v="14"/>
    <n v="2.7"/>
    <n v="43"/>
    <n v="7"/>
    <n v="12"/>
    <n v="3.8"/>
    <s v="No"/>
    <s v="Low"/>
  </r>
  <r>
    <s v="EMP0181"/>
    <x v="4"/>
    <n v="22"/>
    <n v="23592"/>
    <x v="2"/>
    <n v="3.6"/>
    <n v="15"/>
    <n v="1"/>
    <n v="3"/>
    <n v="3.2"/>
    <s v="No"/>
    <s v="Low"/>
  </r>
  <r>
    <s v="EMP0182"/>
    <x v="0"/>
    <n v="46"/>
    <n v="38463"/>
    <x v="0"/>
    <n v="2.5"/>
    <n v="39"/>
    <n v="29"/>
    <n v="10"/>
    <n v="4"/>
    <s v="Yes"/>
    <s v="High"/>
  </r>
  <r>
    <s v="EMP0183"/>
    <x v="1"/>
    <n v="58"/>
    <n v="37637"/>
    <x v="11"/>
    <n v="3"/>
    <n v="23"/>
    <n v="12"/>
    <n v="13"/>
    <n v="5"/>
    <s v="No"/>
    <s v="Low"/>
  </r>
  <r>
    <s v="EMP0184"/>
    <x v="0"/>
    <n v="39"/>
    <n v="32086"/>
    <x v="3"/>
    <n v="2.9"/>
    <n v="43"/>
    <n v="1"/>
    <n v="11"/>
    <n v="3.3"/>
    <s v="No"/>
    <s v="Low"/>
  </r>
  <r>
    <s v="EMP0185"/>
    <x v="2"/>
    <n v="50"/>
    <n v="27687"/>
    <x v="0"/>
    <n v="1"/>
    <n v="18"/>
    <n v="33"/>
    <n v="1"/>
    <n v="2.8"/>
    <s v="No"/>
    <s v="Medium"/>
  </r>
  <r>
    <s v="EMP0186"/>
    <x v="1"/>
    <n v="36"/>
    <n v="37387"/>
    <x v="9"/>
    <n v="3"/>
    <n v="26"/>
    <n v="26"/>
    <n v="8"/>
    <n v="3.1"/>
    <s v="Yes"/>
    <s v="High"/>
  </r>
  <r>
    <s v="EMP0187"/>
    <x v="4"/>
    <n v="57"/>
    <n v="14412"/>
    <x v="4"/>
    <n v="2.8"/>
    <n v="47"/>
    <n v="9"/>
    <n v="4"/>
    <n v="2.8"/>
    <s v="No"/>
    <s v="Medium"/>
  </r>
  <r>
    <s v="EMP0188"/>
    <x v="3"/>
    <n v="57"/>
    <n v="23327"/>
    <x v="9"/>
    <n v="3.7"/>
    <n v="39"/>
    <n v="30"/>
    <n v="7"/>
    <n v="3"/>
    <s v="No"/>
    <s v="Medium"/>
  </r>
  <r>
    <s v="EMP0189"/>
    <x v="0"/>
    <n v="33"/>
    <n v="28279"/>
    <x v="8"/>
    <n v="4.2"/>
    <n v="29"/>
    <n v="34"/>
    <n v="0"/>
    <n v="4.0999999999999996"/>
    <s v="No"/>
    <s v="Medium"/>
  </r>
  <r>
    <s v="EMP0190"/>
    <x v="5"/>
    <n v="38"/>
    <n v="27326"/>
    <x v="9"/>
    <n v="4.3"/>
    <n v="4"/>
    <n v="32"/>
    <n v="2"/>
    <n v="3.8"/>
    <s v="No"/>
    <s v="Medium"/>
  </r>
  <r>
    <s v="EMP0191"/>
    <x v="2"/>
    <n v="24"/>
    <n v="17826"/>
    <x v="13"/>
    <n v="3.7"/>
    <n v="5"/>
    <n v="3"/>
    <n v="3"/>
    <n v="4.2"/>
    <s v="No"/>
    <s v="Low"/>
  </r>
  <r>
    <s v="EMP0192"/>
    <x v="4"/>
    <n v="38"/>
    <n v="17265"/>
    <x v="1"/>
    <n v="3.1"/>
    <n v="33"/>
    <n v="26"/>
    <n v="7"/>
    <n v="1.6"/>
    <s v="No"/>
    <s v="Medium"/>
  </r>
  <r>
    <s v="EMP0193"/>
    <x v="5"/>
    <n v="49"/>
    <n v="26959"/>
    <x v="7"/>
    <n v="3"/>
    <n v="35"/>
    <n v="28"/>
    <n v="4"/>
    <n v="2.7"/>
    <s v="Yes"/>
    <s v="High"/>
  </r>
  <r>
    <s v="EMP0194"/>
    <x v="4"/>
    <n v="49"/>
    <n v="18744"/>
    <x v="10"/>
    <n v="3.6"/>
    <n v="42"/>
    <n v="8"/>
    <n v="3"/>
    <n v="4.3"/>
    <s v="No"/>
    <s v="Low"/>
  </r>
  <r>
    <s v="EMP0195"/>
    <x v="3"/>
    <n v="51"/>
    <n v="22263"/>
    <x v="2"/>
    <n v="3.5"/>
    <n v="29"/>
    <n v="33"/>
    <n v="3"/>
    <n v="3.1"/>
    <s v="No"/>
    <s v="Medium"/>
  </r>
  <r>
    <s v="EMP0196"/>
    <x v="0"/>
    <n v="33"/>
    <n v="25605"/>
    <x v="12"/>
    <n v="2.8"/>
    <n v="16"/>
    <n v="22"/>
    <n v="9"/>
    <n v="2.9"/>
    <s v="No"/>
    <s v="Medium"/>
  </r>
  <r>
    <s v="EMP0197"/>
    <x v="2"/>
    <n v="50"/>
    <n v="14348"/>
    <x v="12"/>
    <n v="3.8"/>
    <n v="31"/>
    <n v="15"/>
    <n v="6"/>
    <n v="4.5"/>
    <s v="No"/>
    <s v="Low"/>
  </r>
  <r>
    <s v="EMP0198"/>
    <x v="3"/>
    <n v="52"/>
    <n v="19160"/>
    <x v="13"/>
    <n v="1.4"/>
    <n v="32"/>
    <n v="4"/>
    <n v="10"/>
    <n v="2.7"/>
    <s v="No"/>
    <s v="Medium"/>
  </r>
  <r>
    <s v="EMP0199"/>
    <x v="5"/>
    <n v="24"/>
    <n v="17307"/>
    <x v="0"/>
    <n v="1.3"/>
    <n v="10"/>
    <n v="27"/>
    <n v="5"/>
    <n v="2.9"/>
    <s v="Yes"/>
    <s v="High"/>
  </r>
  <r>
    <s v="EMP0200"/>
    <x v="0"/>
    <n v="37"/>
    <n v="31053"/>
    <x v="15"/>
    <n v="5"/>
    <n v="35"/>
    <n v="32"/>
    <n v="7"/>
    <n v="3.9"/>
    <s v="Yes"/>
    <s v="High"/>
  </r>
  <r>
    <s v="EMP0201"/>
    <x v="0"/>
    <n v="26"/>
    <n v="37300"/>
    <x v="13"/>
    <n v="3.3"/>
    <n v="30"/>
    <n v="10"/>
    <n v="15"/>
    <n v="2.7"/>
    <s v="No"/>
    <s v="Medium"/>
  </r>
  <r>
    <s v="EMP0202"/>
    <x v="4"/>
    <n v="59"/>
    <n v="15795"/>
    <x v="7"/>
    <n v="3.1"/>
    <n v="11"/>
    <n v="32"/>
    <n v="9"/>
    <n v="4.5999999999999996"/>
    <s v="No"/>
    <s v="Medium"/>
  </r>
  <r>
    <s v="EMP0203"/>
    <x v="2"/>
    <n v="42"/>
    <n v="21500"/>
    <x v="3"/>
    <n v="1.9"/>
    <n v="11"/>
    <n v="29"/>
    <n v="11"/>
    <n v="3.1"/>
    <s v="No"/>
    <s v="Medium"/>
  </r>
  <r>
    <s v="EMP0204"/>
    <x v="3"/>
    <n v="36"/>
    <n v="27091"/>
    <x v="14"/>
    <n v="3.4"/>
    <n v="4"/>
    <n v="24"/>
    <n v="4"/>
    <n v="3.3"/>
    <s v="No"/>
    <s v="Medium"/>
  </r>
  <r>
    <s v="EMP0205"/>
    <x v="0"/>
    <n v="35"/>
    <n v="28744"/>
    <x v="14"/>
    <n v="4.0999999999999996"/>
    <n v="32"/>
    <n v="6"/>
    <n v="6"/>
    <n v="3"/>
    <s v="No"/>
    <s v="Low"/>
  </r>
  <r>
    <s v="EMP0206"/>
    <x v="2"/>
    <n v="54"/>
    <n v="19708"/>
    <x v="4"/>
    <n v="2.6"/>
    <n v="33"/>
    <n v="2"/>
    <n v="1"/>
    <n v="3"/>
    <s v="No"/>
    <s v="Low"/>
  </r>
  <r>
    <s v="EMP0207"/>
    <x v="0"/>
    <n v="48"/>
    <n v="27463"/>
    <x v="10"/>
    <n v="3.6"/>
    <n v="25"/>
    <n v="2"/>
    <n v="5"/>
    <n v="4.7"/>
    <s v="No"/>
    <s v="Low"/>
  </r>
  <r>
    <s v="EMP0208"/>
    <x v="5"/>
    <n v="48"/>
    <n v="17129"/>
    <x v="6"/>
    <n v="3"/>
    <n v="43"/>
    <n v="32"/>
    <n v="5"/>
    <n v="3.3"/>
    <s v="Yes"/>
    <s v="High"/>
  </r>
  <r>
    <s v="EMP0209"/>
    <x v="1"/>
    <n v="49"/>
    <n v="34003"/>
    <x v="15"/>
    <n v="4.9000000000000004"/>
    <n v="19"/>
    <n v="34"/>
    <n v="11"/>
    <n v="2.7"/>
    <s v="Yes"/>
    <s v="High"/>
  </r>
  <r>
    <s v="EMP0210"/>
    <x v="4"/>
    <n v="32"/>
    <n v="13277"/>
    <x v="2"/>
    <n v="3.9"/>
    <n v="50"/>
    <n v="29"/>
    <n v="1"/>
    <n v="3.4"/>
    <s v="No"/>
    <s v="Medium"/>
  </r>
  <r>
    <s v="EMP0211"/>
    <x v="0"/>
    <n v="60"/>
    <n v="34574"/>
    <x v="10"/>
    <n v="3"/>
    <n v="35"/>
    <n v="2"/>
    <n v="11"/>
    <n v="3.7"/>
    <s v="No"/>
    <s v="Low"/>
  </r>
  <r>
    <s v="EMP0212"/>
    <x v="2"/>
    <n v="46"/>
    <n v="20102"/>
    <x v="8"/>
    <n v="2.4"/>
    <n v="5"/>
    <n v="23"/>
    <n v="6"/>
    <n v="2.5"/>
    <s v="No"/>
    <s v="Medium"/>
  </r>
  <r>
    <s v="EMP0213"/>
    <x v="1"/>
    <n v="50"/>
    <n v="23090"/>
    <x v="12"/>
    <n v="3.5"/>
    <n v="27"/>
    <n v="17"/>
    <n v="2"/>
    <n v="3.4"/>
    <s v="No"/>
    <s v="Low"/>
  </r>
  <r>
    <s v="EMP0214"/>
    <x v="5"/>
    <n v="46"/>
    <n v="28356"/>
    <x v="0"/>
    <n v="5"/>
    <n v="15"/>
    <n v="15"/>
    <n v="5"/>
    <n v="3"/>
    <s v="No"/>
    <s v="Low"/>
  </r>
  <r>
    <s v="EMP0215"/>
    <x v="5"/>
    <n v="38"/>
    <n v="29770"/>
    <x v="11"/>
    <n v="3.1"/>
    <n v="9"/>
    <n v="20"/>
    <n v="8"/>
    <n v="4"/>
    <s v="No"/>
    <s v="Low"/>
  </r>
  <r>
    <s v="EMP0216"/>
    <x v="3"/>
    <n v="32"/>
    <n v="22428"/>
    <x v="7"/>
    <n v="4.5999999999999996"/>
    <n v="48"/>
    <n v="14"/>
    <n v="3"/>
    <n v="4.4000000000000004"/>
    <s v="No"/>
    <s v="Low"/>
  </r>
  <r>
    <s v="EMP0217"/>
    <x v="2"/>
    <n v="35"/>
    <n v="30530"/>
    <x v="14"/>
    <n v="4.5"/>
    <n v="37"/>
    <n v="16"/>
    <n v="7"/>
    <n v="5"/>
    <s v="No"/>
    <s v="Low"/>
  </r>
  <r>
    <s v="EMP0218"/>
    <x v="2"/>
    <n v="60"/>
    <n v="24500"/>
    <x v="9"/>
    <n v="2.9"/>
    <n v="16"/>
    <n v="19"/>
    <n v="5"/>
    <n v="3.1"/>
    <s v="No"/>
    <s v="Medium"/>
  </r>
  <r>
    <s v="EMP0219"/>
    <x v="5"/>
    <n v="57"/>
    <n v="22933"/>
    <x v="1"/>
    <n v="3.9"/>
    <n v="25"/>
    <n v="15"/>
    <n v="13"/>
    <n v="3.4"/>
    <s v="No"/>
    <s v="Medium"/>
  </r>
  <r>
    <s v="EMP0220"/>
    <x v="0"/>
    <n v="46"/>
    <n v="20890"/>
    <x v="6"/>
    <n v="3.6"/>
    <n v="24"/>
    <n v="12"/>
    <n v="11"/>
    <n v="4.3"/>
    <s v="No"/>
    <s v="Low"/>
  </r>
  <r>
    <s v="EMP0221"/>
    <x v="0"/>
    <n v="47"/>
    <n v="41849"/>
    <x v="15"/>
    <n v="3.5"/>
    <n v="43"/>
    <n v="17"/>
    <n v="5"/>
    <n v="3.9"/>
    <s v="No"/>
    <s v="Low"/>
  </r>
  <r>
    <s v="EMP0222"/>
    <x v="2"/>
    <n v="39"/>
    <n v="16855"/>
    <x v="11"/>
    <n v="3.3"/>
    <n v="48"/>
    <n v="33"/>
    <n v="5"/>
    <n v="3.5"/>
    <s v="No"/>
    <s v="Medium"/>
  </r>
  <r>
    <s v="EMP0223"/>
    <x v="0"/>
    <n v="51"/>
    <n v="26902"/>
    <x v="14"/>
    <n v="2"/>
    <n v="25"/>
    <n v="35"/>
    <n v="11"/>
    <n v="4"/>
    <s v="No"/>
    <s v="Medium"/>
  </r>
  <r>
    <s v="EMP0224"/>
    <x v="2"/>
    <n v="41"/>
    <n v="30595"/>
    <x v="0"/>
    <n v="2"/>
    <n v="14"/>
    <n v="8"/>
    <n v="2"/>
    <n v="3.4"/>
    <s v="No"/>
    <s v="Low"/>
  </r>
  <r>
    <s v="EMP0225"/>
    <x v="4"/>
    <n v="38"/>
    <n v="18913"/>
    <x v="14"/>
    <n v="3.6"/>
    <n v="49"/>
    <n v="18"/>
    <n v="3"/>
    <n v="3.6"/>
    <s v="No"/>
    <s v="Low"/>
  </r>
  <r>
    <s v="EMP0226"/>
    <x v="2"/>
    <n v="26"/>
    <n v="28028"/>
    <x v="1"/>
    <n v="3.8"/>
    <n v="6"/>
    <n v="9"/>
    <n v="7"/>
    <n v="2.6"/>
    <s v="Yes"/>
    <s v="High"/>
  </r>
  <r>
    <s v="EMP0227"/>
    <x v="4"/>
    <n v="35"/>
    <n v="13896"/>
    <x v="6"/>
    <n v="3.6"/>
    <n v="4"/>
    <n v="20"/>
    <n v="5"/>
    <n v="3.3"/>
    <s v="No"/>
    <s v="Low"/>
  </r>
  <r>
    <s v="EMP0228"/>
    <x v="4"/>
    <n v="48"/>
    <n v="16659"/>
    <x v="4"/>
    <n v="3.6"/>
    <n v="28"/>
    <n v="31"/>
    <n v="12"/>
    <n v="5"/>
    <s v="No"/>
    <s v="Medium"/>
  </r>
  <r>
    <s v="EMP0229"/>
    <x v="0"/>
    <n v="48"/>
    <n v="38883"/>
    <x v="3"/>
    <n v="3.5"/>
    <n v="27"/>
    <n v="32"/>
    <n v="6"/>
    <n v="4.8"/>
    <s v="No"/>
    <s v="Medium"/>
  </r>
  <r>
    <s v="EMP0230"/>
    <x v="1"/>
    <n v="34"/>
    <n v="26157"/>
    <x v="11"/>
    <n v="3.3"/>
    <n v="12"/>
    <n v="12"/>
    <n v="7"/>
    <n v="3"/>
    <s v="No"/>
    <s v="Low"/>
  </r>
  <r>
    <s v="EMP0231"/>
    <x v="4"/>
    <n v="21"/>
    <n v="12132"/>
    <x v="2"/>
    <n v="2.6"/>
    <n v="35"/>
    <n v="10"/>
    <n v="5"/>
    <n v="3.7"/>
    <s v="No"/>
    <s v="Low"/>
  </r>
  <r>
    <s v="EMP0232"/>
    <x v="5"/>
    <n v="31"/>
    <n v="16426"/>
    <x v="15"/>
    <n v="4.4000000000000004"/>
    <n v="15"/>
    <n v="11"/>
    <n v="10"/>
    <n v="2.8"/>
    <s v="No"/>
    <s v="Medium"/>
  </r>
  <r>
    <s v="EMP0233"/>
    <x v="4"/>
    <n v="44"/>
    <n v="21358"/>
    <x v="1"/>
    <n v="2.9"/>
    <n v="36"/>
    <n v="29"/>
    <n v="11"/>
    <n v="2.4"/>
    <s v="Yes"/>
    <s v="High"/>
  </r>
  <r>
    <s v="EMP0234"/>
    <x v="2"/>
    <n v="46"/>
    <n v="15739"/>
    <x v="5"/>
    <n v="4.2"/>
    <n v="15"/>
    <n v="4"/>
    <n v="3"/>
    <n v="3.6"/>
    <s v="No"/>
    <s v="Low"/>
  </r>
  <r>
    <s v="EMP0235"/>
    <x v="4"/>
    <n v="34"/>
    <n v="14542"/>
    <x v="13"/>
    <n v="3.3"/>
    <n v="10"/>
    <n v="27"/>
    <n v="0"/>
    <n v="3.8"/>
    <s v="No"/>
    <s v="Medium"/>
  </r>
  <r>
    <s v="EMP0236"/>
    <x v="4"/>
    <n v="40"/>
    <n v="14728"/>
    <x v="6"/>
    <n v="2.2999999999999998"/>
    <n v="45"/>
    <n v="23"/>
    <n v="5"/>
    <n v="2.8"/>
    <s v="No"/>
    <s v="Medium"/>
  </r>
  <r>
    <s v="EMP0237"/>
    <x v="5"/>
    <n v="34"/>
    <n v="21846"/>
    <x v="5"/>
    <n v="3.3"/>
    <n v="35"/>
    <n v="14"/>
    <n v="2"/>
    <n v="3.9"/>
    <s v="No"/>
    <s v="Low"/>
  </r>
  <r>
    <s v="EMP0238"/>
    <x v="2"/>
    <n v="57"/>
    <n v="24899"/>
    <x v="11"/>
    <n v="4.0999999999999996"/>
    <n v="15"/>
    <n v="28"/>
    <n v="0"/>
    <n v="2.2999999999999998"/>
    <s v="No"/>
    <s v="Medium"/>
  </r>
  <r>
    <s v="EMP0239"/>
    <x v="2"/>
    <n v="32"/>
    <n v="19712"/>
    <x v="7"/>
    <n v="2.9"/>
    <n v="37"/>
    <n v="31"/>
    <n v="1"/>
    <n v="3.3"/>
    <s v="No"/>
    <s v="Medium"/>
  </r>
  <r>
    <s v="EMP0240"/>
    <x v="1"/>
    <n v="29"/>
    <n v="23281"/>
    <x v="11"/>
    <n v="2.9"/>
    <n v="12"/>
    <n v="23"/>
    <n v="0"/>
    <n v="4.4000000000000004"/>
    <s v="No"/>
    <s v="Medium"/>
  </r>
  <r>
    <s v="EMP0241"/>
    <x v="5"/>
    <n v="33"/>
    <n v="27468"/>
    <x v="5"/>
    <n v="1.9"/>
    <n v="33"/>
    <n v="33"/>
    <n v="0"/>
    <n v="1.6"/>
    <s v="No"/>
    <s v="Medium"/>
  </r>
  <r>
    <s v="EMP0242"/>
    <x v="4"/>
    <n v="34"/>
    <n v="15879"/>
    <x v="4"/>
    <n v="3.4"/>
    <n v="7"/>
    <n v="2"/>
    <n v="7"/>
    <n v="4.0999999999999996"/>
    <s v="No"/>
    <s v="Low"/>
  </r>
  <r>
    <s v="EMP0243"/>
    <x v="3"/>
    <n v="26"/>
    <n v="14088"/>
    <x v="13"/>
    <n v="4.0999999999999996"/>
    <n v="9"/>
    <n v="1"/>
    <n v="2"/>
    <n v="3.6"/>
    <s v="No"/>
    <s v="Low"/>
  </r>
  <r>
    <s v="EMP0244"/>
    <x v="4"/>
    <n v="58"/>
    <n v="15257"/>
    <x v="5"/>
    <n v="2.2999999999999998"/>
    <n v="21"/>
    <n v="32"/>
    <n v="8"/>
    <n v="4.5999999999999996"/>
    <s v="Yes"/>
    <s v="High"/>
  </r>
  <r>
    <s v="EMP0245"/>
    <x v="2"/>
    <n v="57"/>
    <n v="27617"/>
    <x v="5"/>
    <n v="5"/>
    <n v="13"/>
    <n v="25"/>
    <n v="12"/>
    <n v="3.9"/>
    <s v="No"/>
    <s v="Medium"/>
  </r>
  <r>
    <s v="EMP0246"/>
    <x v="0"/>
    <n v="31"/>
    <n v="40504"/>
    <x v="10"/>
    <n v="3.5"/>
    <n v="7"/>
    <n v="7"/>
    <n v="1"/>
    <n v="2.5"/>
    <s v="Yes"/>
    <s v="High"/>
  </r>
  <r>
    <s v="EMP0247"/>
    <x v="2"/>
    <n v="45"/>
    <n v="27195"/>
    <x v="11"/>
    <n v="3.2"/>
    <n v="12"/>
    <n v="21"/>
    <n v="5"/>
    <n v="2.2999999999999998"/>
    <s v="No"/>
    <s v="Medium"/>
  </r>
  <r>
    <s v="EMP0248"/>
    <x v="0"/>
    <n v="33"/>
    <n v="19213"/>
    <x v="4"/>
    <n v="1.9"/>
    <n v="25"/>
    <n v="13"/>
    <n v="0"/>
    <n v="3.1"/>
    <s v="No"/>
    <s v="Low"/>
  </r>
  <r>
    <s v="EMP0249"/>
    <x v="4"/>
    <n v="40"/>
    <n v="16621"/>
    <x v="12"/>
    <n v="3.9"/>
    <n v="39"/>
    <n v="25"/>
    <n v="8"/>
    <n v="3.1"/>
    <s v="No"/>
    <s v="Medium"/>
  </r>
  <r>
    <s v="EMP0250"/>
    <x v="2"/>
    <n v="57"/>
    <n v="24703"/>
    <x v="10"/>
    <n v="3.1"/>
    <n v="5"/>
    <n v="12"/>
    <n v="5"/>
    <n v="2.6"/>
    <s v="No"/>
    <s v="Medium"/>
  </r>
  <r>
    <s v="EMP0251"/>
    <x v="4"/>
    <n v="45"/>
    <n v="23725"/>
    <x v="14"/>
    <n v="4.3"/>
    <n v="35"/>
    <n v="1"/>
    <n v="10"/>
    <n v="3.5"/>
    <s v="No"/>
    <s v="Low"/>
  </r>
  <r>
    <s v="EMP0252"/>
    <x v="0"/>
    <n v="38"/>
    <n v="31889"/>
    <x v="14"/>
    <n v="2.8"/>
    <n v="28"/>
    <n v="19"/>
    <n v="6"/>
    <n v="2.9"/>
    <s v="No"/>
    <s v="Medium"/>
  </r>
  <r>
    <s v="EMP0253"/>
    <x v="1"/>
    <n v="25"/>
    <n v="23615"/>
    <x v="11"/>
    <n v="3.1"/>
    <n v="18"/>
    <n v="35"/>
    <n v="8"/>
    <n v="3.1"/>
    <s v="No"/>
    <s v="Medium"/>
  </r>
  <r>
    <s v="EMP0254"/>
    <x v="2"/>
    <n v="49"/>
    <n v="16797"/>
    <x v="3"/>
    <n v="3.4"/>
    <n v="18"/>
    <n v="8"/>
    <n v="8"/>
    <n v="3.9"/>
    <s v="No"/>
    <s v="Low"/>
  </r>
  <r>
    <s v="EMP0255"/>
    <x v="2"/>
    <n v="42"/>
    <n v="24467"/>
    <x v="9"/>
    <n v="3.6"/>
    <n v="22"/>
    <n v="2"/>
    <n v="12"/>
    <n v="3.4"/>
    <s v="No"/>
    <s v="Medium"/>
  </r>
  <r>
    <s v="EMP0256"/>
    <x v="3"/>
    <n v="52"/>
    <n v="27631"/>
    <x v="2"/>
    <n v="3.8"/>
    <n v="27"/>
    <n v="28"/>
    <n v="0"/>
    <n v="2.6"/>
    <s v="No"/>
    <s v="Medium"/>
  </r>
  <r>
    <s v="EMP0257"/>
    <x v="1"/>
    <n v="48"/>
    <n v="27233"/>
    <x v="10"/>
    <n v="3.7"/>
    <n v="31"/>
    <n v="0"/>
    <n v="3"/>
    <n v="4.3"/>
    <s v="No"/>
    <s v="Low"/>
  </r>
  <r>
    <s v="EMP0258"/>
    <x v="5"/>
    <n v="28"/>
    <n v="29933"/>
    <x v="7"/>
    <n v="4.0999999999999996"/>
    <n v="10"/>
    <n v="28"/>
    <n v="1"/>
    <n v="4.3"/>
    <s v="Yes"/>
    <s v="High"/>
  </r>
  <r>
    <s v="EMP0259"/>
    <x v="0"/>
    <n v="48"/>
    <n v="19396"/>
    <x v="14"/>
    <n v="3"/>
    <n v="5"/>
    <n v="6"/>
    <n v="7"/>
    <n v="4.8"/>
    <s v="No"/>
    <s v="Low"/>
  </r>
  <r>
    <s v="EMP0260"/>
    <x v="0"/>
    <n v="53"/>
    <n v="31388"/>
    <x v="15"/>
    <n v="3.2"/>
    <n v="49"/>
    <n v="14"/>
    <n v="1"/>
    <n v="5"/>
    <s v="No"/>
    <s v="Low"/>
  </r>
  <r>
    <s v="EMP0261"/>
    <x v="1"/>
    <n v="44"/>
    <n v="35122"/>
    <x v="12"/>
    <n v="3.8"/>
    <n v="5"/>
    <n v="27"/>
    <n v="8"/>
    <n v="3.9"/>
    <s v="No"/>
    <s v="Medium"/>
  </r>
  <r>
    <s v="EMP0262"/>
    <x v="1"/>
    <n v="49"/>
    <n v="33073"/>
    <x v="9"/>
    <n v="4.3"/>
    <n v="17"/>
    <n v="7"/>
    <n v="3"/>
    <n v="3.1"/>
    <s v="No"/>
    <s v="Medium"/>
  </r>
  <r>
    <s v="EMP0263"/>
    <x v="0"/>
    <n v="59"/>
    <n v="23130"/>
    <x v="4"/>
    <n v="3"/>
    <n v="26"/>
    <n v="4"/>
    <n v="7"/>
    <n v="1.7"/>
    <s v="No"/>
    <s v="Medium"/>
  </r>
  <r>
    <s v="EMP0264"/>
    <x v="3"/>
    <n v="22"/>
    <n v="19602"/>
    <x v="11"/>
    <n v="3.2"/>
    <n v="23"/>
    <n v="21"/>
    <n v="5"/>
    <n v="3.3"/>
    <s v="Yes"/>
    <s v="High"/>
  </r>
  <r>
    <s v="EMP0265"/>
    <x v="2"/>
    <n v="24"/>
    <n v="28645"/>
    <x v="8"/>
    <n v="4.7"/>
    <n v="20"/>
    <n v="15"/>
    <n v="8"/>
    <n v="1.3"/>
    <s v="Yes"/>
    <s v="High"/>
  </r>
  <r>
    <s v="EMP0266"/>
    <x v="4"/>
    <n v="57"/>
    <n v="22939"/>
    <x v="2"/>
    <n v="2.9"/>
    <n v="24"/>
    <n v="11"/>
    <n v="11"/>
    <n v="3.7"/>
    <s v="No"/>
    <s v="Low"/>
  </r>
  <r>
    <s v="EMP0267"/>
    <x v="5"/>
    <n v="40"/>
    <n v="25467"/>
    <x v="2"/>
    <n v="3.7"/>
    <n v="47"/>
    <n v="7"/>
    <n v="11"/>
    <n v="3.7"/>
    <s v="No"/>
    <s v="Low"/>
  </r>
  <r>
    <s v="EMP0268"/>
    <x v="1"/>
    <n v="27"/>
    <n v="22262"/>
    <x v="0"/>
    <n v="2.7"/>
    <n v="7"/>
    <n v="31"/>
    <n v="3"/>
    <n v="3.5"/>
    <s v="No"/>
    <s v="Medium"/>
  </r>
  <r>
    <s v="EMP0269"/>
    <x v="0"/>
    <n v="41"/>
    <n v="23997"/>
    <x v="0"/>
    <n v="1.9"/>
    <n v="43"/>
    <n v="28"/>
    <n v="2"/>
    <n v="3.5"/>
    <s v="No"/>
    <s v="Medium"/>
  </r>
  <r>
    <s v="EMP0270"/>
    <x v="1"/>
    <n v="31"/>
    <n v="23573"/>
    <x v="1"/>
    <n v="3.1"/>
    <n v="36"/>
    <n v="29"/>
    <n v="8"/>
    <n v="2.4"/>
    <s v="Yes"/>
    <s v="High"/>
  </r>
  <r>
    <s v="EMP0271"/>
    <x v="2"/>
    <n v="47"/>
    <n v="15799"/>
    <x v="8"/>
    <n v="4.9000000000000004"/>
    <n v="38"/>
    <n v="5"/>
    <n v="11"/>
    <n v="3.5"/>
    <s v="No"/>
    <s v="Low"/>
  </r>
  <r>
    <s v="EMP0272"/>
    <x v="5"/>
    <n v="53"/>
    <n v="17401"/>
    <x v="2"/>
    <n v="4.5999999999999996"/>
    <n v="32"/>
    <n v="1"/>
    <n v="5"/>
    <n v="2.2999999999999998"/>
    <s v="No"/>
    <s v="Medium"/>
  </r>
  <r>
    <s v="EMP0273"/>
    <x v="1"/>
    <n v="53"/>
    <n v="36911"/>
    <x v="0"/>
    <n v="2.9"/>
    <n v="11"/>
    <n v="28"/>
    <n v="5"/>
    <n v="5"/>
    <s v="No"/>
    <s v="Medium"/>
  </r>
  <r>
    <s v="EMP0274"/>
    <x v="4"/>
    <n v="35"/>
    <n v="20832"/>
    <x v="12"/>
    <n v="2.9"/>
    <n v="7"/>
    <n v="1"/>
    <n v="6"/>
    <n v="3.7"/>
    <s v="No"/>
    <s v="Low"/>
  </r>
  <r>
    <s v="EMP0275"/>
    <x v="3"/>
    <n v="26"/>
    <n v="22231"/>
    <x v="4"/>
    <n v="4.4000000000000004"/>
    <n v="9"/>
    <n v="10"/>
    <n v="9"/>
    <n v="2.2999999999999998"/>
    <s v="No"/>
    <s v="Medium"/>
  </r>
  <r>
    <s v="EMP0276"/>
    <x v="1"/>
    <n v="31"/>
    <n v="35537"/>
    <x v="4"/>
    <n v="3.3"/>
    <n v="41"/>
    <n v="30"/>
    <n v="5"/>
    <n v="3.2"/>
    <s v="Yes"/>
    <s v="High"/>
  </r>
  <r>
    <s v="EMP0277"/>
    <x v="1"/>
    <n v="35"/>
    <n v="21897"/>
    <x v="11"/>
    <n v="3.3"/>
    <n v="39"/>
    <n v="15"/>
    <n v="7"/>
    <n v="3.7"/>
    <s v="No"/>
    <s v="Low"/>
  </r>
  <r>
    <s v="EMP0278"/>
    <x v="4"/>
    <n v="56"/>
    <n v="19540"/>
    <x v="4"/>
    <n v="4"/>
    <n v="15"/>
    <n v="18"/>
    <n v="1"/>
    <n v="2"/>
    <s v="No"/>
    <s v="Medium"/>
  </r>
  <r>
    <s v="EMP0279"/>
    <x v="4"/>
    <n v="39"/>
    <n v="16338"/>
    <x v="3"/>
    <n v="4.3"/>
    <n v="23"/>
    <n v="9"/>
    <n v="7"/>
    <n v="3.5"/>
    <s v="No"/>
    <s v="Low"/>
  </r>
  <r>
    <s v="EMP0280"/>
    <x v="2"/>
    <n v="45"/>
    <n v="18664"/>
    <x v="3"/>
    <n v="3.4"/>
    <n v="21"/>
    <n v="34"/>
    <n v="6"/>
    <n v="3.4"/>
    <s v="No"/>
    <s v="Medium"/>
  </r>
  <r>
    <s v="EMP0281"/>
    <x v="0"/>
    <n v="38"/>
    <n v="31111"/>
    <x v="1"/>
    <n v="3.7"/>
    <n v="20"/>
    <n v="25"/>
    <n v="5"/>
    <n v="1"/>
    <s v="No"/>
    <s v="Medium"/>
  </r>
  <r>
    <s v="EMP0282"/>
    <x v="3"/>
    <n v="59"/>
    <n v="23211"/>
    <x v="2"/>
    <n v="3.7"/>
    <n v="23"/>
    <n v="4"/>
    <n v="8"/>
    <n v="5"/>
    <s v="No"/>
    <s v="Low"/>
  </r>
  <r>
    <s v="EMP0283"/>
    <x v="4"/>
    <n v="36"/>
    <n v="15351"/>
    <x v="3"/>
    <n v="3.8"/>
    <n v="50"/>
    <n v="26"/>
    <n v="8"/>
    <n v="4"/>
    <s v="No"/>
    <s v="Medium"/>
  </r>
  <r>
    <s v="EMP0284"/>
    <x v="2"/>
    <n v="37"/>
    <n v="24525"/>
    <x v="9"/>
    <n v="2.9"/>
    <n v="14"/>
    <n v="23"/>
    <n v="9"/>
    <n v="3"/>
    <s v="No"/>
    <s v="Medium"/>
  </r>
  <r>
    <s v="EMP0285"/>
    <x v="0"/>
    <n v="37"/>
    <n v="38194"/>
    <x v="1"/>
    <n v="4.3"/>
    <n v="21"/>
    <n v="1"/>
    <n v="2"/>
    <n v="3.6"/>
    <s v="No"/>
    <s v="Medium"/>
  </r>
  <r>
    <s v="EMP0286"/>
    <x v="3"/>
    <n v="51"/>
    <n v="24471"/>
    <x v="1"/>
    <n v="2.6"/>
    <n v="38"/>
    <n v="34"/>
    <n v="12"/>
    <n v="3"/>
    <s v="No"/>
    <s v="Medium"/>
  </r>
  <r>
    <s v="EMP0287"/>
    <x v="3"/>
    <n v="56"/>
    <n v="14304"/>
    <x v="3"/>
    <n v="1"/>
    <n v="18"/>
    <n v="20"/>
    <n v="5"/>
    <n v="2"/>
    <s v="No"/>
    <s v="Medium"/>
  </r>
  <r>
    <s v="EMP0288"/>
    <x v="1"/>
    <n v="55"/>
    <n v="36642"/>
    <x v="4"/>
    <n v="2.2000000000000002"/>
    <n v="48"/>
    <n v="35"/>
    <n v="0"/>
    <n v="4.2"/>
    <s v="No"/>
    <s v="Medium"/>
  </r>
  <r>
    <s v="EMP0289"/>
    <x v="1"/>
    <n v="26"/>
    <n v="27559"/>
    <x v="1"/>
    <n v="4.2"/>
    <n v="50"/>
    <n v="11"/>
    <n v="10"/>
    <n v="4.7"/>
    <s v="No"/>
    <s v="Medium"/>
  </r>
  <r>
    <s v="EMP0290"/>
    <x v="1"/>
    <n v="36"/>
    <n v="20457"/>
    <x v="5"/>
    <n v="3.8"/>
    <n v="9"/>
    <n v="27"/>
    <n v="5"/>
    <n v="3.1"/>
    <s v="No"/>
    <s v="Medium"/>
  </r>
  <r>
    <s v="EMP0291"/>
    <x v="5"/>
    <n v="56"/>
    <n v="19072"/>
    <x v="10"/>
    <n v="4.3"/>
    <n v="24"/>
    <n v="23"/>
    <n v="9"/>
    <n v="2.7"/>
    <s v="Yes"/>
    <s v="High"/>
  </r>
  <r>
    <s v="EMP0292"/>
    <x v="2"/>
    <n v="59"/>
    <n v="23867"/>
    <x v="12"/>
    <n v="2.9"/>
    <n v="7"/>
    <n v="18"/>
    <n v="19"/>
    <n v="1.8"/>
    <s v="No"/>
    <s v="Medium"/>
  </r>
  <r>
    <s v="EMP0293"/>
    <x v="1"/>
    <n v="56"/>
    <n v="35302"/>
    <x v="3"/>
    <n v="3.4"/>
    <n v="23"/>
    <n v="20"/>
    <n v="7"/>
    <n v="2.6"/>
    <s v="No"/>
    <s v="Medium"/>
  </r>
  <r>
    <s v="EMP0294"/>
    <x v="1"/>
    <n v="55"/>
    <n v="33765"/>
    <x v="7"/>
    <n v="3.8"/>
    <n v="16"/>
    <n v="32"/>
    <n v="6"/>
    <n v="3.2"/>
    <s v="Yes"/>
    <s v="High"/>
  </r>
  <r>
    <s v="EMP0295"/>
    <x v="1"/>
    <n v="37"/>
    <n v="23286"/>
    <x v="3"/>
    <n v="3.1"/>
    <n v="10"/>
    <n v="25"/>
    <n v="9"/>
    <n v="2.6"/>
    <s v="No"/>
    <s v="Medium"/>
  </r>
  <r>
    <s v="EMP0296"/>
    <x v="2"/>
    <n v="21"/>
    <n v="27942"/>
    <x v="0"/>
    <n v="2.6"/>
    <n v="15"/>
    <n v="28"/>
    <n v="0"/>
    <n v="4.2"/>
    <s v="No"/>
    <s v="Medium"/>
  </r>
  <r>
    <s v="EMP0297"/>
    <x v="3"/>
    <n v="40"/>
    <n v="23047"/>
    <x v="9"/>
    <n v="3.8"/>
    <n v="49"/>
    <n v="6"/>
    <n v="8"/>
    <n v="5"/>
    <s v="No"/>
    <s v="Medium"/>
  </r>
  <r>
    <s v="EMP0298"/>
    <x v="1"/>
    <n v="55"/>
    <n v="31722"/>
    <x v="9"/>
    <n v="4.4000000000000004"/>
    <n v="10"/>
    <n v="30"/>
    <n v="0"/>
    <n v="2"/>
    <s v="No"/>
    <s v="Medium"/>
  </r>
  <r>
    <s v="EMP0299"/>
    <x v="3"/>
    <n v="56"/>
    <n v="15832"/>
    <x v="14"/>
    <n v="2.1"/>
    <n v="4"/>
    <n v="17"/>
    <n v="8"/>
    <n v="1"/>
    <s v="No"/>
    <s v="Medium"/>
  </r>
  <r>
    <s v="EMP0300"/>
    <x v="1"/>
    <n v="31"/>
    <n v="23825"/>
    <x v="1"/>
    <n v="4.3"/>
    <n v="17"/>
    <n v="33"/>
    <n v="6"/>
    <n v="4.9000000000000004"/>
    <s v="No"/>
    <s v="Medium"/>
  </r>
  <r>
    <s v="EMP0301"/>
    <x v="1"/>
    <n v="35"/>
    <n v="31644"/>
    <x v="1"/>
    <n v="2.7"/>
    <n v="44"/>
    <n v="10"/>
    <n v="7"/>
    <n v="2.9"/>
    <s v="No"/>
    <s v="Medium"/>
  </r>
  <r>
    <s v="EMP0302"/>
    <x v="1"/>
    <n v="29"/>
    <n v="37267"/>
    <x v="6"/>
    <n v="3.9"/>
    <n v="20"/>
    <n v="23"/>
    <n v="9"/>
    <n v="1"/>
    <s v="Yes"/>
    <s v="High"/>
  </r>
  <r>
    <s v="EMP0303"/>
    <x v="2"/>
    <n v="48"/>
    <n v="22338"/>
    <x v="6"/>
    <n v="3.3"/>
    <n v="8"/>
    <n v="7"/>
    <n v="0"/>
    <n v="3.8"/>
    <s v="No"/>
    <s v="Low"/>
  </r>
  <r>
    <s v="EMP0304"/>
    <x v="3"/>
    <n v="39"/>
    <n v="24176"/>
    <x v="15"/>
    <n v="3.8"/>
    <n v="32"/>
    <n v="25"/>
    <n v="6"/>
    <n v="2.7"/>
    <s v="No"/>
    <s v="Medium"/>
  </r>
  <r>
    <s v="EMP0305"/>
    <x v="4"/>
    <n v="31"/>
    <n v="21094"/>
    <x v="4"/>
    <n v="2.8"/>
    <n v="34"/>
    <n v="22"/>
    <n v="0"/>
    <n v="3.1"/>
    <s v="Yes"/>
    <s v="High"/>
  </r>
  <r>
    <s v="EMP0306"/>
    <x v="2"/>
    <n v="59"/>
    <n v="26682"/>
    <x v="13"/>
    <n v="2.2999999999999998"/>
    <n v="6"/>
    <n v="24"/>
    <n v="0"/>
    <n v="2.4"/>
    <s v="Yes"/>
    <s v="High"/>
  </r>
  <r>
    <s v="EMP0307"/>
    <x v="4"/>
    <n v="55"/>
    <n v="15759"/>
    <x v="6"/>
    <n v="4.4000000000000004"/>
    <n v="4"/>
    <n v="2"/>
    <n v="0"/>
    <n v="4.5"/>
    <s v="No"/>
    <s v="Low"/>
  </r>
  <r>
    <s v="EMP0308"/>
    <x v="4"/>
    <n v="27"/>
    <n v="20276"/>
    <x v="0"/>
    <n v="2.2000000000000002"/>
    <n v="36"/>
    <n v="4"/>
    <n v="8"/>
    <n v="2.7"/>
    <s v="Yes"/>
    <s v="High"/>
  </r>
  <r>
    <s v="EMP0309"/>
    <x v="1"/>
    <n v="37"/>
    <n v="27581"/>
    <x v="13"/>
    <n v="4.0999999999999996"/>
    <n v="48"/>
    <n v="4"/>
    <n v="0"/>
    <n v="2.2000000000000002"/>
    <s v="No"/>
    <s v="Medium"/>
  </r>
  <r>
    <s v="EMP0310"/>
    <x v="5"/>
    <n v="27"/>
    <n v="25545"/>
    <x v="11"/>
    <n v="3.6"/>
    <n v="13"/>
    <n v="34"/>
    <n v="1"/>
    <n v="3.7"/>
    <s v="No"/>
    <s v="Medium"/>
  </r>
  <r>
    <s v="EMP0311"/>
    <x v="5"/>
    <n v="45"/>
    <n v="27720"/>
    <x v="1"/>
    <n v="2.6"/>
    <n v="34"/>
    <n v="8"/>
    <n v="17"/>
    <n v="3.6"/>
    <s v="No"/>
    <s v="Medium"/>
  </r>
  <r>
    <s v="EMP0312"/>
    <x v="4"/>
    <n v="29"/>
    <n v="13467"/>
    <x v="4"/>
    <n v="3.1"/>
    <n v="49"/>
    <n v="16"/>
    <n v="7"/>
    <n v="3.8"/>
    <s v="No"/>
    <s v="Low"/>
  </r>
  <r>
    <s v="EMP0313"/>
    <x v="5"/>
    <n v="35"/>
    <n v="18903"/>
    <x v="11"/>
    <n v="3.6"/>
    <n v="45"/>
    <n v="35"/>
    <n v="8"/>
    <n v="2.5"/>
    <s v="No"/>
    <s v="Medium"/>
  </r>
  <r>
    <s v="EMP0314"/>
    <x v="5"/>
    <n v="34"/>
    <n v="26660"/>
    <x v="13"/>
    <n v="3.4"/>
    <n v="14"/>
    <n v="9"/>
    <n v="11"/>
    <n v="4.5"/>
    <s v="Yes"/>
    <s v="High"/>
  </r>
  <r>
    <s v="EMP0315"/>
    <x v="0"/>
    <n v="32"/>
    <n v="18533"/>
    <x v="15"/>
    <n v="3"/>
    <n v="5"/>
    <n v="32"/>
    <n v="7"/>
    <n v="4.0999999999999996"/>
    <s v="No"/>
    <s v="Medium"/>
  </r>
  <r>
    <s v="EMP0316"/>
    <x v="4"/>
    <n v="51"/>
    <n v="16841"/>
    <x v="13"/>
    <n v="2.5"/>
    <n v="27"/>
    <n v="24"/>
    <n v="7"/>
    <n v="2.7"/>
    <s v="No"/>
    <s v="Medium"/>
  </r>
  <r>
    <s v="EMP0317"/>
    <x v="0"/>
    <n v="56"/>
    <n v="28463"/>
    <x v="1"/>
    <n v="3.5"/>
    <n v="39"/>
    <n v="8"/>
    <n v="3"/>
    <n v="3.7"/>
    <s v="No"/>
    <s v="Medium"/>
  </r>
  <r>
    <s v="EMP0318"/>
    <x v="5"/>
    <n v="41"/>
    <n v="27014"/>
    <x v="15"/>
    <n v="4"/>
    <n v="29"/>
    <n v="11"/>
    <n v="13"/>
    <n v="3.4"/>
    <s v="No"/>
    <s v="Low"/>
  </r>
  <r>
    <s v="EMP0319"/>
    <x v="1"/>
    <n v="58"/>
    <n v="21442"/>
    <x v="1"/>
    <n v="1.4"/>
    <n v="46"/>
    <n v="24"/>
    <n v="10"/>
    <n v="3.1"/>
    <s v="Yes"/>
    <s v="High"/>
  </r>
  <r>
    <s v="EMP0320"/>
    <x v="4"/>
    <n v="46"/>
    <n v="23535"/>
    <x v="7"/>
    <n v="3.6"/>
    <n v="22"/>
    <n v="0"/>
    <n v="8"/>
    <n v="2.2999999999999998"/>
    <s v="Yes"/>
    <s v="High"/>
  </r>
  <r>
    <s v="EMP0321"/>
    <x v="5"/>
    <n v="58"/>
    <n v="23565"/>
    <x v="9"/>
    <n v="2.7"/>
    <n v="16"/>
    <n v="27"/>
    <n v="10"/>
    <n v="2.9"/>
    <s v="No"/>
    <s v="Medium"/>
  </r>
  <r>
    <s v="EMP0322"/>
    <x v="3"/>
    <n v="55"/>
    <n v="22943"/>
    <x v="7"/>
    <n v="3.7"/>
    <n v="38"/>
    <n v="27"/>
    <n v="1"/>
    <n v="3"/>
    <s v="No"/>
    <s v="Medium"/>
  </r>
  <r>
    <s v="EMP0323"/>
    <x v="2"/>
    <n v="51"/>
    <n v="31338"/>
    <x v="14"/>
    <n v="4.8"/>
    <n v="31"/>
    <n v="11"/>
    <n v="7"/>
    <n v="2.2999999999999998"/>
    <s v="No"/>
    <s v="Medium"/>
  </r>
  <r>
    <s v="EMP0324"/>
    <x v="3"/>
    <n v="22"/>
    <n v="14425"/>
    <x v="14"/>
    <n v="4.5999999999999996"/>
    <n v="33"/>
    <n v="33"/>
    <n v="0"/>
    <n v="2.6"/>
    <s v="Yes"/>
    <s v="High"/>
  </r>
  <r>
    <s v="EMP0325"/>
    <x v="2"/>
    <n v="40"/>
    <n v="16577"/>
    <x v="14"/>
    <n v="5"/>
    <n v="33"/>
    <n v="23"/>
    <n v="2"/>
    <n v="3"/>
    <s v="No"/>
    <s v="Medium"/>
  </r>
  <r>
    <s v="EMP0326"/>
    <x v="3"/>
    <n v="52"/>
    <n v="23993"/>
    <x v="5"/>
    <n v="4"/>
    <n v="22"/>
    <n v="24"/>
    <n v="0"/>
    <n v="2.5"/>
    <s v="Yes"/>
    <s v="High"/>
  </r>
  <r>
    <s v="EMP0327"/>
    <x v="4"/>
    <n v="56"/>
    <n v="21702"/>
    <x v="4"/>
    <n v="4.2"/>
    <n v="15"/>
    <n v="10"/>
    <n v="4"/>
    <n v="4.8"/>
    <s v="No"/>
    <s v="Low"/>
  </r>
  <r>
    <s v="EMP0328"/>
    <x v="5"/>
    <n v="25"/>
    <n v="26983"/>
    <x v="8"/>
    <n v="4.9000000000000004"/>
    <n v="12"/>
    <n v="6"/>
    <n v="8"/>
    <n v="2.7"/>
    <s v="No"/>
    <s v="Medium"/>
  </r>
  <r>
    <s v="EMP0329"/>
    <x v="3"/>
    <n v="23"/>
    <n v="15071"/>
    <x v="10"/>
    <n v="4.5"/>
    <n v="35"/>
    <n v="0"/>
    <n v="12"/>
    <n v="3.4"/>
    <s v="No"/>
    <s v="Low"/>
  </r>
  <r>
    <s v="EMP0330"/>
    <x v="2"/>
    <n v="46"/>
    <n v="21194"/>
    <x v="15"/>
    <n v="3.3"/>
    <n v="14"/>
    <n v="13"/>
    <n v="8"/>
    <n v="2.8"/>
    <s v="No"/>
    <s v="Medium"/>
  </r>
  <r>
    <s v="EMP0331"/>
    <x v="0"/>
    <n v="53"/>
    <n v="36349"/>
    <x v="9"/>
    <n v="4.3"/>
    <n v="45"/>
    <n v="33"/>
    <n v="8"/>
    <n v="4"/>
    <s v="No"/>
    <s v="Medium"/>
  </r>
  <r>
    <s v="EMP0332"/>
    <x v="0"/>
    <n v="26"/>
    <n v="31752"/>
    <x v="9"/>
    <n v="4.5"/>
    <n v="34"/>
    <n v="4"/>
    <n v="9"/>
    <n v="3.7"/>
    <s v="No"/>
    <s v="Medium"/>
  </r>
  <r>
    <s v="EMP0333"/>
    <x v="4"/>
    <n v="24"/>
    <n v="22001"/>
    <x v="12"/>
    <n v="4.3"/>
    <n v="10"/>
    <n v="5"/>
    <n v="0"/>
    <n v="3"/>
    <s v="No"/>
    <s v="Low"/>
  </r>
  <r>
    <s v="EMP0334"/>
    <x v="2"/>
    <n v="44"/>
    <n v="21451"/>
    <x v="13"/>
    <n v="4.2"/>
    <n v="6"/>
    <n v="2"/>
    <n v="0"/>
    <n v="3.8"/>
    <s v="No"/>
    <s v="Low"/>
  </r>
  <r>
    <s v="EMP0335"/>
    <x v="4"/>
    <n v="21"/>
    <n v="22709"/>
    <x v="2"/>
    <n v="4.0999999999999996"/>
    <n v="23"/>
    <n v="35"/>
    <n v="2"/>
    <n v="3.1"/>
    <s v="No"/>
    <s v="Medium"/>
  </r>
  <r>
    <s v="EMP0336"/>
    <x v="4"/>
    <n v="30"/>
    <n v="21389"/>
    <x v="13"/>
    <n v="2.2000000000000002"/>
    <n v="30"/>
    <n v="22"/>
    <n v="8"/>
    <n v="3.9"/>
    <s v="No"/>
    <s v="Medium"/>
  </r>
  <r>
    <s v="EMP0337"/>
    <x v="2"/>
    <n v="47"/>
    <n v="16886"/>
    <x v="0"/>
    <n v="3.5"/>
    <n v="50"/>
    <n v="4"/>
    <n v="4"/>
    <n v="4.2"/>
    <s v="No"/>
    <s v="Low"/>
  </r>
  <r>
    <s v="EMP0338"/>
    <x v="5"/>
    <n v="60"/>
    <n v="22672"/>
    <x v="13"/>
    <n v="3.6"/>
    <n v="50"/>
    <n v="23"/>
    <n v="1"/>
    <n v="3.8"/>
    <s v="No"/>
    <s v="Medium"/>
  </r>
  <r>
    <s v="EMP0339"/>
    <x v="0"/>
    <n v="42"/>
    <n v="31784"/>
    <x v="3"/>
    <n v="4.2"/>
    <n v="16"/>
    <n v="35"/>
    <n v="7"/>
    <n v="3.7"/>
    <s v="No"/>
    <s v="Medium"/>
  </r>
  <r>
    <s v="EMP0340"/>
    <x v="1"/>
    <n v="55"/>
    <n v="36929"/>
    <x v="7"/>
    <n v="4.5999999999999996"/>
    <n v="28"/>
    <n v="19"/>
    <n v="4"/>
    <n v="3.7"/>
    <s v="Yes"/>
    <s v="High"/>
  </r>
  <r>
    <s v="EMP0341"/>
    <x v="1"/>
    <n v="24"/>
    <n v="28066"/>
    <x v="14"/>
    <n v="2.7"/>
    <n v="9"/>
    <n v="23"/>
    <n v="7"/>
    <n v="3.9"/>
    <s v="No"/>
    <s v="Medium"/>
  </r>
  <r>
    <s v="EMP0342"/>
    <x v="4"/>
    <n v="21"/>
    <n v="17317"/>
    <x v="11"/>
    <n v="3.3"/>
    <n v="6"/>
    <n v="31"/>
    <n v="4"/>
    <n v="2.8"/>
    <s v="Yes"/>
    <s v="High"/>
  </r>
  <r>
    <s v="EMP0343"/>
    <x v="5"/>
    <n v="27"/>
    <n v="22580"/>
    <x v="4"/>
    <n v="5"/>
    <n v="5"/>
    <n v="9"/>
    <n v="13"/>
    <n v="3"/>
    <s v="No"/>
    <s v="Low"/>
  </r>
  <r>
    <s v="EMP0344"/>
    <x v="4"/>
    <n v="45"/>
    <n v="12389"/>
    <x v="4"/>
    <n v="4"/>
    <n v="49"/>
    <n v="23"/>
    <n v="9"/>
    <n v="3"/>
    <s v="No"/>
    <s v="Medium"/>
  </r>
  <r>
    <s v="EMP0345"/>
    <x v="1"/>
    <n v="26"/>
    <n v="21709"/>
    <x v="15"/>
    <n v="4.5"/>
    <n v="40"/>
    <n v="22"/>
    <n v="2"/>
    <n v="3.6"/>
    <s v="No"/>
    <s v="Medium"/>
  </r>
  <r>
    <s v="EMP0346"/>
    <x v="3"/>
    <n v="24"/>
    <n v="18525"/>
    <x v="12"/>
    <n v="3.2"/>
    <n v="26"/>
    <n v="16"/>
    <n v="0"/>
    <n v="4.0999999999999996"/>
    <s v="No"/>
    <s v="Low"/>
  </r>
  <r>
    <s v="EMP0347"/>
    <x v="3"/>
    <n v="39"/>
    <n v="25533"/>
    <x v="13"/>
    <n v="3.9"/>
    <n v="39"/>
    <n v="3"/>
    <n v="2"/>
    <n v="4.7"/>
    <s v="No"/>
    <s v="Low"/>
  </r>
  <r>
    <s v="EMP0348"/>
    <x v="1"/>
    <n v="22"/>
    <n v="21154"/>
    <x v="0"/>
    <n v="2.9"/>
    <n v="47"/>
    <n v="13"/>
    <n v="13"/>
    <n v="3.1"/>
    <s v="Yes"/>
    <s v="High"/>
  </r>
  <r>
    <s v="EMP0349"/>
    <x v="4"/>
    <n v="58"/>
    <n v="12514"/>
    <x v="13"/>
    <n v="2.5"/>
    <n v="48"/>
    <n v="18"/>
    <n v="8"/>
    <n v="4.4000000000000004"/>
    <s v="No"/>
    <s v="Low"/>
  </r>
  <r>
    <s v="EMP0350"/>
    <x v="2"/>
    <n v="35"/>
    <n v="25036"/>
    <x v="7"/>
    <n v="3.8"/>
    <n v="27"/>
    <n v="21"/>
    <n v="8"/>
    <n v="4.0999999999999996"/>
    <s v="Yes"/>
    <s v="High"/>
  </r>
  <r>
    <s v="EMP0351"/>
    <x v="2"/>
    <n v="47"/>
    <n v="29954"/>
    <x v="4"/>
    <n v="1.7"/>
    <n v="39"/>
    <n v="3"/>
    <n v="2"/>
    <n v="4.2"/>
    <s v="No"/>
    <s v="Low"/>
  </r>
  <r>
    <s v="EMP0352"/>
    <x v="1"/>
    <n v="23"/>
    <n v="35415"/>
    <x v="10"/>
    <n v="3.8"/>
    <n v="49"/>
    <n v="13"/>
    <n v="3"/>
    <n v="2.4"/>
    <s v="No"/>
    <s v="Medium"/>
  </r>
  <r>
    <s v="EMP0353"/>
    <x v="5"/>
    <n v="44"/>
    <n v="23040"/>
    <x v="4"/>
    <n v="3.5"/>
    <n v="25"/>
    <n v="20"/>
    <n v="0"/>
    <n v="3.9"/>
    <s v="No"/>
    <s v="Low"/>
  </r>
  <r>
    <s v="EMP0354"/>
    <x v="2"/>
    <n v="25"/>
    <n v="30162"/>
    <x v="4"/>
    <n v="3.4"/>
    <n v="15"/>
    <n v="18"/>
    <n v="10"/>
    <n v="4.0999999999999996"/>
    <s v="No"/>
    <s v="Low"/>
  </r>
  <r>
    <s v="EMP0355"/>
    <x v="2"/>
    <n v="32"/>
    <n v="18897"/>
    <x v="2"/>
    <n v="4.8"/>
    <n v="40"/>
    <n v="2"/>
    <n v="7"/>
    <n v="2.2000000000000002"/>
    <s v="No"/>
    <s v="Medium"/>
  </r>
  <r>
    <s v="EMP0356"/>
    <x v="2"/>
    <n v="43"/>
    <n v="22004"/>
    <x v="8"/>
    <n v="2.1"/>
    <n v="19"/>
    <n v="0"/>
    <n v="11"/>
    <n v="5"/>
    <s v="No"/>
    <s v="Low"/>
  </r>
  <r>
    <s v="EMP0357"/>
    <x v="3"/>
    <n v="49"/>
    <n v="17613"/>
    <x v="6"/>
    <n v="5"/>
    <n v="33"/>
    <n v="21"/>
    <n v="4"/>
    <n v="3.5"/>
    <s v="No"/>
    <s v="Medium"/>
  </r>
  <r>
    <s v="EMP0358"/>
    <x v="5"/>
    <n v="49"/>
    <n v="17801"/>
    <x v="3"/>
    <n v="1"/>
    <n v="23"/>
    <n v="10"/>
    <n v="4"/>
    <n v="3.8"/>
    <s v="No"/>
    <s v="Low"/>
  </r>
  <r>
    <s v="EMP0359"/>
    <x v="3"/>
    <n v="32"/>
    <n v="20496"/>
    <x v="12"/>
    <n v="4.2"/>
    <n v="33"/>
    <n v="1"/>
    <n v="8"/>
    <n v="3.2"/>
    <s v="No"/>
    <s v="Low"/>
  </r>
  <r>
    <s v="EMP0360"/>
    <x v="2"/>
    <n v="26"/>
    <n v="25280"/>
    <x v="9"/>
    <n v="3"/>
    <n v="15"/>
    <n v="12"/>
    <n v="0"/>
    <n v="4.3"/>
    <s v="Yes"/>
    <s v="High"/>
  </r>
  <r>
    <s v="EMP0361"/>
    <x v="5"/>
    <n v="31"/>
    <n v="17039"/>
    <x v="5"/>
    <n v="3.2"/>
    <n v="40"/>
    <n v="6"/>
    <n v="0"/>
    <n v="2"/>
    <s v="No"/>
    <s v="Medium"/>
  </r>
  <r>
    <s v="EMP0362"/>
    <x v="0"/>
    <n v="55"/>
    <n v="28889"/>
    <x v="6"/>
    <n v="4"/>
    <n v="40"/>
    <n v="29"/>
    <n v="4"/>
    <n v="2.5"/>
    <s v="No"/>
    <s v="Medium"/>
  </r>
  <r>
    <s v="EMP0363"/>
    <x v="2"/>
    <n v="45"/>
    <n v="30933"/>
    <x v="7"/>
    <n v="2"/>
    <n v="48"/>
    <n v="13"/>
    <n v="7"/>
    <n v="5"/>
    <s v="No"/>
    <s v="Low"/>
  </r>
  <r>
    <s v="EMP0364"/>
    <x v="0"/>
    <n v="53"/>
    <n v="23648"/>
    <x v="1"/>
    <n v="4.3"/>
    <n v="46"/>
    <n v="6"/>
    <n v="8"/>
    <n v="3.4"/>
    <s v="No"/>
    <s v="Medium"/>
  </r>
  <r>
    <s v="EMP0365"/>
    <x v="3"/>
    <n v="31"/>
    <n v="22030"/>
    <x v="0"/>
    <n v="2.2999999999999998"/>
    <n v="18"/>
    <n v="8"/>
    <n v="5"/>
    <n v="3.1"/>
    <s v="No"/>
    <s v="Low"/>
  </r>
  <r>
    <s v="EMP0366"/>
    <x v="1"/>
    <n v="38"/>
    <n v="25927"/>
    <x v="11"/>
    <n v="3"/>
    <n v="8"/>
    <n v="26"/>
    <n v="16"/>
    <n v="3"/>
    <s v="No"/>
    <s v="Medium"/>
  </r>
  <r>
    <s v="EMP0367"/>
    <x v="4"/>
    <n v="33"/>
    <n v="12213"/>
    <x v="10"/>
    <n v="3.9"/>
    <n v="7"/>
    <n v="17"/>
    <n v="7"/>
    <n v="4.7"/>
    <s v="No"/>
    <s v="Low"/>
  </r>
  <r>
    <s v="EMP0368"/>
    <x v="0"/>
    <n v="29"/>
    <n v="34319"/>
    <x v="11"/>
    <n v="2.9"/>
    <n v="19"/>
    <n v="23"/>
    <n v="6"/>
    <n v="3.1"/>
    <s v="No"/>
    <s v="Medium"/>
  </r>
  <r>
    <s v="EMP0369"/>
    <x v="0"/>
    <n v="53"/>
    <n v="31694"/>
    <x v="8"/>
    <n v="3.4"/>
    <n v="7"/>
    <n v="22"/>
    <n v="6"/>
    <n v="3.1"/>
    <s v="No"/>
    <s v="Medium"/>
  </r>
  <r>
    <s v="EMP0370"/>
    <x v="3"/>
    <n v="50"/>
    <n v="27796"/>
    <x v="7"/>
    <n v="2.4"/>
    <n v="12"/>
    <n v="4"/>
    <n v="4"/>
    <n v="2.2000000000000002"/>
    <s v="No"/>
    <s v="Medium"/>
  </r>
  <r>
    <s v="EMP0371"/>
    <x v="2"/>
    <n v="47"/>
    <n v="16425"/>
    <x v="1"/>
    <n v="3.7"/>
    <n v="37"/>
    <n v="13"/>
    <n v="4"/>
    <n v="4.5999999999999996"/>
    <s v="No"/>
    <s v="Medium"/>
  </r>
  <r>
    <s v="EMP0372"/>
    <x v="4"/>
    <n v="55"/>
    <n v="14471"/>
    <x v="2"/>
    <n v="4.4000000000000004"/>
    <n v="16"/>
    <n v="7"/>
    <n v="5"/>
    <n v="3.5"/>
    <s v="Yes"/>
    <s v="High"/>
  </r>
  <r>
    <s v="EMP0373"/>
    <x v="3"/>
    <n v="56"/>
    <n v="20544"/>
    <x v="4"/>
    <n v="3.5"/>
    <n v="13"/>
    <n v="5"/>
    <n v="10"/>
    <n v="1.9"/>
    <s v="No"/>
    <s v="Medium"/>
  </r>
  <r>
    <s v="EMP0374"/>
    <x v="2"/>
    <n v="40"/>
    <n v="23402"/>
    <x v="3"/>
    <n v="2.8"/>
    <n v="29"/>
    <n v="12"/>
    <n v="4"/>
    <n v="2.2999999999999998"/>
    <s v="Yes"/>
    <s v="High"/>
  </r>
  <r>
    <s v="EMP0375"/>
    <x v="0"/>
    <n v="57"/>
    <n v="29265"/>
    <x v="4"/>
    <n v="3.7"/>
    <n v="14"/>
    <n v="24"/>
    <n v="8"/>
    <n v="4.5999999999999996"/>
    <s v="Yes"/>
    <s v="High"/>
  </r>
  <r>
    <s v="EMP0376"/>
    <x v="1"/>
    <n v="30"/>
    <n v="32465"/>
    <x v="6"/>
    <n v="4.5999999999999996"/>
    <n v="21"/>
    <n v="9"/>
    <n v="10"/>
    <n v="4"/>
    <s v="No"/>
    <s v="Low"/>
  </r>
  <r>
    <s v="EMP0377"/>
    <x v="2"/>
    <n v="55"/>
    <n v="30154"/>
    <x v="10"/>
    <n v="2.6"/>
    <n v="49"/>
    <n v="5"/>
    <n v="1"/>
    <n v="2.8"/>
    <s v="No"/>
    <s v="Medium"/>
  </r>
  <r>
    <s v="EMP0378"/>
    <x v="0"/>
    <n v="33"/>
    <n v="25845"/>
    <x v="12"/>
    <n v="2.5"/>
    <n v="27"/>
    <n v="3"/>
    <n v="4"/>
    <n v="3.9"/>
    <s v="No"/>
    <s v="Low"/>
  </r>
  <r>
    <s v="EMP0379"/>
    <x v="0"/>
    <n v="23"/>
    <n v="20541"/>
    <x v="5"/>
    <n v="2.8"/>
    <n v="50"/>
    <n v="17"/>
    <n v="8"/>
    <n v="2.7"/>
    <s v="No"/>
    <s v="Medium"/>
  </r>
  <r>
    <s v="EMP0380"/>
    <x v="4"/>
    <n v="57"/>
    <n v="18576"/>
    <x v="8"/>
    <n v="4.0999999999999996"/>
    <n v="50"/>
    <n v="21"/>
    <n v="10"/>
    <n v="3.1"/>
    <s v="No"/>
    <s v="Medium"/>
  </r>
  <r>
    <s v="EMP0381"/>
    <x v="1"/>
    <n v="57"/>
    <n v="31878"/>
    <x v="4"/>
    <n v="3.7"/>
    <n v="17"/>
    <n v="17"/>
    <n v="6"/>
    <n v="3.8"/>
    <s v="No"/>
    <s v="Low"/>
  </r>
  <r>
    <s v="EMP0382"/>
    <x v="2"/>
    <n v="55"/>
    <n v="14259"/>
    <x v="2"/>
    <n v="3.8"/>
    <n v="25"/>
    <n v="11"/>
    <n v="6"/>
    <n v="2.2000000000000002"/>
    <s v="No"/>
    <s v="Medium"/>
  </r>
  <r>
    <s v="EMP0383"/>
    <x v="1"/>
    <n v="57"/>
    <n v="28898"/>
    <x v="11"/>
    <n v="3.8"/>
    <n v="33"/>
    <n v="17"/>
    <n v="4"/>
    <n v="4"/>
    <s v="No"/>
    <s v="Low"/>
  </r>
  <r>
    <s v="EMP0384"/>
    <x v="2"/>
    <n v="38"/>
    <n v="19950"/>
    <x v="8"/>
    <n v="4"/>
    <n v="45"/>
    <n v="34"/>
    <n v="3"/>
    <n v="3.1"/>
    <s v="No"/>
    <s v="Medium"/>
  </r>
  <r>
    <s v="EMP0385"/>
    <x v="3"/>
    <n v="28"/>
    <n v="16497"/>
    <x v="15"/>
    <n v="2.9"/>
    <n v="33"/>
    <n v="14"/>
    <n v="5"/>
    <n v="5"/>
    <s v="No"/>
    <s v="Low"/>
  </r>
  <r>
    <s v="EMP0386"/>
    <x v="2"/>
    <n v="55"/>
    <n v="17997"/>
    <x v="10"/>
    <n v="4.5"/>
    <n v="11"/>
    <n v="5"/>
    <n v="3"/>
    <n v="4.2"/>
    <s v="No"/>
    <s v="Low"/>
  </r>
  <r>
    <s v="EMP0387"/>
    <x v="5"/>
    <n v="38"/>
    <n v="28363"/>
    <x v="8"/>
    <n v="3.4"/>
    <n v="36"/>
    <n v="29"/>
    <n v="4"/>
    <n v="3.3"/>
    <s v="No"/>
    <s v="Medium"/>
  </r>
  <r>
    <s v="EMP0388"/>
    <x v="4"/>
    <n v="52"/>
    <n v="14680"/>
    <x v="9"/>
    <n v="4.9000000000000004"/>
    <n v="48"/>
    <n v="33"/>
    <n v="3"/>
    <n v="3.8"/>
    <s v="No"/>
    <s v="Medium"/>
  </r>
  <r>
    <s v="EMP0389"/>
    <x v="0"/>
    <n v="35"/>
    <n v="33165"/>
    <x v="4"/>
    <n v="3.1"/>
    <n v="16"/>
    <n v="29"/>
    <n v="2"/>
    <n v="4.0999999999999996"/>
    <s v="Yes"/>
    <s v="High"/>
  </r>
  <r>
    <s v="EMP0390"/>
    <x v="2"/>
    <n v="43"/>
    <n v="18997"/>
    <x v="6"/>
    <n v="3.4"/>
    <n v="45"/>
    <n v="33"/>
    <n v="5"/>
    <n v="3.2"/>
    <s v="Yes"/>
    <s v="High"/>
  </r>
  <r>
    <s v="EMP0391"/>
    <x v="0"/>
    <n v="51"/>
    <n v="41903"/>
    <x v="6"/>
    <n v="1.9"/>
    <n v="16"/>
    <n v="7"/>
    <n v="8"/>
    <n v="2.2999999999999998"/>
    <s v="No"/>
    <s v="Medium"/>
  </r>
  <r>
    <s v="EMP0392"/>
    <x v="5"/>
    <n v="28"/>
    <n v="25281"/>
    <x v="2"/>
    <n v="3.9"/>
    <n v="35"/>
    <n v="10"/>
    <n v="8"/>
    <n v="3.1"/>
    <s v="No"/>
    <s v="Low"/>
  </r>
  <r>
    <s v="EMP0393"/>
    <x v="5"/>
    <n v="43"/>
    <n v="27706"/>
    <x v="12"/>
    <n v="3.6"/>
    <n v="45"/>
    <n v="11"/>
    <n v="5"/>
    <n v="2.2999999999999998"/>
    <s v="No"/>
    <s v="Medium"/>
  </r>
  <r>
    <s v="EMP0394"/>
    <x v="0"/>
    <n v="43"/>
    <n v="41564"/>
    <x v="13"/>
    <n v="2.9"/>
    <n v="19"/>
    <n v="9"/>
    <n v="9"/>
    <n v="4.5"/>
    <s v="No"/>
    <s v="Low"/>
  </r>
  <r>
    <s v="EMP0395"/>
    <x v="3"/>
    <n v="35"/>
    <n v="13023"/>
    <x v="5"/>
    <n v="2.9"/>
    <n v="18"/>
    <n v="22"/>
    <n v="0"/>
    <n v="3.5"/>
    <s v="No"/>
    <s v="Medium"/>
  </r>
  <r>
    <s v="EMP0396"/>
    <x v="5"/>
    <n v="43"/>
    <n v="29866"/>
    <x v="15"/>
    <n v="4"/>
    <n v="6"/>
    <n v="32"/>
    <n v="8"/>
    <n v="4.5"/>
    <s v="No"/>
    <s v="Medium"/>
  </r>
  <r>
    <s v="EMP0397"/>
    <x v="2"/>
    <n v="53"/>
    <n v="19190"/>
    <x v="5"/>
    <n v="4"/>
    <n v="26"/>
    <n v="35"/>
    <n v="9"/>
    <n v="3.8"/>
    <s v="No"/>
    <s v="Medium"/>
  </r>
  <r>
    <s v="EMP0398"/>
    <x v="4"/>
    <n v="32"/>
    <n v="16294"/>
    <x v="8"/>
    <n v="5"/>
    <n v="29"/>
    <n v="30"/>
    <n v="7"/>
    <n v="4.3"/>
    <s v="No"/>
    <s v="Medium"/>
  </r>
  <r>
    <s v="EMP0399"/>
    <x v="0"/>
    <n v="34"/>
    <n v="40637"/>
    <x v="9"/>
    <n v="2.5"/>
    <n v="22"/>
    <n v="16"/>
    <n v="1"/>
    <n v="4.2"/>
    <s v="No"/>
    <s v="Medium"/>
  </r>
  <r>
    <s v="EMP0400"/>
    <x v="4"/>
    <n v="57"/>
    <n v="17795"/>
    <x v="4"/>
    <n v="3.4"/>
    <n v="7"/>
    <n v="24"/>
    <n v="9"/>
    <n v="5"/>
    <s v="No"/>
    <s v="Medium"/>
  </r>
  <r>
    <s v="EMP0401"/>
    <x v="1"/>
    <n v="34"/>
    <n v="20615"/>
    <x v="5"/>
    <n v="3.8"/>
    <n v="45"/>
    <n v="7"/>
    <n v="4"/>
    <n v="2.7"/>
    <s v="No"/>
    <s v="Medium"/>
  </r>
  <r>
    <s v="EMP0402"/>
    <x v="3"/>
    <n v="38"/>
    <n v="20955"/>
    <x v="7"/>
    <n v="3.3"/>
    <n v="39"/>
    <n v="19"/>
    <n v="7"/>
    <n v="2.1"/>
    <s v="No"/>
    <s v="Medium"/>
  </r>
  <r>
    <s v="EMP0403"/>
    <x v="2"/>
    <n v="25"/>
    <n v="21200"/>
    <x v="0"/>
    <n v="3.1"/>
    <n v="50"/>
    <n v="30"/>
    <n v="4"/>
    <n v="2.9"/>
    <s v="No"/>
    <s v="Medium"/>
  </r>
  <r>
    <s v="EMP0404"/>
    <x v="1"/>
    <n v="51"/>
    <n v="29434"/>
    <x v="12"/>
    <n v="2.7"/>
    <n v="44"/>
    <n v="4"/>
    <n v="3"/>
    <n v="4.0999999999999996"/>
    <s v="No"/>
    <s v="Low"/>
  </r>
  <r>
    <s v="EMP0405"/>
    <x v="2"/>
    <n v="25"/>
    <n v="25213"/>
    <x v="2"/>
    <n v="2.7"/>
    <n v="17"/>
    <n v="20"/>
    <n v="4"/>
    <n v="2.4"/>
    <s v="No"/>
    <s v="Medium"/>
  </r>
  <r>
    <s v="EMP0406"/>
    <x v="2"/>
    <n v="51"/>
    <n v="14017"/>
    <x v="12"/>
    <n v="3.7"/>
    <n v="46"/>
    <n v="0"/>
    <n v="13"/>
    <n v="4.2"/>
    <s v="No"/>
    <s v="Low"/>
  </r>
  <r>
    <s v="EMP0407"/>
    <x v="0"/>
    <n v="26"/>
    <n v="28075"/>
    <x v="3"/>
    <n v="4.3"/>
    <n v="33"/>
    <n v="34"/>
    <n v="3"/>
    <n v="2.5"/>
    <s v="Yes"/>
    <s v="High"/>
  </r>
  <r>
    <s v="EMP0408"/>
    <x v="5"/>
    <n v="51"/>
    <n v="23037"/>
    <x v="7"/>
    <n v="3"/>
    <n v="9"/>
    <n v="11"/>
    <n v="10"/>
    <n v="4.4000000000000004"/>
    <s v="No"/>
    <s v="Low"/>
  </r>
  <r>
    <s v="EMP0409"/>
    <x v="2"/>
    <n v="50"/>
    <n v="25112"/>
    <x v="5"/>
    <n v="2.9"/>
    <n v="19"/>
    <n v="13"/>
    <n v="3"/>
    <n v="4.7"/>
    <s v="No"/>
    <s v="Low"/>
  </r>
  <r>
    <s v="EMP0410"/>
    <x v="4"/>
    <n v="40"/>
    <n v="18262"/>
    <x v="6"/>
    <n v="3"/>
    <n v="23"/>
    <n v="12"/>
    <n v="11"/>
    <n v="3.6"/>
    <s v="No"/>
    <s v="Low"/>
  </r>
  <r>
    <s v="EMP0411"/>
    <x v="5"/>
    <n v="42"/>
    <n v="15748"/>
    <x v="11"/>
    <n v="2.8"/>
    <n v="5"/>
    <n v="22"/>
    <n v="4"/>
    <n v="2.5"/>
    <s v="No"/>
    <s v="Medium"/>
  </r>
  <r>
    <s v="EMP0412"/>
    <x v="5"/>
    <n v="50"/>
    <n v="15818"/>
    <x v="10"/>
    <n v="3.5"/>
    <n v="30"/>
    <n v="35"/>
    <n v="3"/>
    <n v="3.6"/>
    <s v="No"/>
    <s v="Medium"/>
  </r>
  <r>
    <s v="EMP0413"/>
    <x v="3"/>
    <n v="52"/>
    <n v="20337"/>
    <x v="0"/>
    <n v="3.7"/>
    <n v="16"/>
    <n v="24"/>
    <n v="5"/>
    <n v="4.0999999999999996"/>
    <s v="No"/>
    <s v="Medium"/>
  </r>
  <r>
    <s v="EMP0414"/>
    <x v="1"/>
    <n v="42"/>
    <n v="32326"/>
    <x v="7"/>
    <n v="2.9"/>
    <n v="34"/>
    <n v="12"/>
    <n v="12"/>
    <n v="3.7"/>
    <s v="No"/>
    <s v="Low"/>
  </r>
  <r>
    <s v="EMP0415"/>
    <x v="5"/>
    <n v="48"/>
    <n v="16800"/>
    <x v="14"/>
    <n v="4.2"/>
    <n v="18"/>
    <n v="20"/>
    <n v="11"/>
    <n v="3.8"/>
    <s v="No"/>
    <s v="Low"/>
  </r>
  <r>
    <s v="EMP0416"/>
    <x v="4"/>
    <n v="21"/>
    <n v="20667"/>
    <x v="12"/>
    <n v="4.5999999999999996"/>
    <n v="33"/>
    <n v="26"/>
    <n v="4"/>
    <n v="2.6"/>
    <s v="Yes"/>
    <s v="High"/>
  </r>
  <r>
    <s v="EMP0417"/>
    <x v="2"/>
    <n v="41"/>
    <n v="23502"/>
    <x v="4"/>
    <n v="3"/>
    <n v="46"/>
    <n v="27"/>
    <n v="9"/>
    <n v="3.4"/>
    <s v="No"/>
    <s v="Medium"/>
  </r>
  <r>
    <s v="EMP0418"/>
    <x v="1"/>
    <n v="35"/>
    <n v="27434"/>
    <x v="11"/>
    <n v="5"/>
    <n v="29"/>
    <n v="15"/>
    <n v="6"/>
    <n v="2.7"/>
    <s v="No"/>
    <s v="Medium"/>
  </r>
  <r>
    <s v="EMP0419"/>
    <x v="1"/>
    <n v="38"/>
    <n v="26419"/>
    <x v="3"/>
    <n v="3.3"/>
    <n v="47"/>
    <n v="35"/>
    <n v="11"/>
    <n v="3.7"/>
    <s v="No"/>
    <s v="Medium"/>
  </r>
  <r>
    <s v="EMP0420"/>
    <x v="5"/>
    <n v="47"/>
    <n v="18580"/>
    <x v="8"/>
    <n v="3.9"/>
    <n v="10"/>
    <n v="15"/>
    <n v="12"/>
    <n v="5"/>
    <s v="No"/>
    <s v="Low"/>
  </r>
  <r>
    <s v="EMP0421"/>
    <x v="5"/>
    <n v="49"/>
    <n v="29097"/>
    <x v="1"/>
    <n v="2.7"/>
    <n v="37"/>
    <n v="22"/>
    <n v="6"/>
    <n v="3.8"/>
    <s v="No"/>
    <s v="Medium"/>
  </r>
  <r>
    <s v="EMP0422"/>
    <x v="1"/>
    <n v="42"/>
    <n v="23322"/>
    <x v="1"/>
    <n v="4.5"/>
    <n v="19"/>
    <n v="0"/>
    <n v="9"/>
    <n v="3.6"/>
    <s v="No"/>
    <s v="Medium"/>
  </r>
  <r>
    <s v="EMP0423"/>
    <x v="1"/>
    <n v="45"/>
    <n v="26321"/>
    <x v="10"/>
    <n v="4.7"/>
    <n v="10"/>
    <n v="8"/>
    <n v="1"/>
    <n v="3.5"/>
    <s v="No"/>
    <s v="Low"/>
  </r>
  <r>
    <s v="EMP0424"/>
    <x v="1"/>
    <n v="46"/>
    <n v="31832"/>
    <x v="6"/>
    <n v="2.9"/>
    <n v="44"/>
    <n v="30"/>
    <n v="11"/>
    <n v="3.1"/>
    <s v="No"/>
    <s v="Medium"/>
  </r>
  <r>
    <s v="EMP0425"/>
    <x v="2"/>
    <n v="57"/>
    <n v="21156"/>
    <x v="0"/>
    <n v="3.9"/>
    <n v="29"/>
    <n v="24"/>
    <n v="12"/>
    <n v="3.5"/>
    <s v="No"/>
    <s v="Medium"/>
  </r>
  <r>
    <s v="EMP0426"/>
    <x v="5"/>
    <n v="44"/>
    <n v="18007"/>
    <x v="3"/>
    <n v="3.7"/>
    <n v="14"/>
    <n v="8"/>
    <n v="9"/>
    <n v="3.5"/>
    <s v="No"/>
    <s v="Low"/>
  </r>
  <r>
    <s v="EMP0427"/>
    <x v="1"/>
    <n v="32"/>
    <n v="25812"/>
    <x v="0"/>
    <n v="3.5"/>
    <n v="41"/>
    <n v="26"/>
    <n v="10"/>
    <n v="2"/>
    <s v="No"/>
    <s v="Medium"/>
  </r>
  <r>
    <s v="EMP0428"/>
    <x v="3"/>
    <n v="55"/>
    <n v="25967"/>
    <x v="6"/>
    <n v="3.4"/>
    <n v="49"/>
    <n v="9"/>
    <n v="3"/>
    <n v="3.1"/>
    <s v="No"/>
    <s v="Low"/>
  </r>
  <r>
    <s v="EMP0429"/>
    <x v="2"/>
    <n v="30"/>
    <n v="16938"/>
    <x v="2"/>
    <n v="2.9"/>
    <n v="6"/>
    <n v="19"/>
    <n v="7"/>
    <n v="3.6"/>
    <s v="No"/>
    <s v="Low"/>
  </r>
  <r>
    <s v="EMP0430"/>
    <x v="5"/>
    <n v="44"/>
    <n v="24160"/>
    <x v="8"/>
    <n v="4.0999999999999996"/>
    <n v="31"/>
    <n v="25"/>
    <n v="4"/>
    <n v="4.2"/>
    <s v="No"/>
    <s v="Medium"/>
  </r>
  <r>
    <s v="EMP0431"/>
    <x v="0"/>
    <n v="33"/>
    <n v="22373"/>
    <x v="9"/>
    <n v="3.7"/>
    <n v="29"/>
    <n v="6"/>
    <n v="8"/>
    <n v="3.8"/>
    <s v="No"/>
    <s v="Medium"/>
  </r>
  <r>
    <s v="EMP0432"/>
    <x v="0"/>
    <n v="33"/>
    <n v="31378"/>
    <x v="11"/>
    <n v="5"/>
    <n v="46"/>
    <n v="27"/>
    <n v="7"/>
    <n v="2.6"/>
    <s v="No"/>
    <s v="Medium"/>
  </r>
  <r>
    <s v="EMP0433"/>
    <x v="3"/>
    <n v="48"/>
    <n v="25302"/>
    <x v="7"/>
    <n v="3.6"/>
    <n v="21"/>
    <n v="23"/>
    <n v="5"/>
    <n v="3.5"/>
    <s v="No"/>
    <s v="Medium"/>
  </r>
  <r>
    <s v="EMP0434"/>
    <x v="0"/>
    <n v="58"/>
    <n v="33978"/>
    <x v="8"/>
    <n v="3.7"/>
    <n v="49"/>
    <n v="8"/>
    <n v="11"/>
    <n v="3.7"/>
    <s v="No"/>
    <s v="Low"/>
  </r>
  <r>
    <s v="EMP0435"/>
    <x v="5"/>
    <n v="22"/>
    <n v="25844"/>
    <x v="0"/>
    <n v="4.0999999999999996"/>
    <n v="32"/>
    <n v="26"/>
    <n v="7"/>
    <n v="4"/>
    <s v="No"/>
    <s v="Medium"/>
  </r>
  <r>
    <s v="EMP0436"/>
    <x v="3"/>
    <n v="27"/>
    <n v="18261"/>
    <x v="3"/>
    <n v="3.1"/>
    <n v="10"/>
    <n v="11"/>
    <n v="7"/>
    <n v="3.3"/>
    <s v="No"/>
    <s v="Low"/>
  </r>
  <r>
    <s v="EMP0437"/>
    <x v="5"/>
    <n v="35"/>
    <n v="26102"/>
    <x v="10"/>
    <n v="2.5"/>
    <n v="8"/>
    <n v="11"/>
    <n v="13"/>
    <n v="4.0999999999999996"/>
    <s v="No"/>
    <s v="Low"/>
  </r>
  <r>
    <s v="EMP0438"/>
    <x v="5"/>
    <n v="42"/>
    <n v="26675"/>
    <x v="10"/>
    <n v="4.3"/>
    <n v="19"/>
    <n v="31"/>
    <n v="6"/>
    <n v="4"/>
    <s v="No"/>
    <s v="Medium"/>
  </r>
  <r>
    <s v="EMP0439"/>
    <x v="2"/>
    <n v="32"/>
    <n v="17267"/>
    <x v="15"/>
    <n v="3.6"/>
    <n v="48"/>
    <n v="22"/>
    <n v="6"/>
    <n v="4.5"/>
    <s v="No"/>
    <s v="Medium"/>
  </r>
  <r>
    <s v="EMP0440"/>
    <x v="4"/>
    <n v="60"/>
    <n v="12810"/>
    <x v="5"/>
    <n v="3.3"/>
    <n v="22"/>
    <n v="2"/>
    <n v="9"/>
    <n v="1.4"/>
    <s v="No"/>
    <s v="Medium"/>
  </r>
  <r>
    <s v="EMP0441"/>
    <x v="1"/>
    <n v="27"/>
    <n v="30631"/>
    <x v="11"/>
    <n v="2.9"/>
    <n v="13"/>
    <n v="31"/>
    <n v="6"/>
    <n v="4.8"/>
    <s v="No"/>
    <s v="Medium"/>
  </r>
  <r>
    <s v="EMP0442"/>
    <x v="5"/>
    <n v="50"/>
    <n v="29043"/>
    <x v="10"/>
    <n v="3"/>
    <n v="13"/>
    <n v="7"/>
    <n v="3"/>
    <n v="4"/>
    <s v="No"/>
    <s v="Low"/>
  </r>
  <r>
    <s v="EMP0443"/>
    <x v="1"/>
    <n v="58"/>
    <n v="25399"/>
    <x v="13"/>
    <n v="3.6"/>
    <n v="23"/>
    <n v="28"/>
    <n v="9"/>
    <n v="4.5999999999999996"/>
    <s v="No"/>
    <s v="Medium"/>
  </r>
  <r>
    <s v="EMP0444"/>
    <x v="5"/>
    <n v="52"/>
    <n v="19439"/>
    <x v="9"/>
    <n v="2.2999999999999998"/>
    <n v="14"/>
    <n v="0"/>
    <n v="10"/>
    <n v="2.4"/>
    <s v="No"/>
    <s v="Medium"/>
  </r>
  <r>
    <s v="EMP0445"/>
    <x v="5"/>
    <n v="43"/>
    <n v="27910"/>
    <x v="15"/>
    <n v="2.2999999999999998"/>
    <n v="15"/>
    <n v="25"/>
    <n v="6"/>
    <n v="2.2000000000000002"/>
    <s v="Yes"/>
    <s v="High"/>
  </r>
  <r>
    <s v="EMP0446"/>
    <x v="5"/>
    <n v="41"/>
    <n v="22411"/>
    <x v="5"/>
    <n v="3.9"/>
    <n v="24"/>
    <n v="10"/>
    <n v="8"/>
    <n v="4.0999999999999996"/>
    <s v="No"/>
    <s v="Low"/>
  </r>
  <r>
    <s v="EMP0447"/>
    <x v="3"/>
    <n v="26"/>
    <n v="14371"/>
    <x v="10"/>
    <n v="4.2"/>
    <n v="50"/>
    <n v="10"/>
    <n v="7"/>
    <n v="3.8"/>
    <s v="Yes"/>
    <s v="High"/>
  </r>
  <r>
    <s v="EMP0448"/>
    <x v="3"/>
    <n v="34"/>
    <n v="18174"/>
    <x v="4"/>
    <n v="3.9"/>
    <n v="18"/>
    <n v="27"/>
    <n v="6"/>
    <n v="4.7"/>
    <s v="No"/>
    <s v="Medium"/>
  </r>
  <r>
    <s v="EMP0449"/>
    <x v="4"/>
    <n v="47"/>
    <n v="14947"/>
    <x v="1"/>
    <n v="3.1"/>
    <n v="46"/>
    <n v="16"/>
    <n v="7"/>
    <n v="3.2"/>
    <s v="No"/>
    <s v="Medium"/>
  </r>
  <r>
    <s v="EMP0450"/>
    <x v="1"/>
    <n v="27"/>
    <n v="22505"/>
    <x v="1"/>
    <n v="3.3"/>
    <n v="6"/>
    <n v="17"/>
    <n v="0"/>
    <n v="2.6"/>
    <s v="Yes"/>
    <s v="High"/>
  </r>
  <r>
    <s v="EMP0451"/>
    <x v="0"/>
    <n v="25"/>
    <n v="23792"/>
    <x v="2"/>
    <n v="2.9"/>
    <n v="46"/>
    <n v="7"/>
    <n v="8"/>
    <n v="3.1"/>
    <s v="No"/>
    <s v="Low"/>
  </r>
  <r>
    <s v="EMP0452"/>
    <x v="5"/>
    <n v="47"/>
    <n v="29641"/>
    <x v="11"/>
    <n v="2.4"/>
    <n v="41"/>
    <n v="7"/>
    <n v="3"/>
    <n v="3.3"/>
    <s v="No"/>
    <s v="Low"/>
  </r>
  <r>
    <s v="EMP0453"/>
    <x v="3"/>
    <n v="40"/>
    <n v="13697"/>
    <x v="12"/>
    <n v="2.5"/>
    <n v="35"/>
    <n v="28"/>
    <n v="4"/>
    <n v="2.7"/>
    <s v="No"/>
    <s v="Medium"/>
  </r>
  <r>
    <s v="EMP0454"/>
    <x v="5"/>
    <n v="41"/>
    <n v="29257"/>
    <x v="0"/>
    <n v="2.7"/>
    <n v="11"/>
    <n v="27"/>
    <n v="6"/>
    <n v="2.8"/>
    <s v="No"/>
    <s v="Medium"/>
  </r>
  <r>
    <s v="EMP0455"/>
    <x v="2"/>
    <n v="60"/>
    <n v="18617"/>
    <x v="2"/>
    <n v="3.5"/>
    <n v="48"/>
    <n v="4"/>
    <n v="7"/>
    <n v="3.9"/>
    <s v="No"/>
    <s v="Low"/>
  </r>
  <r>
    <s v="EMP0456"/>
    <x v="0"/>
    <n v="28"/>
    <n v="33912"/>
    <x v="11"/>
    <n v="3.5"/>
    <n v="9"/>
    <n v="30"/>
    <n v="9"/>
    <n v="2.7"/>
    <s v="No"/>
    <s v="Medium"/>
  </r>
  <r>
    <s v="EMP0457"/>
    <x v="3"/>
    <n v="58"/>
    <n v="14581"/>
    <x v="13"/>
    <n v="4.2"/>
    <n v="7"/>
    <n v="14"/>
    <n v="9"/>
    <n v="4.0999999999999996"/>
    <s v="Yes"/>
    <s v="High"/>
  </r>
  <r>
    <s v="EMP0458"/>
    <x v="4"/>
    <n v="31"/>
    <n v="14642"/>
    <x v="6"/>
    <n v="2.8"/>
    <n v="16"/>
    <n v="34"/>
    <n v="0"/>
    <n v="4.5"/>
    <s v="Yes"/>
    <s v="High"/>
  </r>
  <r>
    <s v="EMP0459"/>
    <x v="4"/>
    <n v="23"/>
    <n v="20674"/>
    <x v="7"/>
    <n v="3.4"/>
    <n v="26"/>
    <n v="35"/>
    <n v="6"/>
    <n v="2.6"/>
    <s v="No"/>
    <s v="Medium"/>
  </r>
  <r>
    <s v="EMP0460"/>
    <x v="5"/>
    <n v="31"/>
    <n v="23748"/>
    <x v="3"/>
    <n v="1.7"/>
    <n v="14"/>
    <n v="29"/>
    <n v="6"/>
    <n v="1.3"/>
    <s v="No"/>
    <s v="Medium"/>
  </r>
  <r>
    <s v="EMP0461"/>
    <x v="0"/>
    <n v="56"/>
    <n v="34436"/>
    <x v="13"/>
    <n v="3.7"/>
    <n v="9"/>
    <n v="32"/>
    <n v="2"/>
    <n v="3.2"/>
    <s v="No"/>
    <s v="Medium"/>
  </r>
  <r>
    <s v="EMP0462"/>
    <x v="5"/>
    <n v="46"/>
    <n v="19060"/>
    <x v="0"/>
    <n v="3.7"/>
    <n v="10"/>
    <n v="0"/>
    <n v="9"/>
    <n v="3.3"/>
    <s v="No"/>
    <s v="Low"/>
  </r>
  <r>
    <s v="EMP0463"/>
    <x v="0"/>
    <n v="33"/>
    <n v="41491"/>
    <x v="7"/>
    <n v="3.1"/>
    <n v="42"/>
    <n v="4"/>
    <n v="8"/>
    <n v="2.6"/>
    <s v="No"/>
    <s v="Medium"/>
  </r>
  <r>
    <s v="EMP0464"/>
    <x v="4"/>
    <n v="22"/>
    <n v="22660"/>
    <x v="1"/>
    <n v="3.3"/>
    <n v="31"/>
    <n v="23"/>
    <n v="7"/>
    <n v="2.9"/>
    <s v="No"/>
    <s v="Medium"/>
  </r>
  <r>
    <s v="EMP0465"/>
    <x v="5"/>
    <n v="54"/>
    <n v="27620"/>
    <x v="10"/>
    <n v="2.6"/>
    <n v="30"/>
    <n v="7"/>
    <n v="7"/>
    <n v="2.4"/>
    <s v="Yes"/>
    <s v="High"/>
  </r>
  <r>
    <s v="EMP0466"/>
    <x v="5"/>
    <n v="47"/>
    <n v="26350"/>
    <x v="14"/>
    <n v="3.6"/>
    <n v="46"/>
    <n v="31"/>
    <n v="9"/>
    <n v="4.5999999999999996"/>
    <s v="No"/>
    <s v="Medium"/>
  </r>
  <r>
    <s v="EMP0467"/>
    <x v="4"/>
    <n v="30"/>
    <n v="18541"/>
    <x v="4"/>
    <n v="3.5"/>
    <n v="26"/>
    <n v="6"/>
    <n v="1"/>
    <n v="4"/>
    <s v="No"/>
    <s v="Low"/>
  </r>
  <r>
    <s v="EMP0468"/>
    <x v="5"/>
    <n v="58"/>
    <n v="24868"/>
    <x v="3"/>
    <n v="4.0999999999999996"/>
    <n v="44"/>
    <n v="0"/>
    <n v="7"/>
    <n v="1.9"/>
    <s v="No"/>
    <s v="Medium"/>
  </r>
  <r>
    <s v="EMP0469"/>
    <x v="5"/>
    <n v="59"/>
    <n v="22785"/>
    <x v="3"/>
    <n v="1.3"/>
    <n v="23"/>
    <n v="4"/>
    <n v="12"/>
    <n v="3.5"/>
    <s v="No"/>
    <s v="Low"/>
  </r>
  <r>
    <s v="EMP0470"/>
    <x v="2"/>
    <n v="56"/>
    <n v="14126"/>
    <x v="5"/>
    <n v="2.4"/>
    <n v="20"/>
    <n v="35"/>
    <n v="3"/>
    <n v="4.4000000000000004"/>
    <s v="No"/>
    <s v="Medium"/>
  </r>
  <r>
    <s v="EMP0471"/>
    <x v="3"/>
    <n v="38"/>
    <n v="26151"/>
    <x v="0"/>
    <n v="4.0999999999999996"/>
    <n v="22"/>
    <n v="29"/>
    <n v="9"/>
    <n v="2.1"/>
    <s v="Yes"/>
    <s v="High"/>
  </r>
  <r>
    <s v="EMP0472"/>
    <x v="4"/>
    <n v="58"/>
    <n v="21572"/>
    <x v="9"/>
    <n v="3.3"/>
    <n v="20"/>
    <n v="18"/>
    <n v="3"/>
    <n v="4.9000000000000004"/>
    <s v="No"/>
    <s v="Medium"/>
  </r>
  <r>
    <s v="EMP0473"/>
    <x v="4"/>
    <n v="53"/>
    <n v="12514"/>
    <x v="12"/>
    <n v="1.8"/>
    <n v="6"/>
    <n v="25"/>
    <n v="12"/>
    <n v="2.5"/>
    <s v="No"/>
    <s v="Medium"/>
  </r>
  <r>
    <s v="EMP0474"/>
    <x v="2"/>
    <n v="55"/>
    <n v="19870"/>
    <x v="11"/>
    <n v="4"/>
    <n v="18"/>
    <n v="0"/>
    <n v="1"/>
    <n v="3"/>
    <s v="No"/>
    <s v="Low"/>
  </r>
  <r>
    <s v="EMP0475"/>
    <x v="4"/>
    <n v="23"/>
    <n v="20861"/>
    <x v="7"/>
    <n v="2.4"/>
    <n v="20"/>
    <n v="6"/>
    <n v="2"/>
    <n v="2.5"/>
    <s v="No"/>
    <s v="Medium"/>
  </r>
  <r>
    <s v="EMP0476"/>
    <x v="2"/>
    <n v="30"/>
    <n v="28649"/>
    <x v="1"/>
    <n v="3.1"/>
    <n v="47"/>
    <n v="22"/>
    <n v="5"/>
    <n v="1.9"/>
    <s v="No"/>
    <s v="Medium"/>
  </r>
  <r>
    <s v="EMP0477"/>
    <x v="5"/>
    <n v="59"/>
    <n v="29928"/>
    <x v="4"/>
    <n v="3.1"/>
    <n v="40"/>
    <n v="12"/>
    <n v="11"/>
    <n v="4.5"/>
    <s v="No"/>
    <s v="Low"/>
  </r>
  <r>
    <s v="EMP0478"/>
    <x v="1"/>
    <n v="48"/>
    <n v="20696"/>
    <x v="9"/>
    <n v="1.4"/>
    <n v="45"/>
    <n v="7"/>
    <n v="4"/>
    <n v="3.3"/>
    <s v="No"/>
    <s v="Medium"/>
  </r>
  <r>
    <s v="EMP0479"/>
    <x v="2"/>
    <n v="22"/>
    <n v="17702"/>
    <x v="11"/>
    <n v="4"/>
    <n v="22"/>
    <n v="19"/>
    <n v="7"/>
    <n v="4.0999999999999996"/>
    <s v="No"/>
    <s v="Low"/>
  </r>
  <r>
    <s v="EMP0480"/>
    <x v="2"/>
    <n v="46"/>
    <n v="29858"/>
    <x v="14"/>
    <n v="3.2"/>
    <n v="14"/>
    <n v="19"/>
    <n v="10"/>
    <n v="3.1"/>
    <s v="No"/>
    <s v="Low"/>
  </r>
  <r>
    <s v="EMP0481"/>
    <x v="0"/>
    <n v="28"/>
    <n v="29278"/>
    <x v="6"/>
    <n v="4.5999999999999996"/>
    <n v="15"/>
    <n v="11"/>
    <n v="3"/>
    <n v="3.5"/>
    <s v="No"/>
    <s v="Low"/>
  </r>
  <r>
    <s v="EMP0482"/>
    <x v="4"/>
    <n v="39"/>
    <n v="19870"/>
    <x v="4"/>
    <n v="3.5"/>
    <n v="23"/>
    <n v="34"/>
    <n v="4"/>
    <n v="4.9000000000000004"/>
    <s v="No"/>
    <s v="Medium"/>
  </r>
  <r>
    <s v="EMP0483"/>
    <x v="0"/>
    <n v="59"/>
    <n v="28690"/>
    <x v="7"/>
    <n v="3"/>
    <n v="9"/>
    <n v="8"/>
    <n v="10"/>
    <n v="3.1"/>
    <s v="No"/>
    <s v="Low"/>
  </r>
  <r>
    <s v="EMP0484"/>
    <x v="0"/>
    <n v="59"/>
    <n v="18108"/>
    <x v="12"/>
    <n v="4.7"/>
    <n v="9"/>
    <n v="4"/>
    <n v="12"/>
    <n v="2.7"/>
    <s v="No"/>
    <s v="Medium"/>
  </r>
  <r>
    <s v="EMP0485"/>
    <x v="4"/>
    <n v="30"/>
    <n v="16435"/>
    <x v="7"/>
    <n v="2.6"/>
    <n v="49"/>
    <n v="20"/>
    <n v="3"/>
    <n v="2.9"/>
    <s v="No"/>
    <s v="Medium"/>
  </r>
  <r>
    <s v="EMP0486"/>
    <x v="1"/>
    <n v="31"/>
    <n v="29244"/>
    <x v="6"/>
    <n v="3.2"/>
    <n v="35"/>
    <n v="23"/>
    <n v="3"/>
    <n v="2.8"/>
    <s v="Yes"/>
    <s v="High"/>
  </r>
  <r>
    <s v="EMP0487"/>
    <x v="2"/>
    <n v="54"/>
    <n v="15545"/>
    <x v="15"/>
    <n v="2.8"/>
    <n v="18"/>
    <n v="23"/>
    <n v="7"/>
    <n v="2.9"/>
    <s v="Yes"/>
    <s v="High"/>
  </r>
  <r>
    <s v="EMP0488"/>
    <x v="3"/>
    <n v="54"/>
    <n v="14951"/>
    <x v="0"/>
    <n v="2.8"/>
    <n v="48"/>
    <n v="29"/>
    <n v="7"/>
    <n v="4.0999999999999996"/>
    <s v="No"/>
    <s v="Medium"/>
  </r>
  <r>
    <s v="EMP0489"/>
    <x v="0"/>
    <n v="23"/>
    <n v="25581"/>
    <x v="7"/>
    <n v="3.7"/>
    <n v="30"/>
    <n v="5"/>
    <n v="11"/>
    <n v="3.6"/>
    <s v="No"/>
    <s v="Low"/>
  </r>
  <r>
    <s v="EMP0490"/>
    <x v="4"/>
    <n v="54"/>
    <n v="20290"/>
    <x v="12"/>
    <n v="3.2"/>
    <n v="39"/>
    <n v="4"/>
    <n v="5"/>
    <n v="3.8"/>
    <s v="No"/>
    <s v="Low"/>
  </r>
  <r>
    <s v="EMP0491"/>
    <x v="0"/>
    <n v="21"/>
    <n v="36181"/>
    <x v="2"/>
    <n v="3.2"/>
    <n v="48"/>
    <n v="19"/>
    <n v="8"/>
    <n v="2"/>
    <s v="No"/>
    <s v="Medium"/>
  </r>
  <r>
    <s v="EMP0492"/>
    <x v="1"/>
    <n v="35"/>
    <n v="20638"/>
    <x v="11"/>
    <n v="4.2"/>
    <n v="26"/>
    <n v="27"/>
    <n v="5"/>
    <n v="2.9"/>
    <s v="Yes"/>
    <s v="High"/>
  </r>
  <r>
    <s v="EMP0493"/>
    <x v="3"/>
    <n v="52"/>
    <n v="25161"/>
    <x v="4"/>
    <n v="3.2"/>
    <n v="23"/>
    <n v="14"/>
    <n v="5"/>
    <n v="3.6"/>
    <s v="No"/>
    <s v="Low"/>
  </r>
  <r>
    <s v="EMP0494"/>
    <x v="5"/>
    <n v="37"/>
    <n v="29844"/>
    <x v="1"/>
    <n v="4.2"/>
    <n v="43"/>
    <n v="1"/>
    <n v="5"/>
    <n v="3"/>
    <s v="No"/>
    <s v="Medium"/>
  </r>
  <r>
    <s v="EMP0495"/>
    <x v="5"/>
    <n v="42"/>
    <n v="23704"/>
    <x v="6"/>
    <n v="4"/>
    <n v="38"/>
    <n v="26"/>
    <n v="11"/>
    <n v="3"/>
    <s v="No"/>
    <s v="Medium"/>
  </r>
  <r>
    <s v="EMP0496"/>
    <x v="4"/>
    <n v="39"/>
    <n v="16874"/>
    <x v="15"/>
    <n v="2.8"/>
    <n v="41"/>
    <n v="23"/>
    <n v="1"/>
    <n v="3.8"/>
    <s v="No"/>
    <s v="Medium"/>
  </r>
  <r>
    <s v="EMP0497"/>
    <x v="3"/>
    <n v="42"/>
    <n v="21492"/>
    <x v="1"/>
    <n v="3.5"/>
    <n v="41"/>
    <n v="29"/>
    <n v="7"/>
    <n v="3.3"/>
    <s v="No"/>
    <s v="Medium"/>
  </r>
  <r>
    <s v="EMP0498"/>
    <x v="4"/>
    <n v="25"/>
    <n v="22474"/>
    <x v="15"/>
    <n v="2.2999999999999998"/>
    <n v="9"/>
    <n v="29"/>
    <n v="10"/>
    <n v="3.5"/>
    <s v="No"/>
    <s v="Medium"/>
  </r>
  <r>
    <s v="EMP0499"/>
    <x v="1"/>
    <n v="37"/>
    <n v="27712"/>
    <x v="5"/>
    <n v="3.4"/>
    <n v="29"/>
    <n v="33"/>
    <n v="4"/>
    <n v="3.9"/>
    <s v="No"/>
    <s v="Medium"/>
  </r>
  <r>
    <s v="EMP0500"/>
    <x v="2"/>
    <n v="34"/>
    <n v="31306"/>
    <x v="11"/>
    <n v="3.7"/>
    <n v="9"/>
    <n v="15"/>
    <n v="0"/>
    <n v="1.7"/>
    <s v="No"/>
    <s v="Medium"/>
  </r>
  <r>
    <s v="EMP0501"/>
    <x v="2"/>
    <n v="38"/>
    <n v="25028"/>
    <x v="12"/>
    <n v="3.8"/>
    <n v="40"/>
    <n v="3"/>
    <n v="2"/>
    <n v="3.1"/>
    <s v="No"/>
    <s v="Low"/>
  </r>
  <r>
    <s v="EMP0502"/>
    <x v="3"/>
    <n v="58"/>
    <n v="14465"/>
    <x v="6"/>
    <n v="3.7"/>
    <n v="36"/>
    <n v="34"/>
    <n v="6"/>
    <n v="1.9"/>
    <s v="No"/>
    <s v="Medium"/>
  </r>
  <r>
    <s v="EMP0503"/>
    <x v="4"/>
    <n v="21"/>
    <n v="12327"/>
    <x v="11"/>
    <n v="3.8"/>
    <n v="41"/>
    <n v="5"/>
    <n v="8"/>
    <n v="5"/>
    <s v="No"/>
    <s v="Low"/>
  </r>
  <r>
    <s v="EMP0504"/>
    <x v="5"/>
    <n v="51"/>
    <n v="16986"/>
    <x v="3"/>
    <n v="3.5"/>
    <n v="6"/>
    <n v="3"/>
    <n v="5"/>
    <n v="2.7"/>
    <s v="No"/>
    <s v="Medium"/>
  </r>
  <r>
    <s v="EMP0505"/>
    <x v="2"/>
    <n v="53"/>
    <n v="18031"/>
    <x v="0"/>
    <n v="3.6"/>
    <n v="29"/>
    <n v="4"/>
    <n v="10"/>
    <n v="5"/>
    <s v="No"/>
    <s v="Low"/>
  </r>
  <r>
    <s v="EMP0506"/>
    <x v="5"/>
    <n v="52"/>
    <n v="29991"/>
    <x v="2"/>
    <n v="2.4"/>
    <n v="17"/>
    <n v="22"/>
    <n v="1"/>
    <n v="3.3"/>
    <s v="No"/>
    <s v="Medium"/>
  </r>
  <r>
    <s v="EMP0507"/>
    <x v="0"/>
    <n v="43"/>
    <n v="38272"/>
    <x v="6"/>
    <n v="1.3"/>
    <n v="31"/>
    <n v="5"/>
    <n v="3"/>
    <n v="1.9"/>
    <s v="No"/>
    <s v="Medium"/>
  </r>
  <r>
    <s v="EMP0508"/>
    <x v="0"/>
    <n v="26"/>
    <n v="30643"/>
    <x v="12"/>
    <n v="4.9000000000000004"/>
    <n v="26"/>
    <n v="22"/>
    <n v="6"/>
    <n v="3"/>
    <s v="No"/>
    <s v="Medium"/>
  </r>
  <r>
    <s v="EMP0509"/>
    <x v="0"/>
    <n v="46"/>
    <n v="39627"/>
    <x v="5"/>
    <n v="2.5"/>
    <n v="14"/>
    <n v="34"/>
    <n v="6"/>
    <n v="1"/>
    <s v="No"/>
    <s v="Medium"/>
  </r>
  <r>
    <s v="EMP0510"/>
    <x v="3"/>
    <n v="21"/>
    <n v="15901"/>
    <x v="4"/>
    <n v="1.9"/>
    <n v="20"/>
    <n v="16"/>
    <n v="12"/>
    <n v="4"/>
    <s v="No"/>
    <s v="Low"/>
  </r>
  <r>
    <s v="EMP0511"/>
    <x v="2"/>
    <n v="27"/>
    <n v="29133"/>
    <x v="0"/>
    <n v="2.9"/>
    <n v="27"/>
    <n v="7"/>
    <n v="8"/>
    <n v="4.7"/>
    <s v="No"/>
    <s v="Low"/>
  </r>
  <r>
    <s v="EMP0512"/>
    <x v="0"/>
    <n v="52"/>
    <n v="18271"/>
    <x v="13"/>
    <n v="3.7"/>
    <n v="31"/>
    <n v="8"/>
    <n v="10"/>
    <n v="3"/>
    <s v="No"/>
    <s v="Low"/>
  </r>
  <r>
    <s v="EMP0513"/>
    <x v="4"/>
    <n v="37"/>
    <n v="21486"/>
    <x v="7"/>
    <n v="2.2000000000000002"/>
    <n v="5"/>
    <n v="26"/>
    <n v="2"/>
    <n v="3.2"/>
    <s v="No"/>
    <s v="Medium"/>
  </r>
  <r>
    <s v="EMP0514"/>
    <x v="1"/>
    <n v="59"/>
    <n v="24691"/>
    <x v="8"/>
    <n v="3.3"/>
    <n v="43"/>
    <n v="32"/>
    <n v="3"/>
    <n v="3.6"/>
    <s v="No"/>
    <s v="Medium"/>
  </r>
  <r>
    <s v="EMP0515"/>
    <x v="1"/>
    <n v="28"/>
    <n v="36617"/>
    <x v="10"/>
    <n v="3.6"/>
    <n v="21"/>
    <n v="12"/>
    <n v="4"/>
    <n v="5"/>
    <s v="No"/>
    <s v="Low"/>
  </r>
  <r>
    <s v="EMP0516"/>
    <x v="5"/>
    <n v="28"/>
    <n v="26810"/>
    <x v="13"/>
    <n v="3.7"/>
    <n v="23"/>
    <n v="13"/>
    <n v="0"/>
    <n v="2.6"/>
    <s v="No"/>
    <s v="Medium"/>
  </r>
  <r>
    <s v="EMP0517"/>
    <x v="5"/>
    <n v="52"/>
    <n v="25680"/>
    <x v="7"/>
    <n v="3.3"/>
    <n v="22"/>
    <n v="30"/>
    <n v="3"/>
    <n v="1.8"/>
    <s v="Yes"/>
    <s v="High"/>
  </r>
  <r>
    <s v="EMP0518"/>
    <x v="4"/>
    <n v="21"/>
    <n v="20399"/>
    <x v="3"/>
    <n v="3.9"/>
    <n v="5"/>
    <n v="11"/>
    <n v="2"/>
    <n v="3.1"/>
    <s v="No"/>
    <s v="Low"/>
  </r>
  <r>
    <s v="EMP0519"/>
    <x v="0"/>
    <n v="23"/>
    <n v="20222"/>
    <x v="2"/>
    <n v="2.4"/>
    <n v="26"/>
    <n v="28"/>
    <n v="2"/>
    <n v="3.3"/>
    <s v="No"/>
    <s v="Medium"/>
  </r>
  <r>
    <s v="EMP0520"/>
    <x v="2"/>
    <n v="22"/>
    <n v="15854"/>
    <x v="8"/>
    <n v="3.4"/>
    <n v="10"/>
    <n v="13"/>
    <n v="8"/>
    <n v="4.0999999999999996"/>
    <s v="No"/>
    <s v="Low"/>
  </r>
  <r>
    <s v="EMP0521"/>
    <x v="5"/>
    <n v="25"/>
    <n v="25094"/>
    <x v="11"/>
    <n v="5"/>
    <n v="13"/>
    <n v="17"/>
    <n v="3"/>
    <n v="2.4"/>
    <s v="No"/>
    <s v="Medium"/>
  </r>
  <r>
    <s v="EMP0522"/>
    <x v="4"/>
    <n v="56"/>
    <n v="21409"/>
    <x v="3"/>
    <n v="3.2"/>
    <n v="17"/>
    <n v="11"/>
    <n v="7"/>
    <n v="3.7"/>
    <s v="No"/>
    <s v="Low"/>
  </r>
  <r>
    <s v="EMP0523"/>
    <x v="1"/>
    <n v="30"/>
    <n v="19458"/>
    <x v="13"/>
    <n v="3.6"/>
    <n v="38"/>
    <n v="3"/>
    <n v="8"/>
    <n v="4.0999999999999996"/>
    <s v="No"/>
    <s v="Low"/>
  </r>
  <r>
    <s v="EMP0524"/>
    <x v="2"/>
    <n v="45"/>
    <n v="21048"/>
    <x v="4"/>
    <n v="3.6"/>
    <n v="32"/>
    <n v="10"/>
    <n v="15"/>
    <n v="4.0999999999999996"/>
    <s v="No"/>
    <s v="Low"/>
  </r>
  <r>
    <s v="EMP0525"/>
    <x v="2"/>
    <n v="59"/>
    <n v="24984"/>
    <x v="10"/>
    <n v="4.0999999999999996"/>
    <n v="30"/>
    <n v="34"/>
    <n v="8"/>
    <n v="3.3"/>
    <s v="No"/>
    <s v="Medium"/>
  </r>
  <r>
    <s v="EMP0526"/>
    <x v="5"/>
    <n v="41"/>
    <n v="18987"/>
    <x v="6"/>
    <n v="3.3"/>
    <n v="40"/>
    <n v="0"/>
    <n v="10"/>
    <n v="3.6"/>
    <s v="No"/>
    <s v="Low"/>
  </r>
  <r>
    <s v="EMP0527"/>
    <x v="2"/>
    <n v="33"/>
    <n v="15134"/>
    <x v="11"/>
    <n v="3.8"/>
    <n v="40"/>
    <n v="2"/>
    <n v="13"/>
    <n v="3.4"/>
    <s v="Yes"/>
    <s v="High"/>
  </r>
  <r>
    <s v="EMP0528"/>
    <x v="3"/>
    <n v="52"/>
    <n v="13408"/>
    <x v="6"/>
    <n v="2.5"/>
    <n v="49"/>
    <n v="17"/>
    <n v="6"/>
    <n v="1.8"/>
    <s v="No"/>
    <s v="Medium"/>
  </r>
  <r>
    <s v="EMP0529"/>
    <x v="2"/>
    <n v="57"/>
    <n v="19478"/>
    <x v="15"/>
    <n v="3.4"/>
    <n v="7"/>
    <n v="9"/>
    <n v="9"/>
    <n v="4.0999999999999996"/>
    <s v="No"/>
    <s v="Low"/>
  </r>
  <r>
    <s v="EMP0530"/>
    <x v="0"/>
    <n v="32"/>
    <n v="22725"/>
    <x v="10"/>
    <n v="2.2000000000000002"/>
    <n v="25"/>
    <n v="11"/>
    <n v="7"/>
    <n v="4.5999999999999996"/>
    <s v="No"/>
    <s v="Low"/>
  </r>
  <r>
    <s v="EMP0531"/>
    <x v="0"/>
    <n v="22"/>
    <n v="27997"/>
    <x v="12"/>
    <n v="3.3"/>
    <n v="47"/>
    <n v="11"/>
    <n v="7"/>
    <n v="2.2999999999999998"/>
    <s v="No"/>
    <s v="Medium"/>
  </r>
  <r>
    <s v="EMP0532"/>
    <x v="0"/>
    <n v="29"/>
    <n v="31401"/>
    <x v="0"/>
    <n v="3.9"/>
    <n v="50"/>
    <n v="35"/>
    <n v="17"/>
    <n v="3.8"/>
    <s v="Yes"/>
    <s v="High"/>
  </r>
  <r>
    <s v="EMP0533"/>
    <x v="1"/>
    <n v="43"/>
    <n v="22668"/>
    <x v="11"/>
    <n v="4.3"/>
    <n v="24"/>
    <n v="34"/>
    <n v="10"/>
    <n v="1.9"/>
    <s v="Yes"/>
    <s v="High"/>
  </r>
  <r>
    <s v="EMP0534"/>
    <x v="3"/>
    <n v="55"/>
    <n v="25001"/>
    <x v="3"/>
    <n v="2.6"/>
    <n v="20"/>
    <n v="30"/>
    <n v="0"/>
    <n v="2.9"/>
    <s v="No"/>
    <s v="Medium"/>
  </r>
  <r>
    <s v="EMP0535"/>
    <x v="5"/>
    <n v="47"/>
    <n v="15963"/>
    <x v="8"/>
    <n v="3.2"/>
    <n v="36"/>
    <n v="14"/>
    <n v="9"/>
    <n v="2.2000000000000002"/>
    <s v="No"/>
    <s v="Medium"/>
  </r>
  <r>
    <s v="EMP0536"/>
    <x v="5"/>
    <n v="28"/>
    <n v="28866"/>
    <x v="10"/>
    <n v="3.8"/>
    <n v="9"/>
    <n v="27"/>
    <n v="6"/>
    <n v="3.7"/>
    <s v="No"/>
    <s v="Medium"/>
  </r>
  <r>
    <s v="EMP0537"/>
    <x v="4"/>
    <n v="54"/>
    <n v="17341"/>
    <x v="7"/>
    <n v="3.3"/>
    <n v="31"/>
    <n v="17"/>
    <n v="9"/>
    <n v="1.3"/>
    <s v="No"/>
    <s v="Medium"/>
  </r>
  <r>
    <s v="EMP0538"/>
    <x v="2"/>
    <n v="35"/>
    <n v="31294"/>
    <x v="10"/>
    <n v="4"/>
    <n v="49"/>
    <n v="0"/>
    <n v="13"/>
    <n v="5"/>
    <s v="No"/>
    <s v="Low"/>
  </r>
  <r>
    <s v="EMP0539"/>
    <x v="4"/>
    <n v="52"/>
    <n v="12024"/>
    <x v="13"/>
    <n v="3.4"/>
    <n v="5"/>
    <n v="1"/>
    <n v="6"/>
    <n v="2.6"/>
    <s v="No"/>
    <s v="Medium"/>
  </r>
  <r>
    <s v="EMP0540"/>
    <x v="4"/>
    <n v="46"/>
    <n v="12055"/>
    <x v="2"/>
    <n v="3.2"/>
    <n v="11"/>
    <n v="16"/>
    <n v="11"/>
    <n v="4.5"/>
    <s v="Yes"/>
    <s v="High"/>
  </r>
  <r>
    <s v="EMP0541"/>
    <x v="2"/>
    <n v="45"/>
    <n v="18989"/>
    <x v="15"/>
    <n v="3.3"/>
    <n v="38"/>
    <n v="29"/>
    <n v="1"/>
    <n v="3.3"/>
    <s v="No"/>
    <s v="Medium"/>
  </r>
  <r>
    <s v="EMP0542"/>
    <x v="5"/>
    <n v="42"/>
    <n v="29198"/>
    <x v="3"/>
    <n v="2.2999999999999998"/>
    <n v="34"/>
    <n v="16"/>
    <n v="5"/>
    <n v="3.6"/>
    <s v="Yes"/>
    <s v="High"/>
  </r>
  <r>
    <s v="EMP0543"/>
    <x v="5"/>
    <n v="58"/>
    <n v="22119"/>
    <x v="11"/>
    <n v="3.3"/>
    <n v="32"/>
    <n v="5"/>
    <n v="3"/>
    <n v="4.4000000000000004"/>
    <s v="No"/>
    <s v="Low"/>
  </r>
  <r>
    <s v="EMP0544"/>
    <x v="2"/>
    <n v="59"/>
    <n v="26103"/>
    <x v="0"/>
    <n v="3"/>
    <n v="13"/>
    <n v="1"/>
    <n v="7"/>
    <n v="4"/>
    <s v="No"/>
    <s v="Low"/>
  </r>
  <r>
    <s v="EMP0545"/>
    <x v="2"/>
    <n v="25"/>
    <n v="25895"/>
    <x v="3"/>
    <n v="2.7"/>
    <n v="28"/>
    <n v="16"/>
    <n v="8"/>
    <n v="3"/>
    <s v="No"/>
    <s v="Low"/>
  </r>
  <r>
    <s v="EMP0546"/>
    <x v="3"/>
    <n v="48"/>
    <n v="14564"/>
    <x v="10"/>
    <n v="5"/>
    <n v="21"/>
    <n v="1"/>
    <n v="8"/>
    <n v="2.1"/>
    <s v="No"/>
    <s v="Medium"/>
  </r>
  <r>
    <s v="EMP0547"/>
    <x v="2"/>
    <n v="53"/>
    <n v="18987"/>
    <x v="0"/>
    <n v="3.8"/>
    <n v="29"/>
    <n v="9"/>
    <n v="6"/>
    <n v="4.2"/>
    <s v="No"/>
    <s v="Low"/>
  </r>
  <r>
    <s v="EMP0548"/>
    <x v="3"/>
    <n v="37"/>
    <n v="16725"/>
    <x v="13"/>
    <n v="3.6"/>
    <n v="30"/>
    <n v="19"/>
    <n v="11"/>
    <n v="5"/>
    <s v="No"/>
    <s v="Low"/>
  </r>
  <r>
    <s v="EMP0549"/>
    <x v="3"/>
    <n v="22"/>
    <n v="15612"/>
    <x v="10"/>
    <n v="2.7"/>
    <n v="39"/>
    <n v="7"/>
    <n v="5"/>
    <n v="2.6"/>
    <s v="No"/>
    <s v="Medium"/>
  </r>
  <r>
    <s v="EMP0550"/>
    <x v="4"/>
    <n v="41"/>
    <n v="18513"/>
    <x v="11"/>
    <n v="1.7"/>
    <n v="6"/>
    <n v="3"/>
    <n v="4"/>
    <n v="3.5"/>
    <s v="No"/>
    <s v="Low"/>
  </r>
  <r>
    <s v="EMP0551"/>
    <x v="3"/>
    <n v="47"/>
    <n v="15093"/>
    <x v="10"/>
    <n v="3.2"/>
    <n v="50"/>
    <n v="11"/>
    <n v="6"/>
    <n v="4"/>
    <s v="No"/>
    <s v="Low"/>
  </r>
  <r>
    <s v="EMP0552"/>
    <x v="4"/>
    <n v="48"/>
    <n v="22729"/>
    <x v="8"/>
    <n v="5"/>
    <n v="38"/>
    <n v="23"/>
    <n v="13"/>
    <n v="3.5"/>
    <s v="No"/>
    <s v="Medium"/>
  </r>
  <r>
    <s v="EMP0553"/>
    <x v="1"/>
    <n v="35"/>
    <n v="31511"/>
    <x v="12"/>
    <n v="5"/>
    <n v="30"/>
    <n v="14"/>
    <n v="0"/>
    <n v="3.9"/>
    <s v="No"/>
    <s v="Low"/>
  </r>
  <r>
    <s v="EMP0554"/>
    <x v="2"/>
    <n v="27"/>
    <n v="16887"/>
    <x v="13"/>
    <n v="2.9"/>
    <n v="50"/>
    <n v="19"/>
    <n v="4"/>
    <n v="3.4"/>
    <s v="No"/>
    <s v="Low"/>
  </r>
  <r>
    <s v="EMP0555"/>
    <x v="5"/>
    <n v="47"/>
    <n v="17770"/>
    <x v="6"/>
    <n v="3.5"/>
    <n v="12"/>
    <n v="29"/>
    <n v="0"/>
    <n v="3.1"/>
    <s v="No"/>
    <s v="Medium"/>
  </r>
  <r>
    <s v="EMP0556"/>
    <x v="2"/>
    <n v="53"/>
    <n v="26844"/>
    <x v="10"/>
    <n v="3"/>
    <n v="12"/>
    <n v="17"/>
    <n v="16"/>
    <n v="3.2"/>
    <s v="No"/>
    <s v="Low"/>
  </r>
  <r>
    <s v="EMP0557"/>
    <x v="3"/>
    <n v="47"/>
    <n v="27028"/>
    <x v="0"/>
    <n v="1.9"/>
    <n v="46"/>
    <n v="10"/>
    <n v="7"/>
    <n v="2.2999999999999998"/>
    <s v="No"/>
    <s v="Medium"/>
  </r>
  <r>
    <s v="EMP0558"/>
    <x v="2"/>
    <n v="47"/>
    <n v="17566"/>
    <x v="0"/>
    <n v="2.9"/>
    <n v="13"/>
    <n v="8"/>
    <n v="7"/>
    <n v="5"/>
    <s v="No"/>
    <s v="Low"/>
  </r>
  <r>
    <s v="EMP0559"/>
    <x v="1"/>
    <n v="24"/>
    <n v="32738"/>
    <x v="10"/>
    <n v="3.8"/>
    <n v="25"/>
    <n v="27"/>
    <n v="5"/>
    <n v="4.0999999999999996"/>
    <s v="No"/>
    <s v="Medium"/>
  </r>
  <r>
    <s v="EMP0560"/>
    <x v="0"/>
    <n v="43"/>
    <n v="36836"/>
    <x v="8"/>
    <n v="2.5"/>
    <n v="22"/>
    <n v="5"/>
    <n v="6"/>
    <n v="3"/>
    <s v="No"/>
    <s v="Low"/>
  </r>
  <r>
    <s v="EMP0561"/>
    <x v="3"/>
    <n v="33"/>
    <n v="21703"/>
    <x v="7"/>
    <n v="4.5999999999999996"/>
    <n v="18"/>
    <n v="19"/>
    <n v="6"/>
    <n v="3.6"/>
    <s v="No"/>
    <s v="Low"/>
  </r>
  <r>
    <s v="EMP0562"/>
    <x v="5"/>
    <n v="53"/>
    <n v="23467"/>
    <x v="3"/>
    <n v="4.5999999999999996"/>
    <n v="38"/>
    <n v="1"/>
    <n v="10"/>
    <n v="3.4"/>
    <s v="No"/>
    <s v="Low"/>
  </r>
  <r>
    <s v="EMP0563"/>
    <x v="2"/>
    <n v="43"/>
    <n v="17222"/>
    <x v="14"/>
    <n v="3"/>
    <n v="21"/>
    <n v="5"/>
    <n v="11"/>
    <n v="3.6"/>
    <s v="No"/>
    <s v="Low"/>
  </r>
  <r>
    <s v="EMP0564"/>
    <x v="2"/>
    <n v="46"/>
    <n v="15669"/>
    <x v="5"/>
    <n v="2.9"/>
    <n v="13"/>
    <n v="6"/>
    <n v="5"/>
    <n v="2.1"/>
    <s v="No"/>
    <s v="Medium"/>
  </r>
  <r>
    <s v="EMP0565"/>
    <x v="2"/>
    <n v="24"/>
    <n v="20639"/>
    <x v="15"/>
    <n v="2.4"/>
    <n v="42"/>
    <n v="3"/>
    <n v="4"/>
    <n v="4.8"/>
    <s v="Yes"/>
    <s v="High"/>
  </r>
  <r>
    <s v="EMP0566"/>
    <x v="2"/>
    <n v="34"/>
    <n v="23758"/>
    <x v="5"/>
    <n v="4.0999999999999996"/>
    <n v="10"/>
    <n v="29"/>
    <n v="6"/>
    <n v="2.2999999999999998"/>
    <s v="Yes"/>
    <s v="High"/>
  </r>
  <r>
    <s v="EMP0567"/>
    <x v="4"/>
    <n v="27"/>
    <n v="22106"/>
    <x v="1"/>
    <n v="3.3"/>
    <n v="41"/>
    <n v="18"/>
    <n v="3"/>
    <n v="4.0999999999999996"/>
    <s v="No"/>
    <s v="Medium"/>
  </r>
  <r>
    <s v="EMP0568"/>
    <x v="1"/>
    <n v="44"/>
    <n v="22947"/>
    <x v="6"/>
    <n v="2.5"/>
    <n v="18"/>
    <n v="21"/>
    <n v="0"/>
    <n v="3.1"/>
    <s v="Yes"/>
    <s v="High"/>
  </r>
  <r>
    <s v="EMP0569"/>
    <x v="0"/>
    <n v="56"/>
    <n v="40151"/>
    <x v="5"/>
    <n v="4"/>
    <n v="7"/>
    <n v="14"/>
    <n v="9"/>
    <n v="1.3"/>
    <s v="Yes"/>
    <s v="High"/>
  </r>
  <r>
    <s v="EMP0570"/>
    <x v="2"/>
    <n v="56"/>
    <n v="30776"/>
    <x v="13"/>
    <n v="3.8"/>
    <n v="47"/>
    <n v="24"/>
    <n v="6"/>
    <n v="4.4000000000000004"/>
    <s v="Yes"/>
    <s v="High"/>
  </r>
  <r>
    <s v="EMP0571"/>
    <x v="0"/>
    <n v="52"/>
    <n v="25428"/>
    <x v="11"/>
    <n v="3.5"/>
    <n v="22"/>
    <n v="35"/>
    <n v="6"/>
    <n v="4.8"/>
    <s v="No"/>
    <s v="Medium"/>
  </r>
  <r>
    <s v="EMP0572"/>
    <x v="1"/>
    <n v="50"/>
    <n v="19482"/>
    <x v="0"/>
    <n v="3.5"/>
    <n v="16"/>
    <n v="8"/>
    <n v="7"/>
    <n v="4.3"/>
    <s v="No"/>
    <s v="Low"/>
  </r>
  <r>
    <s v="EMP0573"/>
    <x v="2"/>
    <n v="46"/>
    <n v="15246"/>
    <x v="8"/>
    <n v="2.7"/>
    <n v="28"/>
    <n v="28"/>
    <n v="9"/>
    <n v="3.1"/>
    <s v="No"/>
    <s v="Medium"/>
  </r>
  <r>
    <s v="EMP0574"/>
    <x v="4"/>
    <n v="28"/>
    <n v="14327"/>
    <x v="2"/>
    <n v="2.7"/>
    <n v="24"/>
    <n v="3"/>
    <n v="5"/>
    <n v="1.7"/>
    <s v="No"/>
    <s v="Medium"/>
  </r>
  <r>
    <s v="EMP0575"/>
    <x v="0"/>
    <n v="45"/>
    <n v="18144"/>
    <x v="14"/>
    <n v="5"/>
    <n v="45"/>
    <n v="33"/>
    <n v="9"/>
    <n v="3.6"/>
    <s v="No"/>
    <s v="Medium"/>
  </r>
  <r>
    <s v="EMP0576"/>
    <x v="0"/>
    <n v="28"/>
    <n v="25278"/>
    <x v="0"/>
    <n v="1.7"/>
    <n v="36"/>
    <n v="4"/>
    <n v="6"/>
    <n v="3.5"/>
    <s v="No"/>
    <s v="Low"/>
  </r>
  <r>
    <s v="EMP0577"/>
    <x v="4"/>
    <n v="48"/>
    <n v="12767"/>
    <x v="10"/>
    <n v="4.8"/>
    <n v="28"/>
    <n v="30"/>
    <n v="11"/>
    <n v="3.1"/>
    <s v="No"/>
    <s v="Medium"/>
  </r>
  <r>
    <s v="EMP0578"/>
    <x v="3"/>
    <n v="39"/>
    <n v="16786"/>
    <x v="6"/>
    <n v="2.1"/>
    <n v="18"/>
    <n v="19"/>
    <n v="4"/>
    <n v="3.3"/>
    <s v="No"/>
    <s v="Low"/>
  </r>
  <r>
    <s v="EMP0579"/>
    <x v="2"/>
    <n v="38"/>
    <n v="30340"/>
    <x v="3"/>
    <n v="3.7"/>
    <n v="34"/>
    <n v="15"/>
    <n v="4"/>
    <n v="2.6"/>
    <s v="No"/>
    <s v="Medium"/>
  </r>
  <r>
    <s v="EMP0580"/>
    <x v="2"/>
    <n v="29"/>
    <n v="31891"/>
    <x v="11"/>
    <n v="3.2"/>
    <n v="12"/>
    <n v="14"/>
    <n v="0"/>
    <n v="2.6"/>
    <s v="No"/>
    <s v="Medium"/>
  </r>
  <r>
    <s v="EMP0581"/>
    <x v="2"/>
    <n v="42"/>
    <n v="25871"/>
    <x v="1"/>
    <n v="3.5"/>
    <n v="33"/>
    <n v="10"/>
    <n v="0"/>
    <n v="3.5"/>
    <s v="No"/>
    <s v="Medium"/>
  </r>
  <r>
    <s v="EMP0582"/>
    <x v="1"/>
    <n v="48"/>
    <n v="32855"/>
    <x v="10"/>
    <n v="4.2"/>
    <n v="6"/>
    <n v="22"/>
    <n v="8"/>
    <n v="3.6"/>
    <s v="No"/>
    <s v="Medium"/>
  </r>
  <r>
    <s v="EMP0583"/>
    <x v="2"/>
    <n v="53"/>
    <n v="29199"/>
    <x v="5"/>
    <n v="2.2999999999999998"/>
    <n v="18"/>
    <n v="30"/>
    <n v="5"/>
    <n v="3.2"/>
    <s v="Yes"/>
    <s v="High"/>
  </r>
  <r>
    <s v="EMP0584"/>
    <x v="1"/>
    <n v="40"/>
    <n v="19522"/>
    <x v="0"/>
    <n v="3.2"/>
    <n v="8"/>
    <n v="19"/>
    <n v="2"/>
    <n v="3.4"/>
    <s v="No"/>
    <s v="Low"/>
  </r>
  <r>
    <s v="EMP0585"/>
    <x v="0"/>
    <n v="45"/>
    <n v="23308"/>
    <x v="4"/>
    <n v="3.1"/>
    <n v="13"/>
    <n v="28"/>
    <n v="2"/>
    <n v="3.8"/>
    <s v="No"/>
    <s v="Medium"/>
  </r>
  <r>
    <s v="EMP0586"/>
    <x v="2"/>
    <n v="49"/>
    <n v="27651"/>
    <x v="4"/>
    <n v="4.3"/>
    <n v="47"/>
    <n v="13"/>
    <n v="12"/>
    <n v="5"/>
    <s v="No"/>
    <s v="Low"/>
  </r>
  <r>
    <s v="EMP0587"/>
    <x v="4"/>
    <n v="34"/>
    <n v="18841"/>
    <x v="10"/>
    <n v="3.1"/>
    <n v="37"/>
    <n v="27"/>
    <n v="8"/>
    <n v="3.1"/>
    <s v="No"/>
    <s v="Medium"/>
  </r>
  <r>
    <s v="EMP0588"/>
    <x v="3"/>
    <n v="22"/>
    <n v="19445"/>
    <x v="7"/>
    <n v="1.9"/>
    <n v="15"/>
    <n v="3"/>
    <n v="4"/>
    <n v="1.9"/>
    <s v="No"/>
    <s v="Medium"/>
  </r>
  <r>
    <s v="EMP0589"/>
    <x v="1"/>
    <n v="21"/>
    <n v="36197"/>
    <x v="5"/>
    <n v="3.7"/>
    <n v="9"/>
    <n v="20"/>
    <n v="10"/>
    <n v="2.6"/>
    <s v="No"/>
    <s v="Medium"/>
  </r>
  <r>
    <s v="EMP0590"/>
    <x v="2"/>
    <n v="41"/>
    <n v="20286"/>
    <x v="5"/>
    <n v="2.9"/>
    <n v="36"/>
    <n v="29"/>
    <n v="2"/>
    <n v="3.4"/>
    <s v="No"/>
    <s v="Medium"/>
  </r>
  <r>
    <s v="EMP0591"/>
    <x v="3"/>
    <n v="25"/>
    <n v="17254"/>
    <x v="5"/>
    <n v="3.6"/>
    <n v="12"/>
    <n v="29"/>
    <n v="10"/>
    <n v="3.3"/>
    <s v="No"/>
    <s v="Medium"/>
  </r>
  <r>
    <s v="EMP0592"/>
    <x v="0"/>
    <n v="30"/>
    <n v="21384"/>
    <x v="14"/>
    <n v="2.9"/>
    <n v="45"/>
    <n v="31"/>
    <n v="4"/>
    <n v="3.6"/>
    <s v="No"/>
    <s v="Medium"/>
  </r>
  <r>
    <s v="EMP0593"/>
    <x v="3"/>
    <n v="31"/>
    <n v="23105"/>
    <x v="14"/>
    <n v="3.9"/>
    <n v="39"/>
    <n v="25"/>
    <n v="8"/>
    <n v="2.8"/>
    <s v="No"/>
    <s v="Medium"/>
  </r>
  <r>
    <s v="EMP0594"/>
    <x v="2"/>
    <n v="48"/>
    <n v="14257"/>
    <x v="3"/>
    <n v="3.1"/>
    <n v="40"/>
    <n v="35"/>
    <n v="20"/>
    <n v="3.7"/>
    <s v="No"/>
    <s v="Medium"/>
  </r>
  <r>
    <s v="EMP0595"/>
    <x v="0"/>
    <n v="46"/>
    <n v="34235"/>
    <x v="9"/>
    <n v="4"/>
    <n v="5"/>
    <n v="13"/>
    <n v="3"/>
    <n v="3.5"/>
    <s v="No"/>
    <s v="Medium"/>
  </r>
  <r>
    <s v="EMP0596"/>
    <x v="3"/>
    <n v="23"/>
    <n v="13539"/>
    <x v="13"/>
    <n v="3.1"/>
    <n v="17"/>
    <n v="11"/>
    <n v="2"/>
    <n v="3.9"/>
    <s v="No"/>
    <s v="Low"/>
  </r>
  <r>
    <s v="EMP0597"/>
    <x v="1"/>
    <n v="45"/>
    <n v="33436"/>
    <x v="15"/>
    <n v="2.9"/>
    <n v="39"/>
    <n v="0"/>
    <n v="7"/>
    <n v="1.2"/>
    <s v="Yes"/>
    <s v="High"/>
  </r>
  <r>
    <s v="EMP0598"/>
    <x v="3"/>
    <n v="41"/>
    <n v="27433"/>
    <x v="6"/>
    <n v="2.9"/>
    <n v="10"/>
    <n v="14"/>
    <n v="6"/>
    <n v="2.8"/>
    <s v="No"/>
    <s v="Medium"/>
  </r>
  <r>
    <s v="EMP0599"/>
    <x v="0"/>
    <n v="52"/>
    <n v="35724"/>
    <x v="11"/>
    <n v="3.6"/>
    <n v="45"/>
    <n v="3"/>
    <n v="3"/>
    <n v="2.9"/>
    <s v="No"/>
    <s v="Medium"/>
  </r>
  <r>
    <s v="EMP0600"/>
    <x v="2"/>
    <n v="29"/>
    <n v="28104"/>
    <x v="6"/>
    <n v="4.7"/>
    <n v="14"/>
    <n v="29"/>
    <n v="9"/>
    <n v="2.5"/>
    <s v="No"/>
    <s v="Medium"/>
  </r>
  <r>
    <s v="EMP0601"/>
    <x v="0"/>
    <n v="58"/>
    <n v="26676"/>
    <x v="9"/>
    <n v="2.4"/>
    <n v="23"/>
    <n v="0"/>
    <n v="6"/>
    <n v="2.5"/>
    <s v="No"/>
    <s v="Medium"/>
  </r>
  <r>
    <s v="EMP0602"/>
    <x v="3"/>
    <n v="22"/>
    <n v="13167"/>
    <x v="11"/>
    <n v="3.9"/>
    <n v="40"/>
    <n v="10"/>
    <n v="4"/>
    <n v="3.1"/>
    <s v="No"/>
    <s v="Low"/>
  </r>
  <r>
    <s v="EMP0603"/>
    <x v="1"/>
    <n v="40"/>
    <n v="20067"/>
    <x v="1"/>
    <n v="3"/>
    <n v="14"/>
    <n v="22"/>
    <n v="5"/>
    <n v="4.0999999999999996"/>
    <s v="Yes"/>
    <s v="High"/>
  </r>
  <r>
    <s v="EMP0604"/>
    <x v="0"/>
    <n v="36"/>
    <n v="20203"/>
    <x v="6"/>
    <n v="3.2"/>
    <n v="26"/>
    <n v="3"/>
    <n v="12"/>
    <n v="4.5999999999999996"/>
    <s v="No"/>
    <s v="Low"/>
  </r>
  <r>
    <s v="EMP0605"/>
    <x v="1"/>
    <n v="39"/>
    <n v="20094"/>
    <x v="0"/>
    <n v="3.2"/>
    <n v="16"/>
    <n v="15"/>
    <n v="3"/>
    <n v="3.6"/>
    <s v="No"/>
    <s v="Low"/>
  </r>
  <r>
    <s v="EMP0606"/>
    <x v="3"/>
    <n v="31"/>
    <n v="26301"/>
    <x v="14"/>
    <n v="3.8"/>
    <n v="40"/>
    <n v="34"/>
    <n v="9"/>
    <n v="3.4"/>
    <s v="Yes"/>
    <s v="High"/>
  </r>
  <r>
    <s v="EMP0607"/>
    <x v="1"/>
    <n v="38"/>
    <n v="37998"/>
    <x v="4"/>
    <n v="2.8"/>
    <n v="42"/>
    <n v="8"/>
    <n v="14"/>
    <n v="3.8"/>
    <s v="No"/>
    <s v="Low"/>
  </r>
  <r>
    <s v="EMP0608"/>
    <x v="3"/>
    <n v="46"/>
    <n v="20533"/>
    <x v="14"/>
    <n v="3.3"/>
    <n v="21"/>
    <n v="10"/>
    <n v="7"/>
    <n v="3.5"/>
    <s v="No"/>
    <s v="Low"/>
  </r>
  <r>
    <s v="EMP0609"/>
    <x v="1"/>
    <n v="26"/>
    <n v="30203"/>
    <x v="10"/>
    <n v="3.8"/>
    <n v="48"/>
    <n v="14"/>
    <n v="10"/>
    <n v="4.0999999999999996"/>
    <s v="No"/>
    <s v="Low"/>
  </r>
  <r>
    <s v="EMP0610"/>
    <x v="0"/>
    <n v="48"/>
    <n v="33514"/>
    <x v="4"/>
    <n v="3.9"/>
    <n v="20"/>
    <n v="24"/>
    <n v="13"/>
    <n v="4.5999999999999996"/>
    <s v="No"/>
    <s v="Medium"/>
  </r>
  <r>
    <s v="EMP0611"/>
    <x v="5"/>
    <n v="48"/>
    <n v="15073"/>
    <x v="12"/>
    <n v="2.5"/>
    <n v="21"/>
    <n v="20"/>
    <n v="0"/>
    <n v="3.9"/>
    <s v="No"/>
    <s v="Low"/>
  </r>
  <r>
    <s v="EMP0612"/>
    <x v="4"/>
    <n v="27"/>
    <n v="17810"/>
    <x v="9"/>
    <n v="2.9"/>
    <n v="24"/>
    <n v="6"/>
    <n v="5"/>
    <n v="4.8"/>
    <s v="No"/>
    <s v="Medium"/>
  </r>
  <r>
    <s v="EMP0613"/>
    <x v="5"/>
    <n v="27"/>
    <n v="28948"/>
    <x v="5"/>
    <n v="4.2"/>
    <n v="12"/>
    <n v="16"/>
    <n v="4"/>
    <n v="1"/>
    <s v="No"/>
    <s v="Medium"/>
  </r>
  <r>
    <s v="EMP0614"/>
    <x v="4"/>
    <n v="37"/>
    <n v="15870"/>
    <x v="8"/>
    <n v="3.9"/>
    <n v="44"/>
    <n v="20"/>
    <n v="4"/>
    <n v="2.2999999999999998"/>
    <s v="Yes"/>
    <s v="High"/>
  </r>
  <r>
    <s v="EMP0615"/>
    <x v="0"/>
    <n v="21"/>
    <n v="35784"/>
    <x v="5"/>
    <n v="2.4"/>
    <n v="16"/>
    <n v="13"/>
    <n v="0"/>
    <n v="4.5"/>
    <s v="No"/>
    <s v="Low"/>
  </r>
  <r>
    <s v="EMP0616"/>
    <x v="5"/>
    <n v="48"/>
    <n v="25117"/>
    <x v="12"/>
    <n v="2.5"/>
    <n v="25"/>
    <n v="29"/>
    <n v="5"/>
    <n v="2.1"/>
    <s v="No"/>
    <s v="Medium"/>
  </r>
  <r>
    <s v="EMP0617"/>
    <x v="1"/>
    <n v="24"/>
    <n v="35497"/>
    <x v="13"/>
    <n v="3.9"/>
    <n v="24"/>
    <n v="27"/>
    <n v="2"/>
    <n v="3.1"/>
    <s v="No"/>
    <s v="Medium"/>
  </r>
  <r>
    <s v="EMP0618"/>
    <x v="0"/>
    <n v="22"/>
    <n v="26720"/>
    <x v="12"/>
    <n v="2.5"/>
    <n v="27"/>
    <n v="19"/>
    <n v="13"/>
    <n v="2.6"/>
    <s v="No"/>
    <s v="Medium"/>
  </r>
  <r>
    <s v="EMP0619"/>
    <x v="1"/>
    <n v="44"/>
    <n v="31838"/>
    <x v="12"/>
    <n v="3.7"/>
    <n v="10"/>
    <n v="34"/>
    <n v="9"/>
    <n v="4"/>
    <s v="No"/>
    <s v="Medium"/>
  </r>
  <r>
    <s v="EMP0620"/>
    <x v="4"/>
    <n v="46"/>
    <n v="18736"/>
    <x v="13"/>
    <n v="4.5999999999999996"/>
    <n v="41"/>
    <n v="16"/>
    <n v="10"/>
    <n v="2.5"/>
    <s v="Yes"/>
    <s v="High"/>
  </r>
  <r>
    <s v="EMP0621"/>
    <x v="0"/>
    <n v="31"/>
    <n v="26962"/>
    <x v="12"/>
    <n v="2.2000000000000002"/>
    <n v="42"/>
    <n v="26"/>
    <n v="2"/>
    <n v="2.1"/>
    <s v="No"/>
    <s v="Medium"/>
  </r>
  <r>
    <s v="EMP0622"/>
    <x v="0"/>
    <n v="47"/>
    <n v="18008"/>
    <x v="1"/>
    <n v="4.3"/>
    <n v="41"/>
    <n v="23"/>
    <n v="4"/>
    <n v="3.6"/>
    <s v="No"/>
    <s v="Medium"/>
  </r>
  <r>
    <s v="EMP0623"/>
    <x v="1"/>
    <n v="23"/>
    <n v="26589"/>
    <x v="2"/>
    <n v="2.9"/>
    <n v="16"/>
    <n v="34"/>
    <n v="5"/>
    <n v="3"/>
    <s v="No"/>
    <s v="Medium"/>
  </r>
  <r>
    <s v="EMP0624"/>
    <x v="3"/>
    <n v="26"/>
    <n v="19263"/>
    <x v="1"/>
    <n v="3.1"/>
    <n v="30"/>
    <n v="1"/>
    <n v="8"/>
    <n v="3.2"/>
    <s v="No"/>
    <s v="Medium"/>
  </r>
  <r>
    <s v="EMP0625"/>
    <x v="2"/>
    <n v="41"/>
    <n v="27106"/>
    <x v="1"/>
    <n v="2.6"/>
    <n v="12"/>
    <n v="25"/>
    <n v="7"/>
    <n v="3.1"/>
    <s v="No"/>
    <s v="Medium"/>
  </r>
  <r>
    <s v="EMP0626"/>
    <x v="1"/>
    <n v="21"/>
    <n v="29668"/>
    <x v="13"/>
    <n v="4.5999999999999996"/>
    <n v="21"/>
    <n v="27"/>
    <n v="12"/>
    <n v="4.3"/>
    <s v="No"/>
    <s v="Medium"/>
  </r>
  <r>
    <s v="EMP0627"/>
    <x v="0"/>
    <n v="28"/>
    <n v="24495"/>
    <x v="8"/>
    <n v="3.3"/>
    <n v="31"/>
    <n v="19"/>
    <n v="8"/>
    <n v="3.8"/>
    <s v="No"/>
    <s v="Low"/>
  </r>
  <r>
    <s v="EMP0628"/>
    <x v="1"/>
    <n v="38"/>
    <n v="25443"/>
    <x v="5"/>
    <n v="3.8"/>
    <n v="46"/>
    <n v="24"/>
    <n v="1"/>
    <n v="3.3"/>
    <s v="No"/>
    <s v="Medium"/>
  </r>
  <r>
    <s v="EMP0629"/>
    <x v="2"/>
    <n v="48"/>
    <n v="20829"/>
    <x v="8"/>
    <n v="4.5"/>
    <n v="34"/>
    <n v="20"/>
    <n v="1"/>
    <n v="3.7"/>
    <s v="No"/>
    <s v="Low"/>
  </r>
  <r>
    <s v="EMP0630"/>
    <x v="2"/>
    <n v="26"/>
    <n v="30200"/>
    <x v="12"/>
    <n v="3.1"/>
    <n v="6"/>
    <n v="10"/>
    <n v="5"/>
    <n v="4"/>
    <s v="No"/>
    <s v="Low"/>
  </r>
  <r>
    <s v="EMP0631"/>
    <x v="1"/>
    <n v="25"/>
    <n v="26176"/>
    <x v="6"/>
    <n v="3.7"/>
    <n v="28"/>
    <n v="16"/>
    <n v="1"/>
    <n v="2"/>
    <s v="Yes"/>
    <s v="High"/>
  </r>
  <r>
    <s v="EMP0632"/>
    <x v="1"/>
    <n v="39"/>
    <n v="26385"/>
    <x v="3"/>
    <n v="3.8"/>
    <n v="39"/>
    <n v="2"/>
    <n v="5"/>
    <n v="4.4000000000000004"/>
    <s v="No"/>
    <s v="Low"/>
  </r>
  <r>
    <s v="EMP0633"/>
    <x v="3"/>
    <n v="38"/>
    <n v="13052"/>
    <x v="7"/>
    <n v="2.7"/>
    <n v="24"/>
    <n v="30"/>
    <n v="6"/>
    <n v="3.4"/>
    <s v="Yes"/>
    <s v="High"/>
  </r>
  <r>
    <s v="EMP0634"/>
    <x v="4"/>
    <n v="38"/>
    <n v="12532"/>
    <x v="7"/>
    <n v="2.8"/>
    <n v="34"/>
    <n v="34"/>
    <n v="11"/>
    <n v="4"/>
    <s v="Yes"/>
    <s v="High"/>
  </r>
  <r>
    <s v="EMP0635"/>
    <x v="3"/>
    <n v="47"/>
    <n v="20464"/>
    <x v="8"/>
    <n v="3.3"/>
    <n v="29"/>
    <n v="24"/>
    <n v="10"/>
    <n v="4.7"/>
    <s v="No"/>
    <s v="Medium"/>
  </r>
  <r>
    <s v="EMP0636"/>
    <x v="1"/>
    <n v="47"/>
    <n v="34314"/>
    <x v="7"/>
    <n v="4.0999999999999996"/>
    <n v="29"/>
    <n v="35"/>
    <n v="14"/>
    <n v="2.5"/>
    <s v="No"/>
    <s v="Medium"/>
  </r>
  <r>
    <s v="EMP0637"/>
    <x v="1"/>
    <n v="40"/>
    <n v="31214"/>
    <x v="1"/>
    <n v="3.8"/>
    <n v="34"/>
    <n v="10"/>
    <n v="5"/>
    <n v="3"/>
    <s v="No"/>
    <s v="Medium"/>
  </r>
  <r>
    <s v="EMP0638"/>
    <x v="1"/>
    <n v="42"/>
    <n v="33890"/>
    <x v="4"/>
    <n v="3.2"/>
    <n v="5"/>
    <n v="18"/>
    <n v="10"/>
    <n v="3.3"/>
    <s v="No"/>
    <s v="Low"/>
  </r>
  <r>
    <s v="EMP0639"/>
    <x v="3"/>
    <n v="23"/>
    <n v="24565"/>
    <x v="8"/>
    <n v="4.3"/>
    <n v="19"/>
    <n v="13"/>
    <n v="3"/>
    <n v="4.4000000000000004"/>
    <s v="No"/>
    <s v="Low"/>
  </r>
  <r>
    <s v="EMP0640"/>
    <x v="0"/>
    <n v="22"/>
    <n v="33433"/>
    <x v="12"/>
    <n v="3.6"/>
    <n v="30"/>
    <n v="26"/>
    <n v="9"/>
    <n v="2.7"/>
    <s v="No"/>
    <s v="Medium"/>
  </r>
  <r>
    <s v="EMP0641"/>
    <x v="1"/>
    <n v="26"/>
    <n v="33815"/>
    <x v="3"/>
    <n v="2.9"/>
    <n v="25"/>
    <n v="2"/>
    <n v="10"/>
    <n v="2.2999999999999998"/>
    <s v="No"/>
    <s v="Medium"/>
  </r>
  <r>
    <s v="EMP0642"/>
    <x v="0"/>
    <n v="40"/>
    <n v="40818"/>
    <x v="5"/>
    <n v="4.3"/>
    <n v="29"/>
    <n v="1"/>
    <n v="6"/>
    <n v="2.6"/>
    <s v="No"/>
    <s v="Medium"/>
  </r>
  <r>
    <s v="EMP0643"/>
    <x v="1"/>
    <n v="22"/>
    <n v="23523"/>
    <x v="15"/>
    <n v="4.5"/>
    <n v="39"/>
    <n v="27"/>
    <n v="8"/>
    <n v="3.5"/>
    <s v="No"/>
    <s v="Medium"/>
  </r>
  <r>
    <s v="EMP0644"/>
    <x v="3"/>
    <n v="49"/>
    <n v="16374"/>
    <x v="2"/>
    <n v="2"/>
    <n v="29"/>
    <n v="10"/>
    <n v="0"/>
    <n v="2.2999999999999998"/>
    <s v="No"/>
    <s v="Medium"/>
  </r>
  <r>
    <s v="EMP0645"/>
    <x v="2"/>
    <n v="51"/>
    <n v="20280"/>
    <x v="2"/>
    <n v="2.9"/>
    <n v="38"/>
    <n v="10"/>
    <n v="1"/>
    <n v="2.2000000000000002"/>
    <s v="No"/>
    <s v="Medium"/>
  </r>
  <r>
    <s v="EMP0646"/>
    <x v="1"/>
    <n v="34"/>
    <n v="21963"/>
    <x v="3"/>
    <n v="3.5"/>
    <n v="23"/>
    <n v="16"/>
    <n v="9"/>
    <n v="4.5"/>
    <s v="No"/>
    <s v="Low"/>
  </r>
  <r>
    <s v="EMP0647"/>
    <x v="0"/>
    <n v="58"/>
    <n v="40510"/>
    <x v="7"/>
    <n v="4.0999999999999996"/>
    <n v="44"/>
    <n v="1"/>
    <n v="5"/>
    <n v="4"/>
    <s v="No"/>
    <s v="Low"/>
  </r>
  <r>
    <s v="EMP0648"/>
    <x v="3"/>
    <n v="49"/>
    <n v="14040"/>
    <x v="15"/>
    <n v="3.9"/>
    <n v="16"/>
    <n v="0"/>
    <n v="0"/>
    <n v="5"/>
    <s v="No"/>
    <s v="Low"/>
  </r>
  <r>
    <s v="EMP0649"/>
    <x v="1"/>
    <n v="35"/>
    <n v="27039"/>
    <x v="10"/>
    <n v="3.7"/>
    <n v="8"/>
    <n v="29"/>
    <n v="0"/>
    <n v="3.3"/>
    <s v="No"/>
    <s v="Medium"/>
  </r>
  <r>
    <s v="EMP0650"/>
    <x v="2"/>
    <n v="45"/>
    <n v="26350"/>
    <x v="11"/>
    <n v="3"/>
    <n v="25"/>
    <n v="33"/>
    <n v="0"/>
    <n v="2.7"/>
    <s v="No"/>
    <s v="Medium"/>
  </r>
  <r>
    <s v="EMP0651"/>
    <x v="2"/>
    <n v="27"/>
    <n v="26439"/>
    <x v="10"/>
    <n v="4.3"/>
    <n v="9"/>
    <n v="21"/>
    <n v="3"/>
    <n v="5"/>
    <s v="No"/>
    <s v="Medium"/>
  </r>
  <r>
    <s v="EMP0652"/>
    <x v="2"/>
    <n v="51"/>
    <n v="15782"/>
    <x v="1"/>
    <n v="3.4"/>
    <n v="32"/>
    <n v="3"/>
    <n v="7"/>
    <n v="4.4000000000000004"/>
    <s v="No"/>
    <s v="Medium"/>
  </r>
  <r>
    <s v="EMP0653"/>
    <x v="5"/>
    <n v="25"/>
    <n v="23662"/>
    <x v="3"/>
    <n v="2.2999999999999998"/>
    <n v="22"/>
    <n v="19"/>
    <n v="4"/>
    <n v="3.8"/>
    <s v="No"/>
    <s v="Low"/>
  </r>
  <r>
    <s v="EMP0654"/>
    <x v="4"/>
    <n v="22"/>
    <n v="21493"/>
    <x v="6"/>
    <n v="2.8"/>
    <n v="40"/>
    <n v="11"/>
    <n v="3"/>
    <n v="2.6"/>
    <s v="No"/>
    <s v="Medium"/>
  </r>
  <r>
    <s v="EMP0655"/>
    <x v="2"/>
    <n v="47"/>
    <n v="31689"/>
    <x v="4"/>
    <n v="3.7"/>
    <n v="34"/>
    <n v="25"/>
    <n v="4"/>
    <n v="3.3"/>
    <s v="Yes"/>
    <s v="High"/>
  </r>
  <r>
    <s v="EMP0656"/>
    <x v="0"/>
    <n v="22"/>
    <n v="38476"/>
    <x v="12"/>
    <n v="3.5"/>
    <n v="30"/>
    <n v="12"/>
    <n v="2"/>
    <n v="1.8"/>
    <s v="No"/>
    <s v="Medium"/>
  </r>
  <r>
    <s v="EMP0657"/>
    <x v="0"/>
    <n v="41"/>
    <n v="38650"/>
    <x v="5"/>
    <n v="3.7"/>
    <n v="4"/>
    <n v="18"/>
    <n v="5"/>
    <n v="4.2"/>
    <s v="No"/>
    <s v="Low"/>
  </r>
  <r>
    <s v="EMP0658"/>
    <x v="0"/>
    <n v="44"/>
    <n v="31363"/>
    <x v="7"/>
    <n v="1.7"/>
    <n v="33"/>
    <n v="23"/>
    <n v="6"/>
    <n v="4"/>
    <s v="No"/>
    <s v="Medium"/>
  </r>
  <r>
    <s v="EMP0659"/>
    <x v="5"/>
    <n v="49"/>
    <n v="24994"/>
    <x v="15"/>
    <n v="5"/>
    <n v="22"/>
    <n v="15"/>
    <n v="6"/>
    <n v="3.1"/>
    <s v="No"/>
    <s v="Low"/>
  </r>
  <r>
    <s v="EMP0660"/>
    <x v="4"/>
    <n v="40"/>
    <n v="18961"/>
    <x v="8"/>
    <n v="3.7"/>
    <n v="36"/>
    <n v="5"/>
    <n v="4"/>
    <n v="1.8"/>
    <s v="No"/>
    <s v="Medium"/>
  </r>
  <r>
    <s v="EMP0661"/>
    <x v="1"/>
    <n v="22"/>
    <n v="27912"/>
    <x v="10"/>
    <n v="4.5999999999999996"/>
    <n v="40"/>
    <n v="28"/>
    <n v="12"/>
    <n v="4.0999999999999996"/>
    <s v="No"/>
    <s v="Medium"/>
  </r>
  <r>
    <s v="EMP0662"/>
    <x v="4"/>
    <n v="46"/>
    <n v="19010"/>
    <x v="1"/>
    <n v="3.4"/>
    <n v="28"/>
    <n v="25"/>
    <n v="8"/>
    <n v="2.2999999999999998"/>
    <s v="No"/>
    <s v="Medium"/>
  </r>
  <r>
    <s v="EMP0663"/>
    <x v="5"/>
    <n v="47"/>
    <n v="21108"/>
    <x v="0"/>
    <n v="2.6"/>
    <n v="46"/>
    <n v="11"/>
    <n v="4"/>
    <n v="3.6"/>
    <s v="No"/>
    <s v="Low"/>
  </r>
  <r>
    <s v="EMP0664"/>
    <x v="5"/>
    <n v="54"/>
    <n v="24235"/>
    <x v="10"/>
    <n v="3.6"/>
    <n v="4"/>
    <n v="24"/>
    <n v="5"/>
    <n v="3.6"/>
    <s v="No"/>
    <s v="Medium"/>
  </r>
  <r>
    <s v="EMP0665"/>
    <x v="5"/>
    <n v="58"/>
    <n v="20648"/>
    <x v="10"/>
    <n v="2.2999999999999998"/>
    <n v="50"/>
    <n v="35"/>
    <n v="3"/>
    <n v="3.4"/>
    <s v="No"/>
    <s v="Medium"/>
  </r>
  <r>
    <s v="EMP0666"/>
    <x v="3"/>
    <n v="46"/>
    <n v="20388"/>
    <x v="14"/>
    <n v="4.0999999999999996"/>
    <n v="31"/>
    <n v="0"/>
    <n v="5"/>
    <n v="4"/>
    <s v="No"/>
    <s v="Low"/>
  </r>
  <r>
    <s v="EMP0667"/>
    <x v="2"/>
    <n v="54"/>
    <n v="22240"/>
    <x v="13"/>
    <n v="4.5"/>
    <n v="13"/>
    <n v="8"/>
    <n v="5"/>
    <n v="3.2"/>
    <s v="No"/>
    <s v="Low"/>
  </r>
  <r>
    <s v="EMP0668"/>
    <x v="1"/>
    <n v="40"/>
    <n v="34283"/>
    <x v="2"/>
    <n v="3.5"/>
    <n v="23"/>
    <n v="14"/>
    <n v="11"/>
    <n v="1.9"/>
    <s v="No"/>
    <s v="Medium"/>
  </r>
  <r>
    <s v="EMP0669"/>
    <x v="5"/>
    <n v="25"/>
    <n v="18344"/>
    <x v="5"/>
    <n v="2.7"/>
    <n v="38"/>
    <n v="30"/>
    <n v="14"/>
    <n v="4.2"/>
    <s v="No"/>
    <s v="Medium"/>
  </r>
  <r>
    <s v="EMP0670"/>
    <x v="4"/>
    <n v="41"/>
    <n v="22930"/>
    <x v="10"/>
    <n v="4.2"/>
    <n v="22"/>
    <n v="0"/>
    <n v="1"/>
    <n v="5"/>
    <s v="No"/>
    <s v="Low"/>
  </r>
  <r>
    <s v="EMP0671"/>
    <x v="2"/>
    <n v="54"/>
    <n v="19985"/>
    <x v="5"/>
    <n v="4.2"/>
    <n v="10"/>
    <n v="16"/>
    <n v="6"/>
    <n v="2.2000000000000002"/>
    <s v="Yes"/>
    <s v="High"/>
  </r>
  <r>
    <s v="EMP0672"/>
    <x v="5"/>
    <n v="55"/>
    <n v="23748"/>
    <x v="9"/>
    <n v="3"/>
    <n v="9"/>
    <n v="30"/>
    <n v="4"/>
    <n v="2.8"/>
    <s v="No"/>
    <s v="Medium"/>
  </r>
  <r>
    <s v="EMP0673"/>
    <x v="3"/>
    <n v="60"/>
    <n v="21621"/>
    <x v="6"/>
    <n v="3.9"/>
    <n v="45"/>
    <n v="18"/>
    <n v="6"/>
    <n v="3.5"/>
    <s v="No"/>
    <s v="Low"/>
  </r>
  <r>
    <s v="EMP0674"/>
    <x v="1"/>
    <n v="52"/>
    <n v="24353"/>
    <x v="13"/>
    <n v="3.3"/>
    <n v="34"/>
    <n v="20"/>
    <n v="7"/>
    <n v="3.1"/>
    <s v="No"/>
    <s v="Low"/>
  </r>
  <r>
    <s v="EMP0675"/>
    <x v="3"/>
    <n v="52"/>
    <n v="14200"/>
    <x v="1"/>
    <n v="3.5"/>
    <n v="40"/>
    <n v="11"/>
    <n v="8"/>
    <n v="3.9"/>
    <s v="No"/>
    <s v="Medium"/>
  </r>
  <r>
    <s v="EMP0676"/>
    <x v="5"/>
    <n v="58"/>
    <n v="22934"/>
    <x v="13"/>
    <n v="3.3"/>
    <n v="33"/>
    <n v="2"/>
    <n v="8"/>
    <n v="4.8"/>
    <s v="No"/>
    <s v="Low"/>
  </r>
  <r>
    <s v="EMP0677"/>
    <x v="1"/>
    <n v="38"/>
    <n v="37020"/>
    <x v="5"/>
    <n v="2.6"/>
    <n v="38"/>
    <n v="26"/>
    <n v="8"/>
    <n v="4.4000000000000004"/>
    <s v="No"/>
    <s v="Medium"/>
  </r>
  <r>
    <s v="EMP0678"/>
    <x v="2"/>
    <n v="21"/>
    <n v="29415"/>
    <x v="2"/>
    <n v="2.4"/>
    <n v="34"/>
    <n v="2"/>
    <n v="12"/>
    <n v="3.2"/>
    <s v="No"/>
    <s v="Low"/>
  </r>
  <r>
    <s v="EMP0679"/>
    <x v="1"/>
    <n v="26"/>
    <n v="26828"/>
    <x v="14"/>
    <n v="4.0999999999999996"/>
    <n v="16"/>
    <n v="16"/>
    <n v="8"/>
    <n v="5"/>
    <s v="No"/>
    <s v="Low"/>
  </r>
  <r>
    <s v="EMP0680"/>
    <x v="1"/>
    <n v="53"/>
    <n v="30348"/>
    <x v="11"/>
    <n v="3.7"/>
    <n v="24"/>
    <n v="28"/>
    <n v="6"/>
    <n v="4.8"/>
    <s v="No"/>
    <s v="Medium"/>
  </r>
  <r>
    <s v="EMP0681"/>
    <x v="4"/>
    <n v="44"/>
    <n v="22594"/>
    <x v="5"/>
    <n v="3.4"/>
    <n v="22"/>
    <n v="0"/>
    <n v="6"/>
    <n v="1.8"/>
    <s v="No"/>
    <s v="Medium"/>
  </r>
  <r>
    <s v="EMP0682"/>
    <x v="4"/>
    <n v="40"/>
    <n v="12301"/>
    <x v="7"/>
    <n v="2.5"/>
    <n v="42"/>
    <n v="34"/>
    <n v="7"/>
    <n v="3.7"/>
    <s v="No"/>
    <s v="Medium"/>
  </r>
  <r>
    <s v="EMP0683"/>
    <x v="4"/>
    <n v="34"/>
    <n v="23983"/>
    <x v="1"/>
    <n v="3.5"/>
    <n v="38"/>
    <n v="35"/>
    <n v="10"/>
    <n v="1.6"/>
    <s v="No"/>
    <s v="Medium"/>
  </r>
  <r>
    <s v="EMP0684"/>
    <x v="4"/>
    <n v="22"/>
    <n v="18418"/>
    <x v="6"/>
    <n v="4.5999999999999996"/>
    <n v="14"/>
    <n v="21"/>
    <n v="13"/>
    <n v="4.4000000000000004"/>
    <s v="No"/>
    <s v="Medium"/>
  </r>
  <r>
    <s v="EMP0685"/>
    <x v="3"/>
    <n v="59"/>
    <n v="18612"/>
    <x v="10"/>
    <n v="4"/>
    <n v="42"/>
    <n v="29"/>
    <n v="15"/>
    <n v="2.9"/>
    <s v="No"/>
    <s v="Medium"/>
  </r>
  <r>
    <s v="EMP0686"/>
    <x v="5"/>
    <n v="24"/>
    <n v="26793"/>
    <x v="5"/>
    <n v="4.9000000000000004"/>
    <n v="6"/>
    <n v="10"/>
    <n v="12"/>
    <n v="3.7"/>
    <s v="No"/>
    <s v="Low"/>
  </r>
  <r>
    <s v="EMP0687"/>
    <x v="4"/>
    <n v="60"/>
    <n v="13292"/>
    <x v="2"/>
    <n v="3.9"/>
    <n v="13"/>
    <n v="24"/>
    <n v="13"/>
    <n v="3.1"/>
    <s v="No"/>
    <s v="Medium"/>
  </r>
  <r>
    <s v="EMP0688"/>
    <x v="5"/>
    <n v="42"/>
    <n v="21542"/>
    <x v="12"/>
    <n v="3.6"/>
    <n v="46"/>
    <n v="7"/>
    <n v="10"/>
    <n v="4.2"/>
    <s v="Yes"/>
    <s v="High"/>
  </r>
  <r>
    <s v="EMP0689"/>
    <x v="3"/>
    <n v="31"/>
    <n v="16700"/>
    <x v="9"/>
    <n v="1.5"/>
    <n v="27"/>
    <n v="17"/>
    <n v="7"/>
    <n v="3"/>
    <s v="No"/>
    <s v="Medium"/>
  </r>
  <r>
    <s v="EMP0690"/>
    <x v="2"/>
    <n v="55"/>
    <n v="18508"/>
    <x v="0"/>
    <n v="4.5999999999999996"/>
    <n v="28"/>
    <n v="4"/>
    <n v="8"/>
    <n v="2.2999999999999998"/>
    <s v="No"/>
    <s v="Medium"/>
  </r>
  <r>
    <s v="EMP0691"/>
    <x v="5"/>
    <n v="38"/>
    <n v="17167"/>
    <x v="12"/>
    <n v="3.4"/>
    <n v="40"/>
    <n v="24"/>
    <n v="12"/>
    <n v="4.2"/>
    <s v="No"/>
    <s v="Medium"/>
  </r>
  <r>
    <s v="EMP0692"/>
    <x v="0"/>
    <n v="45"/>
    <n v="35518"/>
    <x v="5"/>
    <n v="3"/>
    <n v="39"/>
    <n v="28"/>
    <n v="15"/>
    <n v="3.5"/>
    <s v="No"/>
    <s v="Medium"/>
  </r>
  <r>
    <s v="EMP0693"/>
    <x v="2"/>
    <n v="42"/>
    <n v="15698"/>
    <x v="7"/>
    <n v="3.3"/>
    <n v="6"/>
    <n v="8"/>
    <n v="6"/>
    <n v="3.2"/>
    <s v="Yes"/>
    <s v="High"/>
  </r>
  <r>
    <s v="EMP0694"/>
    <x v="4"/>
    <n v="48"/>
    <n v="12179"/>
    <x v="13"/>
    <n v="1.7"/>
    <n v="41"/>
    <n v="2"/>
    <n v="0"/>
    <n v="1.9"/>
    <s v="Yes"/>
    <s v="High"/>
  </r>
  <r>
    <s v="EMP0695"/>
    <x v="4"/>
    <n v="36"/>
    <n v="21966"/>
    <x v="8"/>
    <n v="2.8"/>
    <n v="33"/>
    <n v="23"/>
    <n v="11"/>
    <n v="2.1"/>
    <s v="No"/>
    <s v="Medium"/>
  </r>
  <r>
    <s v="EMP0696"/>
    <x v="2"/>
    <n v="57"/>
    <n v="20116"/>
    <x v="3"/>
    <n v="2.9"/>
    <n v="6"/>
    <n v="8"/>
    <n v="9"/>
    <n v="2.6"/>
    <s v="No"/>
    <s v="Medium"/>
  </r>
  <r>
    <s v="EMP0697"/>
    <x v="3"/>
    <n v="39"/>
    <n v="23324"/>
    <x v="1"/>
    <n v="2.8"/>
    <n v="42"/>
    <n v="18"/>
    <n v="12"/>
    <n v="2.7"/>
    <s v="Yes"/>
    <s v="High"/>
  </r>
  <r>
    <s v="EMP0698"/>
    <x v="2"/>
    <n v="28"/>
    <n v="14533"/>
    <x v="4"/>
    <n v="1.7"/>
    <n v="26"/>
    <n v="22"/>
    <n v="3"/>
    <n v="3.3"/>
    <s v="No"/>
    <s v="Medium"/>
  </r>
  <r>
    <s v="EMP0699"/>
    <x v="1"/>
    <n v="42"/>
    <n v="24141"/>
    <x v="14"/>
    <n v="4"/>
    <n v="35"/>
    <n v="3"/>
    <n v="10"/>
    <n v="3"/>
    <s v="Yes"/>
    <s v="High"/>
  </r>
  <r>
    <s v="EMP0700"/>
    <x v="3"/>
    <n v="27"/>
    <n v="21876"/>
    <x v="15"/>
    <n v="4.2"/>
    <n v="4"/>
    <n v="18"/>
    <n v="1"/>
    <n v="3.8"/>
    <s v="No"/>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643F3-AA4E-42BB-A003-7D7CD16A934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M21" firstHeaderRow="1" firstDataRow="2" firstDataCol="1"/>
  <pivotFields count="12">
    <pivotField dataField="1" showAll="0"/>
    <pivotField axis="axisCol" showAll="0">
      <items count="7">
        <item x="4"/>
        <item x="1"/>
        <item x="5"/>
        <item x="0"/>
        <item x="3"/>
        <item x="2"/>
        <item t="default"/>
      </items>
    </pivotField>
    <pivotField showAll="0"/>
    <pivotField showAll="0"/>
    <pivotField axis="axisRow" showAll="0">
      <items count="17">
        <item x="9"/>
        <item x="1"/>
        <item x="2"/>
        <item x="11"/>
        <item x="10"/>
        <item x="12"/>
        <item x="13"/>
        <item x="7"/>
        <item x="8"/>
        <item x="0"/>
        <item x="6"/>
        <item x="14"/>
        <item x="4"/>
        <item x="3"/>
        <item x="15"/>
        <item x="5"/>
        <item t="default"/>
      </items>
    </pivotField>
    <pivotField showAll="0"/>
    <pivotField showAll="0"/>
    <pivotField showAll="0"/>
    <pivotField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Fields count="1">
    <field x="1"/>
  </colFields>
  <colItems count="7">
    <i>
      <x/>
    </i>
    <i>
      <x v="1"/>
    </i>
    <i>
      <x v="2"/>
    </i>
    <i>
      <x v="3"/>
    </i>
    <i>
      <x v="4"/>
    </i>
    <i>
      <x v="5"/>
    </i>
    <i t="grand">
      <x/>
    </i>
  </colItems>
  <dataFields count="1">
    <dataField name="Count of Employee 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6A2A5-A223-48E5-80BF-55A8EBAF98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2">
    <pivotField dataField="1" showAll="0"/>
    <pivotField axis="axisRow" showAll="0">
      <items count="7">
        <item x="4"/>
        <item x="1"/>
        <item x="5"/>
        <item x="0"/>
        <item x="3"/>
        <item x="2"/>
        <item t="default"/>
      </items>
    </pivotField>
    <pivotField showAll="0"/>
    <pivotField dataField="1" showAll="0"/>
    <pivotField showAll="0"/>
    <pivotField showAll="0"/>
    <pivotField showAll="0"/>
    <pivotField showAll="0"/>
    <pivotField dataField="1" showAll="0"/>
    <pivotField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Count of Employee ID" fld="0" subtotal="count" baseField="0" baseItem="0"/>
    <dataField name="Average of Monthly Salary" fld="3" subtotal="average" baseField="1" baseItem="0"/>
    <dataField name="Sum of Absence Days" fld="8" baseField="0" baseItem="0"/>
  </dataFields>
  <formats count="7">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fieldPosition="0">
        <references count="1">
          <reference field="4294967294" count="3">
            <x v="0"/>
            <x v="1"/>
            <x v="2"/>
          </reference>
        </references>
      </pivotArea>
    </format>
    <format dxfId="10">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3B8930-9A7E-4F93-B820-11FBA98B70E5}" sourceName="Department">
  <pivotTables>
    <pivotTable tabId="6" name="PivotTable2"/>
  </pivotTables>
  <data>
    <tabular pivotCacheId="2018117818">
      <items count="6">
        <i x="4" s="1"/>
        <i x="1" s="1"/>
        <i x="5"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9DDFA1B-C616-46D5-93BC-86FB254913B9}" sourceName="Department">
  <pivotTables>
    <pivotTable tabId="6" name="PivotTable4"/>
  </pivotTables>
  <data>
    <tabular pivotCacheId="1699656609">
      <items count="6">
        <i x="4" s="1"/>
        <i x="1" s="1"/>
        <i x="5"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6F6D15A-FF56-4B05-A011-8A2D8719A6FF}" cache="Slicer_Department" caption="Department" rowHeight="241300"/>
  <slicer name="Department 1" xr10:uid="{222CDDDA-F00E-49B0-B615-D9035EFC681F}" cache="Slicer_Department1" caption="Department"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1"/>
  <sheetViews>
    <sheetView tabSelected="1" zoomScaleNormal="100" workbookViewId="0">
      <pane ySplit="1" topLeftCell="A682" activePane="bottomLeft" state="frozen"/>
      <selection pane="bottomLeft" activeCell="C694" sqref="C694"/>
    </sheetView>
  </sheetViews>
  <sheetFormatPr defaultColWidth="8.7109375" defaultRowHeight="15" customHeight="1" x14ac:dyDescent="0.25"/>
  <cols>
    <col min="1" max="1" width="13" customWidth="1"/>
    <col min="2" max="2" width="18" customWidth="1"/>
    <col min="3" max="3" width="10" customWidth="1"/>
    <col min="4" max="4" width="21.42578125" style="19" customWidth="1"/>
    <col min="5" max="5" width="18" customWidth="1"/>
    <col min="6" max="6" width="19" customWidth="1"/>
    <col min="7" max="8" width="16" customWidth="1"/>
    <col min="9" max="9" width="14" customWidth="1"/>
    <col min="10" max="10" width="18" customWidth="1"/>
    <col min="11" max="11" width="14" customWidth="1"/>
    <col min="12" max="12" width="24" customWidth="1"/>
  </cols>
  <sheetData>
    <row r="1" spans="1:12" ht="15" customHeight="1" x14ac:dyDescent="0.25">
      <c r="A1" s="1" t="s">
        <v>0</v>
      </c>
      <c r="B1" s="1" t="s">
        <v>1</v>
      </c>
      <c r="C1" s="1" t="s">
        <v>2</v>
      </c>
      <c r="D1" s="18" t="s">
        <v>3</v>
      </c>
      <c r="E1" s="1" t="s">
        <v>4</v>
      </c>
      <c r="F1" s="1" t="s">
        <v>5</v>
      </c>
      <c r="G1" s="1" t="s">
        <v>6</v>
      </c>
      <c r="H1" s="1" t="s">
        <v>7</v>
      </c>
      <c r="I1" s="1" t="s">
        <v>8</v>
      </c>
      <c r="J1" s="1" t="s">
        <v>9</v>
      </c>
      <c r="K1" s="1" t="s">
        <v>10</v>
      </c>
      <c r="L1" s="1" t="s">
        <v>11</v>
      </c>
    </row>
    <row r="2" spans="1:12" ht="15" customHeight="1" x14ac:dyDescent="0.25">
      <c r="A2" t="s">
        <v>12</v>
      </c>
      <c r="B2" t="s">
        <v>13</v>
      </c>
      <c r="C2">
        <v>31</v>
      </c>
      <c r="D2" s="19">
        <v>38817</v>
      </c>
      <c r="E2">
        <v>9</v>
      </c>
      <c r="F2">
        <v>3.5</v>
      </c>
      <c r="G2">
        <v>26</v>
      </c>
      <c r="H2">
        <v>15</v>
      </c>
      <c r="I2">
        <v>9</v>
      </c>
      <c r="J2">
        <v>2.1</v>
      </c>
      <c r="K2" t="s">
        <v>14</v>
      </c>
      <c r="L2" t="str">
        <f t="shared" ref="L2:L65" si="0">IF(K2="Yes","High",IF(OR(J2&lt;3,H2&gt;20,E2&lt;2),"Medium","Low"))</f>
        <v>Medium</v>
      </c>
    </row>
    <row r="3" spans="1:12" ht="15" customHeight="1" x14ac:dyDescent="0.25">
      <c r="A3" t="s">
        <v>15</v>
      </c>
      <c r="B3" t="s">
        <v>16</v>
      </c>
      <c r="C3">
        <v>39</v>
      </c>
      <c r="D3" s="19">
        <v>21019</v>
      </c>
      <c r="E3">
        <v>1</v>
      </c>
      <c r="F3">
        <v>3.2</v>
      </c>
      <c r="G3">
        <v>43</v>
      </c>
      <c r="H3">
        <v>27</v>
      </c>
      <c r="I3">
        <v>12</v>
      </c>
      <c r="J3">
        <v>4.0999999999999996</v>
      </c>
      <c r="K3" t="s">
        <v>14</v>
      </c>
      <c r="L3" t="str">
        <f t="shared" si="0"/>
        <v>Medium</v>
      </c>
    </row>
    <row r="4" spans="1:12" ht="15" customHeight="1" x14ac:dyDescent="0.25">
      <c r="A4" t="s">
        <v>17</v>
      </c>
      <c r="B4" t="s">
        <v>18</v>
      </c>
      <c r="C4">
        <v>26</v>
      </c>
      <c r="D4" s="19">
        <v>24433</v>
      </c>
      <c r="E4">
        <v>2</v>
      </c>
      <c r="F4">
        <v>2.2000000000000002</v>
      </c>
      <c r="G4">
        <v>24</v>
      </c>
      <c r="H4">
        <v>28</v>
      </c>
      <c r="I4">
        <v>3</v>
      </c>
      <c r="J4">
        <v>2.4</v>
      </c>
      <c r="K4" t="s">
        <v>14</v>
      </c>
      <c r="L4" t="str">
        <f t="shared" si="0"/>
        <v>Medium</v>
      </c>
    </row>
    <row r="5" spans="1:12" ht="15" customHeight="1" x14ac:dyDescent="0.25">
      <c r="A5" t="s">
        <v>19</v>
      </c>
      <c r="B5" t="s">
        <v>16</v>
      </c>
      <c r="C5">
        <v>52</v>
      </c>
      <c r="D5" s="19">
        <v>25235</v>
      </c>
      <c r="E5">
        <v>1</v>
      </c>
      <c r="F5">
        <v>4.5</v>
      </c>
      <c r="G5">
        <v>48</v>
      </c>
      <c r="H5">
        <v>22</v>
      </c>
      <c r="I5">
        <v>0</v>
      </c>
      <c r="J5">
        <v>4.4000000000000004</v>
      </c>
      <c r="K5" t="s">
        <v>14</v>
      </c>
      <c r="L5" t="str">
        <f t="shared" si="0"/>
        <v>Medium</v>
      </c>
    </row>
    <row r="6" spans="1:12" ht="15" customHeight="1" x14ac:dyDescent="0.25">
      <c r="A6" t="s">
        <v>20</v>
      </c>
      <c r="B6" t="s">
        <v>21</v>
      </c>
      <c r="C6">
        <v>50</v>
      </c>
      <c r="D6" s="19">
        <v>15327</v>
      </c>
      <c r="E6">
        <v>13</v>
      </c>
      <c r="F6">
        <v>4.9000000000000004</v>
      </c>
      <c r="G6">
        <v>24</v>
      </c>
      <c r="H6">
        <v>24</v>
      </c>
      <c r="I6">
        <v>3</v>
      </c>
      <c r="J6">
        <v>4.7</v>
      </c>
      <c r="K6" t="s">
        <v>14</v>
      </c>
      <c r="L6" t="str">
        <f t="shared" si="0"/>
        <v>Medium</v>
      </c>
    </row>
    <row r="7" spans="1:12" ht="15" customHeight="1" x14ac:dyDescent="0.25">
      <c r="A7" t="s">
        <v>22</v>
      </c>
      <c r="B7" t="s">
        <v>18</v>
      </c>
      <c r="C7">
        <v>48</v>
      </c>
      <c r="D7" s="19">
        <v>19661</v>
      </c>
      <c r="E7">
        <v>12</v>
      </c>
      <c r="F7">
        <v>3.3</v>
      </c>
      <c r="G7">
        <v>34</v>
      </c>
      <c r="H7">
        <v>9</v>
      </c>
      <c r="I7">
        <v>6</v>
      </c>
      <c r="J7">
        <v>4</v>
      </c>
      <c r="K7" t="s">
        <v>14</v>
      </c>
      <c r="L7" t="str">
        <f t="shared" si="0"/>
        <v>Low</v>
      </c>
    </row>
    <row r="8" spans="1:12" ht="15" customHeight="1" x14ac:dyDescent="0.25">
      <c r="A8" t="s">
        <v>23</v>
      </c>
      <c r="B8" t="s">
        <v>13</v>
      </c>
      <c r="C8">
        <v>40</v>
      </c>
      <c r="D8" s="19">
        <v>27098</v>
      </c>
      <c r="E8">
        <v>15</v>
      </c>
      <c r="F8">
        <v>1.6</v>
      </c>
      <c r="G8">
        <v>14</v>
      </c>
      <c r="H8">
        <v>31</v>
      </c>
      <c r="I8">
        <v>10</v>
      </c>
      <c r="J8">
        <v>3.7</v>
      </c>
      <c r="K8" t="s">
        <v>14</v>
      </c>
      <c r="L8" t="str">
        <f t="shared" si="0"/>
        <v>Medium</v>
      </c>
    </row>
    <row r="9" spans="1:12" ht="15" customHeight="1" x14ac:dyDescent="0.25">
      <c r="A9" t="s">
        <v>24</v>
      </c>
      <c r="B9" t="s">
        <v>18</v>
      </c>
      <c r="C9">
        <v>41</v>
      </c>
      <c r="D9" s="19">
        <v>29620</v>
      </c>
      <c r="E9">
        <v>15</v>
      </c>
      <c r="F9">
        <v>3.3</v>
      </c>
      <c r="G9">
        <v>17</v>
      </c>
      <c r="H9">
        <v>26</v>
      </c>
      <c r="I9">
        <v>0</v>
      </c>
      <c r="J9">
        <v>3.5</v>
      </c>
      <c r="K9" t="s">
        <v>14</v>
      </c>
      <c r="L9" t="str">
        <f t="shared" si="0"/>
        <v>Medium</v>
      </c>
    </row>
    <row r="10" spans="1:12" ht="15" customHeight="1" x14ac:dyDescent="0.25">
      <c r="A10" t="s">
        <v>25</v>
      </c>
      <c r="B10" t="s">
        <v>16</v>
      </c>
      <c r="C10">
        <v>40</v>
      </c>
      <c r="D10" s="19">
        <v>22992</v>
      </c>
      <c r="E10">
        <v>9</v>
      </c>
      <c r="F10">
        <v>3</v>
      </c>
      <c r="G10">
        <v>48</v>
      </c>
      <c r="H10">
        <v>8</v>
      </c>
      <c r="I10">
        <v>9</v>
      </c>
      <c r="J10">
        <v>1.8</v>
      </c>
      <c r="K10" t="s">
        <v>26</v>
      </c>
      <c r="L10" t="str">
        <f t="shared" si="0"/>
        <v>High</v>
      </c>
    </row>
    <row r="11" spans="1:12" ht="15" customHeight="1" x14ac:dyDescent="0.25">
      <c r="A11" t="s">
        <v>27</v>
      </c>
      <c r="B11" t="s">
        <v>21</v>
      </c>
      <c r="C11">
        <v>44</v>
      </c>
      <c r="D11" s="19">
        <v>18344</v>
      </c>
      <c r="E11">
        <v>10</v>
      </c>
      <c r="F11">
        <v>5</v>
      </c>
      <c r="G11">
        <v>44</v>
      </c>
      <c r="H11">
        <v>30</v>
      </c>
      <c r="I11">
        <v>7</v>
      </c>
      <c r="J11">
        <v>2.2999999999999998</v>
      </c>
      <c r="K11" t="s">
        <v>14</v>
      </c>
      <c r="L11" t="str">
        <f t="shared" si="0"/>
        <v>Medium</v>
      </c>
    </row>
    <row r="12" spans="1:12" ht="15" customHeight="1" x14ac:dyDescent="0.25">
      <c r="A12" t="s">
        <v>28</v>
      </c>
      <c r="B12" t="s">
        <v>16</v>
      </c>
      <c r="C12">
        <v>33</v>
      </c>
      <c r="D12" s="19">
        <v>37752</v>
      </c>
      <c r="E12">
        <v>7</v>
      </c>
      <c r="F12">
        <v>3.6</v>
      </c>
      <c r="G12">
        <v>40</v>
      </c>
      <c r="H12">
        <v>30</v>
      </c>
      <c r="I12">
        <v>3</v>
      </c>
      <c r="J12">
        <v>4</v>
      </c>
      <c r="K12" t="s">
        <v>14</v>
      </c>
      <c r="L12" t="str">
        <f t="shared" si="0"/>
        <v>Medium</v>
      </c>
    </row>
    <row r="13" spans="1:12" ht="15" customHeight="1" x14ac:dyDescent="0.25">
      <c r="A13" t="s">
        <v>29</v>
      </c>
      <c r="B13" t="s">
        <v>21</v>
      </c>
      <c r="C13">
        <v>30</v>
      </c>
      <c r="D13" s="19">
        <v>21043</v>
      </c>
      <c r="E13">
        <v>8</v>
      </c>
      <c r="F13">
        <v>3</v>
      </c>
      <c r="G13">
        <v>8</v>
      </c>
      <c r="H13">
        <v>28</v>
      </c>
      <c r="I13">
        <v>4</v>
      </c>
      <c r="J13">
        <v>3.8</v>
      </c>
      <c r="K13" t="s">
        <v>14</v>
      </c>
      <c r="L13" t="str">
        <f t="shared" si="0"/>
        <v>Medium</v>
      </c>
    </row>
    <row r="14" spans="1:12" ht="15" customHeight="1" x14ac:dyDescent="0.25">
      <c r="A14" t="s">
        <v>30</v>
      </c>
      <c r="B14" t="s">
        <v>31</v>
      </c>
      <c r="C14">
        <v>30</v>
      </c>
      <c r="D14" s="19">
        <v>22372</v>
      </c>
      <c r="E14">
        <v>0</v>
      </c>
      <c r="F14">
        <v>2.7</v>
      </c>
      <c r="G14">
        <v>34</v>
      </c>
      <c r="H14">
        <v>35</v>
      </c>
      <c r="I14">
        <v>13</v>
      </c>
      <c r="J14">
        <v>3.8</v>
      </c>
      <c r="K14" t="s">
        <v>14</v>
      </c>
      <c r="L14" t="str">
        <f t="shared" si="0"/>
        <v>Medium</v>
      </c>
    </row>
    <row r="15" spans="1:12" ht="15" customHeight="1" x14ac:dyDescent="0.25">
      <c r="A15" t="s">
        <v>32</v>
      </c>
      <c r="B15" t="s">
        <v>16</v>
      </c>
      <c r="C15">
        <v>59</v>
      </c>
      <c r="D15" s="19">
        <v>25166</v>
      </c>
      <c r="E15">
        <v>9</v>
      </c>
      <c r="F15">
        <v>3.9</v>
      </c>
      <c r="G15">
        <v>50</v>
      </c>
      <c r="H15">
        <v>3</v>
      </c>
      <c r="I15">
        <v>6</v>
      </c>
      <c r="J15">
        <v>2.8</v>
      </c>
      <c r="K15" t="s">
        <v>14</v>
      </c>
      <c r="L15" t="str">
        <f t="shared" si="0"/>
        <v>Medium</v>
      </c>
    </row>
    <row r="16" spans="1:12" ht="15" customHeight="1" x14ac:dyDescent="0.25">
      <c r="A16" t="s">
        <v>33</v>
      </c>
      <c r="B16" t="s">
        <v>16</v>
      </c>
      <c r="C16">
        <v>36</v>
      </c>
      <c r="D16" s="19">
        <v>19357</v>
      </c>
      <c r="E16">
        <v>4</v>
      </c>
      <c r="F16">
        <v>3.3</v>
      </c>
      <c r="G16">
        <v>45</v>
      </c>
      <c r="H16">
        <v>26</v>
      </c>
      <c r="I16">
        <v>7</v>
      </c>
      <c r="J16">
        <v>4.3</v>
      </c>
      <c r="K16" t="s">
        <v>14</v>
      </c>
      <c r="L16" t="str">
        <f t="shared" si="0"/>
        <v>Medium</v>
      </c>
    </row>
    <row r="17" spans="1:12" ht="15" customHeight="1" x14ac:dyDescent="0.25">
      <c r="A17" t="s">
        <v>34</v>
      </c>
      <c r="B17" t="s">
        <v>13</v>
      </c>
      <c r="C17">
        <v>49</v>
      </c>
      <c r="D17" s="19">
        <v>36194</v>
      </c>
      <c r="E17">
        <v>3</v>
      </c>
      <c r="F17">
        <v>3.8</v>
      </c>
      <c r="G17">
        <v>21</v>
      </c>
      <c r="H17">
        <v>29</v>
      </c>
      <c r="I17">
        <v>5</v>
      </c>
      <c r="J17">
        <v>4.8</v>
      </c>
      <c r="K17" t="s">
        <v>14</v>
      </c>
      <c r="L17" t="str">
        <f t="shared" si="0"/>
        <v>Medium</v>
      </c>
    </row>
    <row r="18" spans="1:12" ht="15" customHeight="1" x14ac:dyDescent="0.25">
      <c r="A18" t="s">
        <v>35</v>
      </c>
      <c r="B18" t="s">
        <v>13</v>
      </c>
      <c r="C18">
        <v>58</v>
      </c>
      <c r="D18" s="19">
        <v>28577</v>
      </c>
      <c r="E18">
        <v>15</v>
      </c>
      <c r="F18">
        <v>2.9</v>
      </c>
      <c r="G18">
        <v>50</v>
      </c>
      <c r="H18">
        <v>24</v>
      </c>
      <c r="I18">
        <v>9</v>
      </c>
      <c r="J18">
        <v>2.2000000000000002</v>
      </c>
      <c r="K18" t="s">
        <v>14</v>
      </c>
      <c r="L18" t="str">
        <f t="shared" si="0"/>
        <v>Medium</v>
      </c>
    </row>
    <row r="19" spans="1:12" ht="15" customHeight="1" x14ac:dyDescent="0.25">
      <c r="A19" t="s">
        <v>36</v>
      </c>
      <c r="B19" t="s">
        <v>21</v>
      </c>
      <c r="C19">
        <v>32</v>
      </c>
      <c r="D19" s="19">
        <v>23545</v>
      </c>
      <c r="E19">
        <v>1</v>
      </c>
      <c r="F19">
        <v>3.1</v>
      </c>
      <c r="G19">
        <v>36</v>
      </c>
      <c r="H19">
        <v>3</v>
      </c>
      <c r="I19">
        <v>5</v>
      </c>
      <c r="J19">
        <v>2</v>
      </c>
      <c r="K19" t="s">
        <v>14</v>
      </c>
      <c r="L19" t="str">
        <f t="shared" si="0"/>
        <v>Medium</v>
      </c>
    </row>
    <row r="20" spans="1:12" ht="15" customHeight="1" x14ac:dyDescent="0.25">
      <c r="A20" t="s">
        <v>37</v>
      </c>
      <c r="B20" t="s">
        <v>18</v>
      </c>
      <c r="C20">
        <v>29</v>
      </c>
      <c r="D20" s="19">
        <v>18966</v>
      </c>
      <c r="E20">
        <v>2</v>
      </c>
      <c r="F20">
        <v>3.5</v>
      </c>
      <c r="G20">
        <v>25</v>
      </c>
      <c r="H20">
        <v>5</v>
      </c>
      <c r="I20">
        <v>0</v>
      </c>
      <c r="J20">
        <v>2.1</v>
      </c>
      <c r="K20" t="s">
        <v>14</v>
      </c>
      <c r="L20" t="str">
        <f t="shared" si="0"/>
        <v>Medium</v>
      </c>
    </row>
    <row r="21" spans="1:12" ht="15" customHeight="1" x14ac:dyDescent="0.25">
      <c r="A21" t="s">
        <v>38</v>
      </c>
      <c r="B21" t="s">
        <v>39</v>
      </c>
      <c r="C21">
        <v>24</v>
      </c>
      <c r="D21" s="19">
        <v>17539</v>
      </c>
      <c r="E21">
        <v>2</v>
      </c>
      <c r="F21">
        <v>4.0999999999999996</v>
      </c>
      <c r="G21">
        <v>17</v>
      </c>
      <c r="H21">
        <v>28</v>
      </c>
      <c r="I21">
        <v>10</v>
      </c>
      <c r="J21">
        <v>4.7</v>
      </c>
      <c r="K21" t="s">
        <v>14</v>
      </c>
      <c r="L21" t="str">
        <f t="shared" si="0"/>
        <v>Medium</v>
      </c>
    </row>
    <row r="22" spans="1:12" ht="15" customHeight="1" x14ac:dyDescent="0.25">
      <c r="A22" t="s">
        <v>40</v>
      </c>
      <c r="B22" t="s">
        <v>13</v>
      </c>
      <c r="C22">
        <v>36</v>
      </c>
      <c r="D22" s="19">
        <v>39127</v>
      </c>
      <c r="E22">
        <v>7</v>
      </c>
      <c r="F22">
        <v>3.2</v>
      </c>
      <c r="G22">
        <v>18</v>
      </c>
      <c r="H22">
        <v>9</v>
      </c>
      <c r="I22">
        <v>6</v>
      </c>
      <c r="J22">
        <v>3.9</v>
      </c>
      <c r="K22" t="s">
        <v>14</v>
      </c>
      <c r="L22" t="str">
        <f t="shared" si="0"/>
        <v>Low</v>
      </c>
    </row>
    <row r="23" spans="1:12" ht="15" customHeight="1" x14ac:dyDescent="0.25">
      <c r="A23" t="s">
        <v>41</v>
      </c>
      <c r="B23" t="s">
        <v>21</v>
      </c>
      <c r="C23">
        <v>46</v>
      </c>
      <c r="D23" s="19">
        <v>21064</v>
      </c>
      <c r="E23">
        <v>13</v>
      </c>
      <c r="F23">
        <v>3.3</v>
      </c>
      <c r="G23">
        <v>39</v>
      </c>
      <c r="H23">
        <v>4</v>
      </c>
      <c r="I23">
        <v>11</v>
      </c>
      <c r="J23">
        <v>3.7</v>
      </c>
      <c r="K23" t="s">
        <v>14</v>
      </c>
      <c r="L23" t="str">
        <f t="shared" si="0"/>
        <v>Low</v>
      </c>
    </row>
    <row r="24" spans="1:12" ht="15" customHeight="1" x14ac:dyDescent="0.25">
      <c r="A24" t="s">
        <v>42</v>
      </c>
      <c r="B24" t="s">
        <v>39</v>
      </c>
      <c r="C24">
        <v>52</v>
      </c>
      <c r="D24" s="19">
        <v>29444</v>
      </c>
      <c r="E24">
        <v>5</v>
      </c>
      <c r="F24">
        <v>3</v>
      </c>
      <c r="G24">
        <v>4</v>
      </c>
      <c r="H24">
        <v>18</v>
      </c>
      <c r="I24">
        <v>7</v>
      </c>
      <c r="J24">
        <v>3.3</v>
      </c>
      <c r="K24" t="s">
        <v>14</v>
      </c>
      <c r="L24" t="str">
        <f t="shared" si="0"/>
        <v>Low</v>
      </c>
    </row>
    <row r="25" spans="1:12" ht="15" customHeight="1" x14ac:dyDescent="0.25">
      <c r="A25" t="s">
        <v>43</v>
      </c>
      <c r="B25" t="s">
        <v>13</v>
      </c>
      <c r="C25">
        <v>59</v>
      </c>
      <c r="D25" s="19">
        <v>28960</v>
      </c>
      <c r="E25">
        <v>12</v>
      </c>
      <c r="F25">
        <v>4.2</v>
      </c>
      <c r="G25">
        <v>11</v>
      </c>
      <c r="H25">
        <v>18</v>
      </c>
      <c r="I25">
        <v>2</v>
      </c>
      <c r="J25">
        <v>3.7</v>
      </c>
      <c r="K25" t="s">
        <v>14</v>
      </c>
      <c r="L25" t="str">
        <f t="shared" si="0"/>
        <v>Low</v>
      </c>
    </row>
    <row r="26" spans="1:12" ht="15" customHeight="1" x14ac:dyDescent="0.25">
      <c r="A26" t="s">
        <v>44</v>
      </c>
      <c r="B26" t="s">
        <v>31</v>
      </c>
      <c r="C26">
        <v>53</v>
      </c>
      <c r="D26" s="19">
        <v>18348</v>
      </c>
      <c r="E26">
        <v>3</v>
      </c>
      <c r="F26">
        <v>3.3</v>
      </c>
      <c r="G26">
        <v>16</v>
      </c>
      <c r="H26">
        <v>19</v>
      </c>
      <c r="I26">
        <v>0</v>
      </c>
      <c r="J26">
        <v>4.0999999999999996</v>
      </c>
      <c r="K26" t="s">
        <v>14</v>
      </c>
      <c r="L26" t="str">
        <f t="shared" si="0"/>
        <v>Low</v>
      </c>
    </row>
    <row r="27" spans="1:12" ht="15" customHeight="1" x14ac:dyDescent="0.25">
      <c r="A27" t="s">
        <v>45</v>
      </c>
      <c r="B27" t="s">
        <v>16</v>
      </c>
      <c r="C27">
        <v>44</v>
      </c>
      <c r="D27" s="19">
        <v>26530</v>
      </c>
      <c r="E27">
        <v>6</v>
      </c>
      <c r="F27">
        <v>2.4</v>
      </c>
      <c r="G27">
        <v>36</v>
      </c>
      <c r="H27">
        <v>1</v>
      </c>
      <c r="I27">
        <v>5</v>
      </c>
      <c r="J27">
        <v>4</v>
      </c>
      <c r="K27" t="s">
        <v>14</v>
      </c>
      <c r="L27" t="str">
        <f t="shared" si="0"/>
        <v>Low</v>
      </c>
    </row>
    <row r="28" spans="1:12" ht="15" customHeight="1" x14ac:dyDescent="0.25">
      <c r="A28" t="s">
        <v>46</v>
      </c>
      <c r="B28" t="s">
        <v>16</v>
      </c>
      <c r="C28">
        <v>34</v>
      </c>
      <c r="D28" s="19">
        <v>31732</v>
      </c>
      <c r="E28">
        <v>12</v>
      </c>
      <c r="F28">
        <v>3</v>
      </c>
      <c r="G28">
        <v>35</v>
      </c>
      <c r="H28">
        <v>30</v>
      </c>
      <c r="I28">
        <v>5</v>
      </c>
      <c r="J28">
        <v>2.7</v>
      </c>
      <c r="K28" t="s">
        <v>14</v>
      </c>
      <c r="L28" t="str">
        <f t="shared" si="0"/>
        <v>Medium</v>
      </c>
    </row>
    <row r="29" spans="1:12" ht="15" customHeight="1" x14ac:dyDescent="0.25">
      <c r="A29" t="s">
        <v>47</v>
      </c>
      <c r="B29" t="s">
        <v>13</v>
      </c>
      <c r="C29">
        <v>25</v>
      </c>
      <c r="D29" s="19">
        <v>18008</v>
      </c>
      <c r="E29">
        <v>8</v>
      </c>
      <c r="F29">
        <v>3.2</v>
      </c>
      <c r="G29">
        <v>4</v>
      </c>
      <c r="H29">
        <v>19</v>
      </c>
      <c r="I29">
        <v>0</v>
      </c>
      <c r="J29">
        <v>3.9</v>
      </c>
      <c r="K29" t="s">
        <v>14</v>
      </c>
      <c r="L29" t="str">
        <f t="shared" si="0"/>
        <v>Low</v>
      </c>
    </row>
    <row r="30" spans="1:12" ht="15" customHeight="1" x14ac:dyDescent="0.25">
      <c r="A30" t="s">
        <v>48</v>
      </c>
      <c r="B30" t="s">
        <v>18</v>
      </c>
      <c r="C30">
        <v>24</v>
      </c>
      <c r="D30" s="19">
        <v>26060</v>
      </c>
      <c r="E30">
        <v>2</v>
      </c>
      <c r="F30">
        <v>3.2</v>
      </c>
      <c r="G30">
        <v>23</v>
      </c>
      <c r="H30">
        <v>2</v>
      </c>
      <c r="I30">
        <v>12</v>
      </c>
      <c r="J30">
        <v>4</v>
      </c>
      <c r="K30" t="s">
        <v>14</v>
      </c>
      <c r="L30" t="str">
        <f t="shared" si="0"/>
        <v>Low</v>
      </c>
    </row>
    <row r="31" spans="1:12" ht="15" customHeight="1" x14ac:dyDescent="0.25">
      <c r="A31" t="s">
        <v>49</v>
      </c>
      <c r="B31" t="s">
        <v>13</v>
      </c>
      <c r="C31">
        <v>28</v>
      </c>
      <c r="D31" s="19">
        <v>33614</v>
      </c>
      <c r="E31">
        <v>7</v>
      </c>
      <c r="F31">
        <v>3</v>
      </c>
      <c r="G31">
        <v>33</v>
      </c>
      <c r="H31">
        <v>35</v>
      </c>
      <c r="I31">
        <v>6</v>
      </c>
      <c r="J31">
        <v>3.6</v>
      </c>
      <c r="K31" t="s">
        <v>14</v>
      </c>
      <c r="L31" t="str">
        <f t="shared" si="0"/>
        <v>Medium</v>
      </c>
    </row>
    <row r="32" spans="1:12" ht="15" customHeight="1" x14ac:dyDescent="0.25">
      <c r="A32" t="s">
        <v>50</v>
      </c>
      <c r="B32" t="s">
        <v>18</v>
      </c>
      <c r="C32">
        <v>30</v>
      </c>
      <c r="D32" s="19">
        <v>21060</v>
      </c>
      <c r="E32">
        <v>1</v>
      </c>
      <c r="F32">
        <v>1.9</v>
      </c>
      <c r="G32">
        <v>30</v>
      </c>
      <c r="H32">
        <v>11</v>
      </c>
      <c r="I32">
        <v>6</v>
      </c>
      <c r="J32">
        <v>4.5999999999999996</v>
      </c>
      <c r="K32" t="s">
        <v>26</v>
      </c>
      <c r="L32" t="str">
        <f t="shared" si="0"/>
        <v>High</v>
      </c>
    </row>
    <row r="33" spans="1:12" ht="15" customHeight="1" x14ac:dyDescent="0.25">
      <c r="A33" t="s">
        <v>51</v>
      </c>
      <c r="B33" t="s">
        <v>18</v>
      </c>
      <c r="C33">
        <v>38</v>
      </c>
      <c r="D33" s="19">
        <v>23226</v>
      </c>
      <c r="E33">
        <v>0</v>
      </c>
      <c r="F33">
        <v>3.2</v>
      </c>
      <c r="G33">
        <v>46</v>
      </c>
      <c r="H33">
        <v>17</v>
      </c>
      <c r="I33">
        <v>9</v>
      </c>
      <c r="J33">
        <v>3.3</v>
      </c>
      <c r="K33" t="s">
        <v>14</v>
      </c>
      <c r="L33" t="str">
        <f t="shared" si="0"/>
        <v>Medium</v>
      </c>
    </row>
    <row r="34" spans="1:12" ht="15" customHeight="1" x14ac:dyDescent="0.25">
      <c r="A34" t="s">
        <v>52</v>
      </c>
      <c r="B34" t="s">
        <v>18</v>
      </c>
      <c r="C34">
        <v>23</v>
      </c>
      <c r="D34" s="19">
        <v>28265</v>
      </c>
      <c r="E34">
        <v>1</v>
      </c>
      <c r="F34">
        <v>3.3</v>
      </c>
      <c r="G34">
        <v>27</v>
      </c>
      <c r="H34">
        <v>29</v>
      </c>
      <c r="I34">
        <v>8</v>
      </c>
      <c r="J34">
        <v>3.9</v>
      </c>
      <c r="K34" t="s">
        <v>14</v>
      </c>
      <c r="L34" t="str">
        <f t="shared" si="0"/>
        <v>Medium</v>
      </c>
    </row>
    <row r="35" spans="1:12" ht="15" customHeight="1" x14ac:dyDescent="0.25">
      <c r="A35" t="s">
        <v>53</v>
      </c>
      <c r="B35" t="s">
        <v>16</v>
      </c>
      <c r="C35">
        <v>56</v>
      </c>
      <c r="D35" s="19">
        <v>29509</v>
      </c>
      <c r="E35">
        <v>13</v>
      </c>
      <c r="F35">
        <v>2.5</v>
      </c>
      <c r="G35">
        <v>15</v>
      </c>
      <c r="H35">
        <v>25</v>
      </c>
      <c r="I35">
        <v>0</v>
      </c>
      <c r="J35">
        <v>5</v>
      </c>
      <c r="K35" t="s">
        <v>14</v>
      </c>
      <c r="L35" t="str">
        <f t="shared" si="0"/>
        <v>Medium</v>
      </c>
    </row>
    <row r="36" spans="1:12" ht="15" customHeight="1" x14ac:dyDescent="0.25">
      <c r="A36" t="s">
        <v>54</v>
      </c>
      <c r="B36" t="s">
        <v>13</v>
      </c>
      <c r="C36">
        <v>52</v>
      </c>
      <c r="D36" s="19">
        <v>31363</v>
      </c>
      <c r="E36">
        <v>8</v>
      </c>
      <c r="F36">
        <v>3.9</v>
      </c>
      <c r="G36">
        <v>26</v>
      </c>
      <c r="H36">
        <v>29</v>
      </c>
      <c r="I36">
        <v>4</v>
      </c>
      <c r="J36">
        <v>2.2999999999999998</v>
      </c>
      <c r="K36" t="s">
        <v>14</v>
      </c>
      <c r="L36" t="str">
        <f t="shared" si="0"/>
        <v>Medium</v>
      </c>
    </row>
    <row r="37" spans="1:12" ht="15" customHeight="1" x14ac:dyDescent="0.25">
      <c r="A37" t="s">
        <v>55</v>
      </c>
      <c r="B37" t="s">
        <v>18</v>
      </c>
      <c r="C37">
        <v>42</v>
      </c>
      <c r="D37" s="19">
        <v>30592</v>
      </c>
      <c r="E37">
        <v>5</v>
      </c>
      <c r="F37">
        <v>3.7</v>
      </c>
      <c r="G37">
        <v>40</v>
      </c>
      <c r="H37">
        <v>8</v>
      </c>
      <c r="I37">
        <v>13</v>
      </c>
      <c r="J37">
        <v>3.2</v>
      </c>
      <c r="K37" t="s">
        <v>14</v>
      </c>
      <c r="L37" t="str">
        <f t="shared" si="0"/>
        <v>Low</v>
      </c>
    </row>
    <row r="38" spans="1:12" ht="15" customHeight="1" x14ac:dyDescent="0.25">
      <c r="A38" t="s">
        <v>56</v>
      </c>
      <c r="B38" t="s">
        <v>21</v>
      </c>
      <c r="C38">
        <v>26</v>
      </c>
      <c r="D38" s="19">
        <v>21912</v>
      </c>
      <c r="E38">
        <v>3</v>
      </c>
      <c r="F38">
        <v>2.9</v>
      </c>
      <c r="G38">
        <v>39</v>
      </c>
      <c r="H38">
        <v>10</v>
      </c>
      <c r="I38">
        <v>5</v>
      </c>
      <c r="J38">
        <v>3.3</v>
      </c>
      <c r="K38" t="s">
        <v>14</v>
      </c>
      <c r="L38" t="str">
        <f t="shared" si="0"/>
        <v>Low</v>
      </c>
    </row>
    <row r="39" spans="1:12" ht="15" customHeight="1" x14ac:dyDescent="0.25">
      <c r="A39" t="s">
        <v>57</v>
      </c>
      <c r="B39" t="s">
        <v>21</v>
      </c>
      <c r="C39">
        <v>28</v>
      </c>
      <c r="D39" s="19">
        <v>21985</v>
      </c>
      <c r="E39">
        <v>12</v>
      </c>
      <c r="F39">
        <v>2.2000000000000002</v>
      </c>
      <c r="G39">
        <v>18</v>
      </c>
      <c r="H39">
        <v>22</v>
      </c>
      <c r="I39">
        <v>6</v>
      </c>
      <c r="J39">
        <v>2</v>
      </c>
      <c r="K39" t="s">
        <v>14</v>
      </c>
      <c r="L39" t="str">
        <f t="shared" si="0"/>
        <v>Medium</v>
      </c>
    </row>
    <row r="40" spans="1:12" ht="15" customHeight="1" x14ac:dyDescent="0.25">
      <c r="A40" t="s">
        <v>58</v>
      </c>
      <c r="B40" t="s">
        <v>13</v>
      </c>
      <c r="C40">
        <v>50</v>
      </c>
      <c r="D40" s="19">
        <v>40739</v>
      </c>
      <c r="E40">
        <v>3</v>
      </c>
      <c r="F40">
        <v>1.6</v>
      </c>
      <c r="G40">
        <v>48</v>
      </c>
      <c r="H40">
        <v>19</v>
      </c>
      <c r="I40">
        <v>6</v>
      </c>
      <c r="J40">
        <v>3.4</v>
      </c>
      <c r="K40" t="s">
        <v>14</v>
      </c>
      <c r="L40" t="str">
        <f t="shared" si="0"/>
        <v>Low</v>
      </c>
    </row>
    <row r="41" spans="1:12" ht="15" customHeight="1" x14ac:dyDescent="0.25">
      <c r="A41" t="s">
        <v>59</v>
      </c>
      <c r="B41" t="s">
        <v>39</v>
      </c>
      <c r="C41">
        <v>27</v>
      </c>
      <c r="D41" s="19">
        <v>19846</v>
      </c>
      <c r="E41">
        <v>6</v>
      </c>
      <c r="F41">
        <v>4.2</v>
      </c>
      <c r="G41">
        <v>15</v>
      </c>
      <c r="H41">
        <v>4</v>
      </c>
      <c r="I41">
        <v>10</v>
      </c>
      <c r="J41">
        <v>3.8</v>
      </c>
      <c r="K41" t="s">
        <v>14</v>
      </c>
      <c r="L41" t="str">
        <f t="shared" si="0"/>
        <v>Low</v>
      </c>
    </row>
    <row r="42" spans="1:12" ht="15" customHeight="1" x14ac:dyDescent="0.25">
      <c r="A42" t="s">
        <v>60</v>
      </c>
      <c r="B42" t="s">
        <v>16</v>
      </c>
      <c r="C42">
        <v>46</v>
      </c>
      <c r="D42" s="19">
        <v>28837</v>
      </c>
      <c r="E42">
        <v>6</v>
      </c>
      <c r="F42">
        <v>3</v>
      </c>
      <c r="G42">
        <v>34</v>
      </c>
      <c r="H42">
        <v>2</v>
      </c>
      <c r="I42">
        <v>11</v>
      </c>
      <c r="J42">
        <v>2.2999999999999998</v>
      </c>
      <c r="K42" t="s">
        <v>14</v>
      </c>
      <c r="L42" t="str">
        <f t="shared" si="0"/>
        <v>Medium</v>
      </c>
    </row>
    <row r="43" spans="1:12" ht="15" customHeight="1" x14ac:dyDescent="0.25">
      <c r="A43" t="s">
        <v>61</v>
      </c>
      <c r="B43" t="s">
        <v>16</v>
      </c>
      <c r="C43">
        <v>22</v>
      </c>
      <c r="D43" s="19">
        <v>34518</v>
      </c>
      <c r="E43">
        <v>3</v>
      </c>
      <c r="F43">
        <v>1.4</v>
      </c>
      <c r="G43">
        <v>31</v>
      </c>
      <c r="H43">
        <v>22</v>
      </c>
      <c r="I43">
        <v>12</v>
      </c>
      <c r="J43">
        <v>3</v>
      </c>
      <c r="K43" t="s">
        <v>14</v>
      </c>
      <c r="L43" t="str">
        <f t="shared" si="0"/>
        <v>Medium</v>
      </c>
    </row>
    <row r="44" spans="1:12" ht="15" customHeight="1" x14ac:dyDescent="0.25">
      <c r="A44" t="s">
        <v>62</v>
      </c>
      <c r="B44" t="s">
        <v>21</v>
      </c>
      <c r="C44">
        <v>23</v>
      </c>
      <c r="D44" s="19">
        <v>17131</v>
      </c>
      <c r="E44">
        <v>2</v>
      </c>
      <c r="F44">
        <v>3.4</v>
      </c>
      <c r="G44">
        <v>44</v>
      </c>
      <c r="H44">
        <v>6</v>
      </c>
      <c r="I44">
        <v>14</v>
      </c>
      <c r="J44">
        <v>2</v>
      </c>
      <c r="K44" t="s">
        <v>14</v>
      </c>
      <c r="L44" t="str">
        <f t="shared" si="0"/>
        <v>Medium</v>
      </c>
    </row>
    <row r="45" spans="1:12" ht="15" customHeight="1" x14ac:dyDescent="0.25">
      <c r="A45" t="s">
        <v>63</v>
      </c>
      <c r="B45" t="s">
        <v>21</v>
      </c>
      <c r="C45">
        <v>23</v>
      </c>
      <c r="D45" s="19">
        <v>25733</v>
      </c>
      <c r="E45">
        <v>6</v>
      </c>
      <c r="F45">
        <v>3.8</v>
      </c>
      <c r="G45">
        <v>43</v>
      </c>
      <c r="H45">
        <v>26</v>
      </c>
      <c r="I45">
        <v>11</v>
      </c>
      <c r="J45">
        <v>4.2</v>
      </c>
      <c r="K45" t="s">
        <v>14</v>
      </c>
      <c r="L45" t="str">
        <f t="shared" si="0"/>
        <v>Medium</v>
      </c>
    </row>
    <row r="46" spans="1:12" ht="15" customHeight="1" x14ac:dyDescent="0.25">
      <c r="A46" t="s">
        <v>64</v>
      </c>
      <c r="B46" t="s">
        <v>31</v>
      </c>
      <c r="C46">
        <v>22</v>
      </c>
      <c r="D46" s="19">
        <v>19588</v>
      </c>
      <c r="E46">
        <v>8</v>
      </c>
      <c r="F46">
        <v>3.1</v>
      </c>
      <c r="G46">
        <v>38</v>
      </c>
      <c r="H46">
        <v>3</v>
      </c>
      <c r="I46">
        <v>2</v>
      </c>
      <c r="J46">
        <v>3.4</v>
      </c>
      <c r="K46" t="s">
        <v>14</v>
      </c>
      <c r="L46" t="str">
        <f t="shared" si="0"/>
        <v>Low</v>
      </c>
    </row>
    <row r="47" spans="1:12" ht="15" customHeight="1" x14ac:dyDescent="0.25">
      <c r="A47" t="s">
        <v>65</v>
      </c>
      <c r="B47" t="s">
        <v>13</v>
      </c>
      <c r="C47">
        <v>49</v>
      </c>
      <c r="D47" s="19">
        <v>23332</v>
      </c>
      <c r="E47">
        <v>13</v>
      </c>
      <c r="F47">
        <v>3.8</v>
      </c>
      <c r="G47">
        <v>11</v>
      </c>
      <c r="H47">
        <v>9</v>
      </c>
      <c r="I47">
        <v>8</v>
      </c>
      <c r="J47">
        <v>3.3</v>
      </c>
      <c r="K47" t="s">
        <v>14</v>
      </c>
      <c r="L47" t="str">
        <f t="shared" si="0"/>
        <v>Low</v>
      </c>
    </row>
    <row r="48" spans="1:12" ht="15" customHeight="1" x14ac:dyDescent="0.25">
      <c r="A48" t="s">
        <v>66</v>
      </c>
      <c r="B48" t="s">
        <v>13</v>
      </c>
      <c r="C48">
        <v>21</v>
      </c>
      <c r="D48" s="19">
        <v>39426</v>
      </c>
      <c r="E48">
        <v>9</v>
      </c>
      <c r="F48">
        <v>3.7</v>
      </c>
      <c r="G48">
        <v>47</v>
      </c>
      <c r="H48">
        <v>31</v>
      </c>
      <c r="I48">
        <v>9</v>
      </c>
      <c r="J48">
        <v>3.5</v>
      </c>
      <c r="K48" t="s">
        <v>14</v>
      </c>
      <c r="L48" t="str">
        <f t="shared" si="0"/>
        <v>Medium</v>
      </c>
    </row>
    <row r="49" spans="1:12" ht="15" customHeight="1" x14ac:dyDescent="0.25">
      <c r="A49" t="s">
        <v>67</v>
      </c>
      <c r="B49" t="s">
        <v>18</v>
      </c>
      <c r="C49">
        <v>27</v>
      </c>
      <c r="D49" s="19">
        <v>19388</v>
      </c>
      <c r="E49">
        <v>0</v>
      </c>
      <c r="F49">
        <v>4.3</v>
      </c>
      <c r="G49">
        <v>32</v>
      </c>
      <c r="H49">
        <v>31</v>
      </c>
      <c r="I49">
        <v>2</v>
      </c>
      <c r="J49">
        <v>4.4000000000000004</v>
      </c>
      <c r="K49" t="s">
        <v>26</v>
      </c>
      <c r="L49" t="str">
        <f t="shared" si="0"/>
        <v>High</v>
      </c>
    </row>
    <row r="50" spans="1:12" ht="15" customHeight="1" x14ac:dyDescent="0.25">
      <c r="A50" t="s">
        <v>68</v>
      </c>
      <c r="B50" t="s">
        <v>39</v>
      </c>
      <c r="C50">
        <v>44</v>
      </c>
      <c r="D50" s="19">
        <v>15549</v>
      </c>
      <c r="E50">
        <v>13</v>
      </c>
      <c r="F50">
        <v>2.6</v>
      </c>
      <c r="G50">
        <v>8</v>
      </c>
      <c r="H50">
        <v>5</v>
      </c>
      <c r="I50">
        <v>5</v>
      </c>
      <c r="J50">
        <v>3.2</v>
      </c>
      <c r="K50" t="s">
        <v>14</v>
      </c>
      <c r="L50" t="str">
        <f t="shared" si="0"/>
        <v>Low</v>
      </c>
    </row>
    <row r="51" spans="1:12" ht="15" customHeight="1" x14ac:dyDescent="0.25">
      <c r="A51" t="s">
        <v>69</v>
      </c>
      <c r="B51" t="s">
        <v>21</v>
      </c>
      <c r="C51">
        <v>53</v>
      </c>
      <c r="D51" s="19">
        <v>13395</v>
      </c>
      <c r="E51">
        <v>5</v>
      </c>
      <c r="F51">
        <v>5</v>
      </c>
      <c r="G51">
        <v>46</v>
      </c>
      <c r="H51">
        <v>12</v>
      </c>
      <c r="I51">
        <v>0</v>
      </c>
      <c r="J51">
        <v>4.4000000000000004</v>
      </c>
      <c r="K51" t="s">
        <v>14</v>
      </c>
      <c r="L51" t="str">
        <f t="shared" si="0"/>
        <v>Low</v>
      </c>
    </row>
    <row r="52" spans="1:12" ht="15" customHeight="1" x14ac:dyDescent="0.25">
      <c r="A52" t="s">
        <v>70</v>
      </c>
      <c r="B52" t="s">
        <v>16</v>
      </c>
      <c r="C52">
        <v>51</v>
      </c>
      <c r="D52" s="19">
        <v>25078</v>
      </c>
      <c r="E52">
        <v>1</v>
      </c>
      <c r="F52">
        <v>3.5</v>
      </c>
      <c r="G52">
        <v>12</v>
      </c>
      <c r="H52">
        <v>25</v>
      </c>
      <c r="I52">
        <v>8</v>
      </c>
      <c r="J52">
        <v>3.7</v>
      </c>
      <c r="K52" t="s">
        <v>14</v>
      </c>
      <c r="L52" t="str">
        <f t="shared" si="0"/>
        <v>Medium</v>
      </c>
    </row>
    <row r="53" spans="1:12" ht="15" customHeight="1" x14ac:dyDescent="0.25">
      <c r="A53" t="s">
        <v>71</v>
      </c>
      <c r="B53" t="s">
        <v>18</v>
      </c>
      <c r="C53">
        <v>54</v>
      </c>
      <c r="D53" s="19">
        <v>22712</v>
      </c>
      <c r="E53">
        <v>10</v>
      </c>
      <c r="F53">
        <v>3.4</v>
      </c>
      <c r="G53">
        <v>19</v>
      </c>
      <c r="H53">
        <v>30</v>
      </c>
      <c r="I53">
        <v>7</v>
      </c>
      <c r="J53">
        <v>2.8</v>
      </c>
      <c r="K53" t="s">
        <v>14</v>
      </c>
      <c r="L53" t="str">
        <f t="shared" si="0"/>
        <v>Medium</v>
      </c>
    </row>
    <row r="54" spans="1:12" ht="15" customHeight="1" x14ac:dyDescent="0.25">
      <c r="A54" t="s">
        <v>72</v>
      </c>
      <c r="B54" t="s">
        <v>21</v>
      </c>
      <c r="C54">
        <v>34</v>
      </c>
      <c r="D54" s="19">
        <v>22060</v>
      </c>
      <c r="E54">
        <v>2</v>
      </c>
      <c r="F54">
        <v>3.7</v>
      </c>
      <c r="G54">
        <v>36</v>
      </c>
      <c r="H54">
        <v>9</v>
      </c>
      <c r="I54">
        <v>8</v>
      </c>
      <c r="J54">
        <v>3.6</v>
      </c>
      <c r="K54" t="s">
        <v>14</v>
      </c>
      <c r="L54" t="str">
        <f t="shared" si="0"/>
        <v>Low</v>
      </c>
    </row>
    <row r="55" spans="1:12" ht="15" customHeight="1" x14ac:dyDescent="0.25">
      <c r="A55" t="s">
        <v>73</v>
      </c>
      <c r="B55" t="s">
        <v>18</v>
      </c>
      <c r="C55">
        <v>57</v>
      </c>
      <c r="D55" s="19">
        <v>19397</v>
      </c>
      <c r="E55">
        <v>7</v>
      </c>
      <c r="F55">
        <v>3.2</v>
      </c>
      <c r="G55">
        <v>20</v>
      </c>
      <c r="H55">
        <v>26</v>
      </c>
      <c r="I55">
        <v>10</v>
      </c>
      <c r="J55">
        <v>3.8</v>
      </c>
      <c r="K55" t="s">
        <v>14</v>
      </c>
      <c r="L55" t="str">
        <f t="shared" si="0"/>
        <v>Medium</v>
      </c>
    </row>
    <row r="56" spans="1:12" ht="15" customHeight="1" x14ac:dyDescent="0.25">
      <c r="A56" t="s">
        <v>74</v>
      </c>
      <c r="B56" t="s">
        <v>21</v>
      </c>
      <c r="C56">
        <v>22</v>
      </c>
      <c r="D56" s="19">
        <v>19402</v>
      </c>
      <c r="E56">
        <v>7</v>
      </c>
      <c r="F56">
        <v>3.4</v>
      </c>
      <c r="G56">
        <v>43</v>
      </c>
      <c r="H56">
        <v>32</v>
      </c>
      <c r="I56">
        <v>4</v>
      </c>
      <c r="J56">
        <v>4.4000000000000004</v>
      </c>
      <c r="K56" t="s">
        <v>14</v>
      </c>
      <c r="L56" t="str">
        <f t="shared" si="0"/>
        <v>Medium</v>
      </c>
    </row>
    <row r="57" spans="1:12" ht="15" customHeight="1" x14ac:dyDescent="0.25">
      <c r="A57" t="s">
        <v>75</v>
      </c>
      <c r="B57" t="s">
        <v>13</v>
      </c>
      <c r="C57">
        <v>36</v>
      </c>
      <c r="D57" s="19">
        <v>27424</v>
      </c>
      <c r="E57">
        <v>0</v>
      </c>
      <c r="F57">
        <v>2.7</v>
      </c>
      <c r="G57">
        <v>30</v>
      </c>
      <c r="H57">
        <v>4</v>
      </c>
      <c r="I57">
        <v>0</v>
      </c>
      <c r="J57">
        <v>2.9</v>
      </c>
      <c r="K57" t="s">
        <v>14</v>
      </c>
      <c r="L57" t="str">
        <f t="shared" si="0"/>
        <v>Medium</v>
      </c>
    </row>
    <row r="58" spans="1:12" ht="15" customHeight="1" x14ac:dyDescent="0.25">
      <c r="A58" t="s">
        <v>76</v>
      </c>
      <c r="B58" t="s">
        <v>31</v>
      </c>
      <c r="C58">
        <v>23</v>
      </c>
      <c r="D58" s="19">
        <v>22652</v>
      </c>
      <c r="E58">
        <v>10</v>
      </c>
      <c r="F58">
        <v>3.1</v>
      </c>
      <c r="G58">
        <v>24</v>
      </c>
      <c r="H58">
        <v>19</v>
      </c>
      <c r="I58">
        <v>11</v>
      </c>
      <c r="J58">
        <v>4</v>
      </c>
      <c r="K58" t="s">
        <v>14</v>
      </c>
      <c r="L58" t="str">
        <f t="shared" si="0"/>
        <v>Low</v>
      </c>
    </row>
    <row r="59" spans="1:12" ht="15" customHeight="1" x14ac:dyDescent="0.25">
      <c r="A59" t="s">
        <v>77</v>
      </c>
      <c r="B59" t="s">
        <v>31</v>
      </c>
      <c r="C59">
        <v>58</v>
      </c>
      <c r="D59" s="19">
        <v>20022</v>
      </c>
      <c r="E59">
        <v>10</v>
      </c>
      <c r="F59">
        <v>2.7</v>
      </c>
      <c r="G59">
        <v>38</v>
      </c>
      <c r="H59">
        <v>33</v>
      </c>
      <c r="I59">
        <v>5</v>
      </c>
      <c r="J59">
        <v>3.2</v>
      </c>
      <c r="K59" t="s">
        <v>14</v>
      </c>
      <c r="L59" t="str">
        <f t="shared" si="0"/>
        <v>Medium</v>
      </c>
    </row>
    <row r="60" spans="1:12" ht="15" customHeight="1" x14ac:dyDescent="0.25">
      <c r="A60" t="s">
        <v>78</v>
      </c>
      <c r="B60" t="s">
        <v>16</v>
      </c>
      <c r="C60">
        <v>39</v>
      </c>
      <c r="D60" s="19">
        <v>29258</v>
      </c>
      <c r="E60">
        <v>6</v>
      </c>
      <c r="F60">
        <v>3</v>
      </c>
      <c r="G60">
        <v>25</v>
      </c>
      <c r="H60">
        <v>33</v>
      </c>
      <c r="I60">
        <v>9</v>
      </c>
      <c r="J60">
        <v>3.1</v>
      </c>
      <c r="K60" t="s">
        <v>14</v>
      </c>
      <c r="L60" t="str">
        <f t="shared" si="0"/>
        <v>Medium</v>
      </c>
    </row>
    <row r="61" spans="1:12" ht="15" customHeight="1" x14ac:dyDescent="0.25">
      <c r="A61" t="s">
        <v>79</v>
      </c>
      <c r="B61" t="s">
        <v>31</v>
      </c>
      <c r="C61">
        <v>33</v>
      </c>
      <c r="D61" s="19">
        <v>23239</v>
      </c>
      <c r="E61">
        <v>11</v>
      </c>
      <c r="F61">
        <v>2.8</v>
      </c>
      <c r="G61">
        <v>49</v>
      </c>
      <c r="H61">
        <v>34</v>
      </c>
      <c r="I61">
        <v>3</v>
      </c>
      <c r="J61">
        <v>3.2</v>
      </c>
      <c r="K61" t="s">
        <v>14</v>
      </c>
      <c r="L61" t="str">
        <f t="shared" si="0"/>
        <v>Medium</v>
      </c>
    </row>
    <row r="62" spans="1:12" ht="15" customHeight="1" x14ac:dyDescent="0.25">
      <c r="A62" t="s">
        <v>80</v>
      </c>
      <c r="B62" t="s">
        <v>39</v>
      </c>
      <c r="C62">
        <v>32</v>
      </c>
      <c r="D62" s="19">
        <v>19047</v>
      </c>
      <c r="E62">
        <v>10</v>
      </c>
      <c r="F62">
        <v>3.9</v>
      </c>
      <c r="G62">
        <v>35</v>
      </c>
      <c r="H62">
        <v>23</v>
      </c>
      <c r="I62">
        <v>11</v>
      </c>
      <c r="J62">
        <v>3.4</v>
      </c>
      <c r="K62" t="s">
        <v>14</v>
      </c>
      <c r="L62" t="str">
        <f t="shared" si="0"/>
        <v>Medium</v>
      </c>
    </row>
    <row r="63" spans="1:12" ht="15" customHeight="1" x14ac:dyDescent="0.25">
      <c r="A63" t="s">
        <v>81</v>
      </c>
      <c r="B63" t="s">
        <v>39</v>
      </c>
      <c r="C63">
        <v>50</v>
      </c>
      <c r="D63" s="19">
        <v>24928</v>
      </c>
      <c r="E63">
        <v>8</v>
      </c>
      <c r="F63">
        <v>4.3</v>
      </c>
      <c r="G63">
        <v>11</v>
      </c>
      <c r="H63">
        <v>24</v>
      </c>
      <c r="I63">
        <v>10</v>
      </c>
      <c r="J63">
        <v>1</v>
      </c>
      <c r="K63" t="s">
        <v>26</v>
      </c>
      <c r="L63" t="str">
        <f t="shared" si="0"/>
        <v>High</v>
      </c>
    </row>
    <row r="64" spans="1:12" ht="15" customHeight="1" x14ac:dyDescent="0.25">
      <c r="A64" t="s">
        <v>82</v>
      </c>
      <c r="B64" t="s">
        <v>13</v>
      </c>
      <c r="C64">
        <v>37</v>
      </c>
      <c r="D64" s="19">
        <v>32901</v>
      </c>
      <c r="E64">
        <v>13</v>
      </c>
      <c r="F64">
        <v>3.5</v>
      </c>
      <c r="G64">
        <v>31</v>
      </c>
      <c r="H64">
        <v>31</v>
      </c>
      <c r="I64">
        <v>7</v>
      </c>
      <c r="J64">
        <v>2.6</v>
      </c>
      <c r="K64" t="s">
        <v>14</v>
      </c>
      <c r="L64" t="str">
        <f t="shared" si="0"/>
        <v>Medium</v>
      </c>
    </row>
    <row r="65" spans="1:12" ht="15" customHeight="1" x14ac:dyDescent="0.25">
      <c r="A65" t="s">
        <v>83</v>
      </c>
      <c r="B65" t="s">
        <v>18</v>
      </c>
      <c r="C65">
        <v>29</v>
      </c>
      <c r="D65" s="19">
        <v>19934</v>
      </c>
      <c r="E65">
        <v>1</v>
      </c>
      <c r="F65">
        <v>2.9</v>
      </c>
      <c r="G65">
        <v>8</v>
      </c>
      <c r="H65">
        <v>17</v>
      </c>
      <c r="I65">
        <v>10</v>
      </c>
      <c r="J65">
        <v>4.0999999999999996</v>
      </c>
      <c r="K65" t="s">
        <v>26</v>
      </c>
      <c r="L65" t="str">
        <f t="shared" si="0"/>
        <v>High</v>
      </c>
    </row>
    <row r="66" spans="1:12" ht="15" customHeight="1" x14ac:dyDescent="0.25">
      <c r="A66" t="s">
        <v>84</v>
      </c>
      <c r="B66" t="s">
        <v>18</v>
      </c>
      <c r="C66">
        <v>48</v>
      </c>
      <c r="D66" s="19">
        <v>20713</v>
      </c>
      <c r="E66">
        <v>10</v>
      </c>
      <c r="F66">
        <v>4.7</v>
      </c>
      <c r="G66">
        <v>22</v>
      </c>
      <c r="H66">
        <v>27</v>
      </c>
      <c r="I66">
        <v>5</v>
      </c>
      <c r="J66">
        <v>3.4</v>
      </c>
      <c r="K66" t="s">
        <v>14</v>
      </c>
      <c r="L66" t="str">
        <f t="shared" ref="L66:L129" si="1">IF(K66="Yes","High",IF(OR(J66&lt;3,H66&gt;20,E66&lt;2),"Medium","Low"))</f>
        <v>Medium</v>
      </c>
    </row>
    <row r="67" spans="1:12" ht="15" customHeight="1" x14ac:dyDescent="0.25">
      <c r="A67" t="s">
        <v>85</v>
      </c>
      <c r="B67" t="s">
        <v>16</v>
      </c>
      <c r="C67">
        <v>56</v>
      </c>
      <c r="D67" s="19">
        <v>23971</v>
      </c>
      <c r="E67">
        <v>10</v>
      </c>
      <c r="F67">
        <v>4</v>
      </c>
      <c r="G67">
        <v>18</v>
      </c>
      <c r="H67">
        <v>10</v>
      </c>
      <c r="I67">
        <v>9</v>
      </c>
      <c r="J67">
        <v>1.8</v>
      </c>
      <c r="K67" t="s">
        <v>14</v>
      </c>
      <c r="L67" t="str">
        <f t="shared" si="1"/>
        <v>Medium</v>
      </c>
    </row>
    <row r="68" spans="1:12" ht="15" customHeight="1" x14ac:dyDescent="0.25">
      <c r="A68" t="s">
        <v>86</v>
      </c>
      <c r="B68" t="s">
        <v>39</v>
      </c>
      <c r="C68">
        <v>22</v>
      </c>
      <c r="D68" s="19">
        <v>25061</v>
      </c>
      <c r="E68">
        <v>15</v>
      </c>
      <c r="F68">
        <v>3.8</v>
      </c>
      <c r="G68">
        <v>30</v>
      </c>
      <c r="H68">
        <v>14</v>
      </c>
      <c r="I68">
        <v>8</v>
      </c>
      <c r="J68">
        <v>3.5</v>
      </c>
      <c r="K68" t="s">
        <v>14</v>
      </c>
      <c r="L68" t="str">
        <f t="shared" si="1"/>
        <v>Low</v>
      </c>
    </row>
    <row r="69" spans="1:12" ht="15" customHeight="1" x14ac:dyDescent="0.25">
      <c r="A69" t="s">
        <v>87</v>
      </c>
      <c r="B69" t="s">
        <v>13</v>
      </c>
      <c r="C69">
        <v>38</v>
      </c>
      <c r="D69" s="19">
        <v>18103</v>
      </c>
      <c r="E69">
        <v>12</v>
      </c>
      <c r="F69">
        <v>4.5</v>
      </c>
      <c r="G69">
        <v>32</v>
      </c>
      <c r="H69">
        <v>13</v>
      </c>
      <c r="I69">
        <v>7</v>
      </c>
      <c r="J69">
        <v>5</v>
      </c>
      <c r="K69" t="s">
        <v>14</v>
      </c>
      <c r="L69" t="str">
        <f t="shared" si="1"/>
        <v>Low</v>
      </c>
    </row>
    <row r="70" spans="1:12" ht="15" customHeight="1" x14ac:dyDescent="0.25">
      <c r="A70" t="s">
        <v>88</v>
      </c>
      <c r="B70" t="s">
        <v>21</v>
      </c>
      <c r="C70">
        <v>49</v>
      </c>
      <c r="D70" s="19">
        <v>13377</v>
      </c>
      <c r="E70">
        <v>6</v>
      </c>
      <c r="F70">
        <v>4.0999999999999996</v>
      </c>
      <c r="G70">
        <v>37</v>
      </c>
      <c r="H70">
        <v>21</v>
      </c>
      <c r="I70">
        <v>3</v>
      </c>
      <c r="J70">
        <v>2.9</v>
      </c>
      <c r="K70" t="s">
        <v>14</v>
      </c>
      <c r="L70" t="str">
        <f t="shared" si="1"/>
        <v>Medium</v>
      </c>
    </row>
    <row r="71" spans="1:12" ht="15" customHeight="1" x14ac:dyDescent="0.25">
      <c r="A71" t="s">
        <v>89</v>
      </c>
      <c r="B71" t="s">
        <v>21</v>
      </c>
      <c r="C71">
        <v>59</v>
      </c>
      <c r="D71" s="19">
        <v>24525</v>
      </c>
      <c r="E71">
        <v>12</v>
      </c>
      <c r="F71">
        <v>4.2</v>
      </c>
      <c r="G71">
        <v>14</v>
      </c>
      <c r="H71">
        <v>25</v>
      </c>
      <c r="I71">
        <v>7</v>
      </c>
      <c r="J71">
        <v>4.2</v>
      </c>
      <c r="K71" t="s">
        <v>14</v>
      </c>
      <c r="L71" t="str">
        <f t="shared" si="1"/>
        <v>Medium</v>
      </c>
    </row>
    <row r="72" spans="1:12" ht="15" customHeight="1" x14ac:dyDescent="0.25">
      <c r="A72" t="s">
        <v>90</v>
      </c>
      <c r="B72" t="s">
        <v>13</v>
      </c>
      <c r="C72">
        <v>39</v>
      </c>
      <c r="D72" s="19">
        <v>30433</v>
      </c>
      <c r="E72">
        <v>7</v>
      </c>
      <c r="F72">
        <v>3.2</v>
      </c>
      <c r="G72">
        <v>49</v>
      </c>
      <c r="H72">
        <v>1</v>
      </c>
      <c r="I72">
        <v>5</v>
      </c>
      <c r="J72">
        <v>2.8</v>
      </c>
      <c r="K72" t="s">
        <v>14</v>
      </c>
      <c r="L72" t="str">
        <f t="shared" si="1"/>
        <v>Medium</v>
      </c>
    </row>
    <row r="73" spans="1:12" ht="15" customHeight="1" x14ac:dyDescent="0.25">
      <c r="A73" t="s">
        <v>91</v>
      </c>
      <c r="B73" t="s">
        <v>21</v>
      </c>
      <c r="C73">
        <v>48</v>
      </c>
      <c r="D73" s="19">
        <v>20165</v>
      </c>
      <c r="E73">
        <v>7</v>
      </c>
      <c r="F73">
        <v>3.9</v>
      </c>
      <c r="G73">
        <v>21</v>
      </c>
      <c r="H73">
        <v>23</v>
      </c>
      <c r="I73">
        <v>9</v>
      </c>
      <c r="J73">
        <v>3</v>
      </c>
      <c r="K73" t="s">
        <v>14</v>
      </c>
      <c r="L73" t="str">
        <f t="shared" si="1"/>
        <v>Medium</v>
      </c>
    </row>
    <row r="74" spans="1:12" ht="15" customHeight="1" x14ac:dyDescent="0.25">
      <c r="A74" t="s">
        <v>92</v>
      </c>
      <c r="B74" t="s">
        <v>13</v>
      </c>
      <c r="C74">
        <v>58</v>
      </c>
      <c r="D74" s="19">
        <v>37631</v>
      </c>
      <c r="E74">
        <v>12</v>
      </c>
      <c r="F74">
        <v>2.5</v>
      </c>
      <c r="G74">
        <v>9</v>
      </c>
      <c r="H74">
        <v>10</v>
      </c>
      <c r="I74">
        <v>11</v>
      </c>
      <c r="J74">
        <v>4.5999999999999996</v>
      </c>
      <c r="K74" t="s">
        <v>14</v>
      </c>
      <c r="L74" t="str">
        <f t="shared" si="1"/>
        <v>Low</v>
      </c>
    </row>
    <row r="75" spans="1:12" ht="15" customHeight="1" x14ac:dyDescent="0.25">
      <c r="A75" t="s">
        <v>93</v>
      </c>
      <c r="B75" t="s">
        <v>18</v>
      </c>
      <c r="C75">
        <v>54</v>
      </c>
      <c r="D75" s="19">
        <v>22360</v>
      </c>
      <c r="E75">
        <v>8</v>
      </c>
      <c r="F75">
        <v>4.0999999999999996</v>
      </c>
      <c r="G75">
        <v>15</v>
      </c>
      <c r="H75">
        <v>14</v>
      </c>
      <c r="I75">
        <v>4</v>
      </c>
      <c r="J75">
        <v>3.7</v>
      </c>
      <c r="K75" t="s">
        <v>14</v>
      </c>
      <c r="L75" t="str">
        <f t="shared" si="1"/>
        <v>Low</v>
      </c>
    </row>
    <row r="76" spans="1:12" ht="15" customHeight="1" x14ac:dyDescent="0.25">
      <c r="A76" t="s">
        <v>94</v>
      </c>
      <c r="B76" t="s">
        <v>18</v>
      </c>
      <c r="C76">
        <v>60</v>
      </c>
      <c r="D76" s="19">
        <v>15708</v>
      </c>
      <c r="E76">
        <v>13</v>
      </c>
      <c r="F76">
        <v>3.9</v>
      </c>
      <c r="G76">
        <v>16</v>
      </c>
      <c r="H76">
        <v>4</v>
      </c>
      <c r="I76">
        <v>4</v>
      </c>
      <c r="J76">
        <v>3.8</v>
      </c>
      <c r="K76" t="s">
        <v>14</v>
      </c>
      <c r="L76" t="str">
        <f t="shared" si="1"/>
        <v>Low</v>
      </c>
    </row>
    <row r="77" spans="1:12" ht="15" customHeight="1" x14ac:dyDescent="0.25">
      <c r="A77" t="s">
        <v>95</v>
      </c>
      <c r="B77" t="s">
        <v>13</v>
      </c>
      <c r="C77">
        <v>55</v>
      </c>
      <c r="D77" s="19">
        <v>33156</v>
      </c>
      <c r="E77">
        <v>5</v>
      </c>
      <c r="F77">
        <v>3.6</v>
      </c>
      <c r="G77">
        <v>13</v>
      </c>
      <c r="H77">
        <v>34</v>
      </c>
      <c r="I77">
        <v>9</v>
      </c>
      <c r="J77">
        <v>3.1</v>
      </c>
      <c r="K77" t="s">
        <v>26</v>
      </c>
      <c r="L77" t="str">
        <f t="shared" si="1"/>
        <v>High</v>
      </c>
    </row>
    <row r="78" spans="1:12" ht="15" customHeight="1" x14ac:dyDescent="0.25">
      <c r="A78" t="s">
        <v>96</v>
      </c>
      <c r="B78" t="s">
        <v>13</v>
      </c>
      <c r="C78">
        <v>38</v>
      </c>
      <c r="D78" s="19">
        <v>18678</v>
      </c>
      <c r="E78">
        <v>12</v>
      </c>
      <c r="F78">
        <v>3.6</v>
      </c>
      <c r="G78">
        <v>13</v>
      </c>
      <c r="H78">
        <v>8</v>
      </c>
      <c r="I78">
        <v>7</v>
      </c>
      <c r="J78">
        <v>3.5</v>
      </c>
      <c r="K78" t="s">
        <v>14</v>
      </c>
      <c r="L78" t="str">
        <f t="shared" si="1"/>
        <v>Low</v>
      </c>
    </row>
    <row r="79" spans="1:12" ht="15" customHeight="1" x14ac:dyDescent="0.25">
      <c r="A79" t="s">
        <v>97</v>
      </c>
      <c r="B79" t="s">
        <v>16</v>
      </c>
      <c r="C79">
        <v>50</v>
      </c>
      <c r="D79" s="19">
        <v>24739</v>
      </c>
      <c r="E79">
        <v>7</v>
      </c>
      <c r="F79">
        <v>4.5</v>
      </c>
      <c r="G79">
        <v>14</v>
      </c>
      <c r="H79">
        <v>2</v>
      </c>
      <c r="I79">
        <v>10</v>
      </c>
      <c r="J79">
        <v>3.8</v>
      </c>
      <c r="K79" t="s">
        <v>26</v>
      </c>
      <c r="L79" t="str">
        <f t="shared" si="1"/>
        <v>High</v>
      </c>
    </row>
    <row r="80" spans="1:12" ht="15" customHeight="1" x14ac:dyDescent="0.25">
      <c r="A80" t="s">
        <v>98</v>
      </c>
      <c r="B80" t="s">
        <v>21</v>
      </c>
      <c r="C80">
        <v>54</v>
      </c>
      <c r="D80" s="19">
        <v>22016</v>
      </c>
      <c r="E80">
        <v>12</v>
      </c>
      <c r="F80">
        <v>4.0999999999999996</v>
      </c>
      <c r="G80">
        <v>45</v>
      </c>
      <c r="H80">
        <v>33</v>
      </c>
      <c r="I80">
        <v>3</v>
      </c>
      <c r="J80">
        <v>2.7</v>
      </c>
      <c r="K80" t="s">
        <v>14</v>
      </c>
      <c r="L80" t="str">
        <f t="shared" si="1"/>
        <v>Medium</v>
      </c>
    </row>
    <row r="81" spans="1:12" ht="15" customHeight="1" x14ac:dyDescent="0.25">
      <c r="A81" t="s">
        <v>99</v>
      </c>
      <c r="B81" t="s">
        <v>31</v>
      </c>
      <c r="C81">
        <v>46</v>
      </c>
      <c r="D81" s="19">
        <v>20187</v>
      </c>
      <c r="E81">
        <v>4</v>
      </c>
      <c r="F81">
        <v>4.3</v>
      </c>
      <c r="G81">
        <v>6</v>
      </c>
      <c r="H81">
        <v>13</v>
      </c>
      <c r="I81">
        <v>18</v>
      </c>
      <c r="J81">
        <v>4.7</v>
      </c>
      <c r="K81" t="s">
        <v>14</v>
      </c>
      <c r="L81" t="str">
        <f t="shared" si="1"/>
        <v>Low</v>
      </c>
    </row>
    <row r="82" spans="1:12" ht="15" customHeight="1" x14ac:dyDescent="0.25">
      <c r="A82" t="s">
        <v>100</v>
      </c>
      <c r="B82" t="s">
        <v>18</v>
      </c>
      <c r="C82">
        <v>59</v>
      </c>
      <c r="D82" s="19">
        <v>27513</v>
      </c>
      <c r="E82">
        <v>10</v>
      </c>
      <c r="F82">
        <v>2.1</v>
      </c>
      <c r="G82">
        <v>17</v>
      </c>
      <c r="H82">
        <v>27</v>
      </c>
      <c r="I82">
        <v>7</v>
      </c>
      <c r="J82">
        <v>3.6</v>
      </c>
      <c r="K82" t="s">
        <v>14</v>
      </c>
      <c r="L82" t="str">
        <f t="shared" si="1"/>
        <v>Medium</v>
      </c>
    </row>
    <row r="83" spans="1:12" ht="15" customHeight="1" x14ac:dyDescent="0.25">
      <c r="A83" t="s">
        <v>101</v>
      </c>
      <c r="B83" t="s">
        <v>39</v>
      </c>
      <c r="C83">
        <v>29</v>
      </c>
      <c r="D83" s="19">
        <v>15268</v>
      </c>
      <c r="E83">
        <v>14</v>
      </c>
      <c r="F83">
        <v>2.1</v>
      </c>
      <c r="G83">
        <v>20</v>
      </c>
      <c r="H83">
        <v>31</v>
      </c>
      <c r="I83">
        <v>1</v>
      </c>
      <c r="J83">
        <v>4.2</v>
      </c>
      <c r="K83" t="s">
        <v>14</v>
      </c>
      <c r="L83" t="str">
        <f t="shared" si="1"/>
        <v>Medium</v>
      </c>
    </row>
    <row r="84" spans="1:12" ht="15" customHeight="1" x14ac:dyDescent="0.25">
      <c r="A84" t="s">
        <v>102</v>
      </c>
      <c r="B84" t="s">
        <v>13</v>
      </c>
      <c r="C84">
        <v>50</v>
      </c>
      <c r="D84" s="19">
        <v>31624</v>
      </c>
      <c r="E84">
        <v>3</v>
      </c>
      <c r="F84">
        <v>3.3</v>
      </c>
      <c r="G84">
        <v>33</v>
      </c>
      <c r="H84">
        <v>24</v>
      </c>
      <c r="I84">
        <v>7</v>
      </c>
      <c r="J84">
        <v>4.8</v>
      </c>
      <c r="K84" t="s">
        <v>26</v>
      </c>
      <c r="L84" t="str">
        <f t="shared" si="1"/>
        <v>High</v>
      </c>
    </row>
    <row r="85" spans="1:12" ht="15" customHeight="1" x14ac:dyDescent="0.25">
      <c r="A85" t="s">
        <v>103</v>
      </c>
      <c r="B85" t="s">
        <v>16</v>
      </c>
      <c r="C85">
        <v>43</v>
      </c>
      <c r="D85" s="19">
        <v>34633</v>
      </c>
      <c r="E85">
        <v>2</v>
      </c>
      <c r="F85">
        <v>2.2999999999999998</v>
      </c>
      <c r="G85">
        <v>26</v>
      </c>
      <c r="H85">
        <v>21</v>
      </c>
      <c r="I85">
        <v>9</v>
      </c>
      <c r="J85">
        <v>5</v>
      </c>
      <c r="K85" t="s">
        <v>14</v>
      </c>
      <c r="L85" t="str">
        <f t="shared" si="1"/>
        <v>Medium</v>
      </c>
    </row>
    <row r="86" spans="1:12" ht="15" customHeight="1" x14ac:dyDescent="0.25">
      <c r="A86" t="s">
        <v>104</v>
      </c>
      <c r="B86" t="s">
        <v>18</v>
      </c>
      <c r="C86">
        <v>30</v>
      </c>
      <c r="D86" s="19">
        <v>22834</v>
      </c>
      <c r="E86">
        <v>11</v>
      </c>
      <c r="F86">
        <v>4.2</v>
      </c>
      <c r="G86">
        <v>43</v>
      </c>
      <c r="H86">
        <v>29</v>
      </c>
      <c r="I86">
        <v>7</v>
      </c>
      <c r="J86">
        <v>2.9</v>
      </c>
      <c r="K86" t="s">
        <v>14</v>
      </c>
      <c r="L86" t="str">
        <f t="shared" si="1"/>
        <v>Medium</v>
      </c>
    </row>
    <row r="87" spans="1:12" ht="15" customHeight="1" x14ac:dyDescent="0.25">
      <c r="A87" t="s">
        <v>105</v>
      </c>
      <c r="B87" t="s">
        <v>39</v>
      </c>
      <c r="C87">
        <v>58</v>
      </c>
      <c r="D87" s="19">
        <v>27511</v>
      </c>
      <c r="E87">
        <v>1</v>
      </c>
      <c r="F87">
        <v>4</v>
      </c>
      <c r="G87">
        <v>46</v>
      </c>
      <c r="H87">
        <v>35</v>
      </c>
      <c r="I87">
        <v>5</v>
      </c>
      <c r="J87">
        <v>2.2000000000000002</v>
      </c>
      <c r="K87" t="s">
        <v>26</v>
      </c>
      <c r="L87" t="str">
        <f t="shared" si="1"/>
        <v>High</v>
      </c>
    </row>
    <row r="88" spans="1:12" ht="15" customHeight="1" x14ac:dyDescent="0.25">
      <c r="A88" t="s">
        <v>106</v>
      </c>
      <c r="B88" t="s">
        <v>13</v>
      </c>
      <c r="C88">
        <v>45</v>
      </c>
      <c r="D88" s="19">
        <v>39647</v>
      </c>
      <c r="E88">
        <v>8</v>
      </c>
      <c r="F88">
        <v>4.2</v>
      </c>
      <c r="G88">
        <v>16</v>
      </c>
      <c r="H88">
        <v>5</v>
      </c>
      <c r="I88">
        <v>11</v>
      </c>
      <c r="J88">
        <v>2.9</v>
      </c>
      <c r="K88" t="s">
        <v>14</v>
      </c>
      <c r="L88" t="str">
        <f t="shared" si="1"/>
        <v>Medium</v>
      </c>
    </row>
    <row r="89" spans="1:12" ht="15" customHeight="1" x14ac:dyDescent="0.25">
      <c r="A89" t="s">
        <v>107</v>
      </c>
      <c r="B89" t="s">
        <v>18</v>
      </c>
      <c r="C89">
        <v>40</v>
      </c>
      <c r="D89" s="19">
        <v>14396</v>
      </c>
      <c r="E89">
        <v>13</v>
      </c>
      <c r="F89">
        <v>3</v>
      </c>
      <c r="G89">
        <v>13</v>
      </c>
      <c r="H89">
        <v>27</v>
      </c>
      <c r="I89">
        <v>3</v>
      </c>
      <c r="J89">
        <v>3.2</v>
      </c>
      <c r="K89" t="s">
        <v>14</v>
      </c>
      <c r="L89" t="str">
        <f t="shared" si="1"/>
        <v>Medium</v>
      </c>
    </row>
    <row r="90" spans="1:12" ht="15" customHeight="1" x14ac:dyDescent="0.25">
      <c r="A90" t="s">
        <v>108</v>
      </c>
      <c r="B90" t="s">
        <v>18</v>
      </c>
      <c r="C90">
        <v>25</v>
      </c>
      <c r="D90" s="19">
        <v>19354</v>
      </c>
      <c r="E90">
        <v>7</v>
      </c>
      <c r="F90">
        <v>1.2</v>
      </c>
      <c r="G90">
        <v>47</v>
      </c>
      <c r="H90">
        <v>31</v>
      </c>
      <c r="I90">
        <v>8</v>
      </c>
      <c r="J90">
        <v>4.4000000000000004</v>
      </c>
      <c r="K90" t="s">
        <v>14</v>
      </c>
      <c r="L90" t="str">
        <f t="shared" si="1"/>
        <v>Medium</v>
      </c>
    </row>
    <row r="91" spans="1:12" ht="15" customHeight="1" x14ac:dyDescent="0.25">
      <c r="A91" t="s">
        <v>109</v>
      </c>
      <c r="B91" t="s">
        <v>16</v>
      </c>
      <c r="C91">
        <v>60</v>
      </c>
      <c r="D91" s="19">
        <v>27456</v>
      </c>
      <c r="E91">
        <v>10</v>
      </c>
      <c r="F91">
        <v>4.2</v>
      </c>
      <c r="G91">
        <v>44</v>
      </c>
      <c r="H91">
        <v>20</v>
      </c>
      <c r="I91">
        <v>0</v>
      </c>
      <c r="J91">
        <v>3.2</v>
      </c>
      <c r="K91" t="s">
        <v>14</v>
      </c>
      <c r="L91" t="str">
        <f t="shared" si="1"/>
        <v>Low</v>
      </c>
    </row>
    <row r="92" spans="1:12" ht="15" customHeight="1" x14ac:dyDescent="0.25">
      <c r="A92" t="s">
        <v>110</v>
      </c>
      <c r="B92" t="s">
        <v>39</v>
      </c>
      <c r="C92">
        <v>54</v>
      </c>
      <c r="D92" s="19">
        <v>28351</v>
      </c>
      <c r="E92">
        <v>13</v>
      </c>
      <c r="F92">
        <v>2.7</v>
      </c>
      <c r="G92">
        <v>36</v>
      </c>
      <c r="H92">
        <v>19</v>
      </c>
      <c r="I92">
        <v>6</v>
      </c>
      <c r="J92">
        <v>2</v>
      </c>
      <c r="K92" t="s">
        <v>14</v>
      </c>
      <c r="L92" t="str">
        <f t="shared" si="1"/>
        <v>Medium</v>
      </c>
    </row>
    <row r="93" spans="1:12" ht="15" customHeight="1" x14ac:dyDescent="0.25">
      <c r="A93" t="s">
        <v>111</v>
      </c>
      <c r="B93" t="s">
        <v>39</v>
      </c>
      <c r="C93">
        <v>40</v>
      </c>
      <c r="D93" s="19">
        <v>18663</v>
      </c>
      <c r="E93">
        <v>7</v>
      </c>
      <c r="F93">
        <v>3.4</v>
      </c>
      <c r="G93">
        <v>33</v>
      </c>
      <c r="H93">
        <v>9</v>
      </c>
      <c r="I93">
        <v>12</v>
      </c>
      <c r="J93">
        <v>2.8</v>
      </c>
      <c r="K93" t="s">
        <v>14</v>
      </c>
      <c r="L93" t="str">
        <f t="shared" si="1"/>
        <v>Medium</v>
      </c>
    </row>
    <row r="94" spans="1:12" ht="15" customHeight="1" x14ac:dyDescent="0.25">
      <c r="A94" t="s">
        <v>112</v>
      </c>
      <c r="B94" t="s">
        <v>21</v>
      </c>
      <c r="C94">
        <v>46</v>
      </c>
      <c r="D94" s="19">
        <v>17900</v>
      </c>
      <c r="E94">
        <v>5</v>
      </c>
      <c r="F94">
        <v>2</v>
      </c>
      <c r="G94">
        <v>46</v>
      </c>
      <c r="H94">
        <v>4</v>
      </c>
      <c r="I94">
        <v>0</v>
      </c>
      <c r="J94">
        <v>3.7</v>
      </c>
      <c r="K94" t="s">
        <v>14</v>
      </c>
      <c r="L94" t="str">
        <f t="shared" si="1"/>
        <v>Low</v>
      </c>
    </row>
    <row r="95" spans="1:12" ht="15" customHeight="1" x14ac:dyDescent="0.25">
      <c r="A95" t="s">
        <v>113</v>
      </c>
      <c r="B95" t="s">
        <v>21</v>
      </c>
      <c r="C95">
        <v>48</v>
      </c>
      <c r="D95" s="19">
        <v>13501</v>
      </c>
      <c r="E95">
        <v>3</v>
      </c>
      <c r="F95">
        <v>1.6</v>
      </c>
      <c r="G95">
        <v>23</v>
      </c>
      <c r="H95">
        <v>15</v>
      </c>
      <c r="I95">
        <v>0</v>
      </c>
      <c r="J95">
        <v>3.7</v>
      </c>
      <c r="K95" t="s">
        <v>14</v>
      </c>
      <c r="L95" t="str">
        <f t="shared" si="1"/>
        <v>Low</v>
      </c>
    </row>
    <row r="96" spans="1:12" ht="15" customHeight="1" x14ac:dyDescent="0.25">
      <c r="A96" t="s">
        <v>114</v>
      </c>
      <c r="B96" t="s">
        <v>21</v>
      </c>
      <c r="C96">
        <v>58</v>
      </c>
      <c r="D96" s="19">
        <v>26917</v>
      </c>
      <c r="E96">
        <v>7</v>
      </c>
      <c r="F96">
        <v>3</v>
      </c>
      <c r="G96">
        <v>14</v>
      </c>
      <c r="H96">
        <v>20</v>
      </c>
      <c r="I96">
        <v>4</v>
      </c>
      <c r="J96">
        <v>1.9</v>
      </c>
      <c r="K96" t="s">
        <v>26</v>
      </c>
      <c r="L96" t="str">
        <f t="shared" si="1"/>
        <v>High</v>
      </c>
    </row>
    <row r="97" spans="1:12" ht="15" customHeight="1" x14ac:dyDescent="0.25">
      <c r="A97" t="s">
        <v>115</v>
      </c>
      <c r="B97" t="s">
        <v>18</v>
      </c>
      <c r="C97">
        <v>21</v>
      </c>
      <c r="D97" s="19">
        <v>18916</v>
      </c>
      <c r="E97">
        <v>4</v>
      </c>
      <c r="F97">
        <v>2.5</v>
      </c>
      <c r="G97">
        <v>7</v>
      </c>
      <c r="H97">
        <v>0</v>
      </c>
      <c r="I97">
        <v>5</v>
      </c>
      <c r="J97">
        <v>3.4</v>
      </c>
      <c r="K97" t="s">
        <v>14</v>
      </c>
      <c r="L97" t="str">
        <f t="shared" si="1"/>
        <v>Low</v>
      </c>
    </row>
    <row r="98" spans="1:12" ht="15" customHeight="1" x14ac:dyDescent="0.25">
      <c r="A98" t="s">
        <v>116</v>
      </c>
      <c r="B98" t="s">
        <v>16</v>
      </c>
      <c r="C98">
        <v>43</v>
      </c>
      <c r="D98" s="19">
        <v>24413</v>
      </c>
      <c r="E98">
        <v>3</v>
      </c>
      <c r="F98">
        <v>4.4000000000000004</v>
      </c>
      <c r="G98">
        <v>6</v>
      </c>
      <c r="H98">
        <v>0</v>
      </c>
      <c r="I98">
        <v>7</v>
      </c>
      <c r="J98">
        <v>3.7</v>
      </c>
      <c r="K98" t="s">
        <v>14</v>
      </c>
      <c r="L98" t="str">
        <f t="shared" si="1"/>
        <v>Low</v>
      </c>
    </row>
    <row r="99" spans="1:12" ht="15" customHeight="1" x14ac:dyDescent="0.25">
      <c r="A99" t="s">
        <v>117</v>
      </c>
      <c r="B99" t="s">
        <v>21</v>
      </c>
      <c r="C99">
        <v>52</v>
      </c>
      <c r="D99" s="19">
        <v>23083</v>
      </c>
      <c r="E99">
        <v>2</v>
      </c>
      <c r="F99">
        <v>2.9</v>
      </c>
      <c r="G99">
        <v>43</v>
      </c>
      <c r="H99">
        <v>18</v>
      </c>
      <c r="I99">
        <v>9</v>
      </c>
      <c r="J99">
        <v>4.2</v>
      </c>
      <c r="K99" t="s">
        <v>14</v>
      </c>
      <c r="L99" t="str">
        <f t="shared" si="1"/>
        <v>Low</v>
      </c>
    </row>
    <row r="100" spans="1:12" ht="15" customHeight="1" x14ac:dyDescent="0.25">
      <c r="A100" t="s">
        <v>118</v>
      </c>
      <c r="B100" t="s">
        <v>13</v>
      </c>
      <c r="C100">
        <v>53</v>
      </c>
      <c r="D100" s="19">
        <v>34266</v>
      </c>
      <c r="E100">
        <v>12</v>
      </c>
      <c r="F100">
        <v>4.0999999999999996</v>
      </c>
      <c r="G100">
        <v>48</v>
      </c>
      <c r="H100">
        <v>30</v>
      </c>
      <c r="I100">
        <v>1</v>
      </c>
      <c r="J100">
        <v>3.7</v>
      </c>
      <c r="K100" t="s">
        <v>14</v>
      </c>
      <c r="L100" t="str">
        <f t="shared" si="1"/>
        <v>Medium</v>
      </c>
    </row>
    <row r="101" spans="1:12" ht="15" customHeight="1" x14ac:dyDescent="0.25">
      <c r="A101" t="s">
        <v>119</v>
      </c>
      <c r="B101" t="s">
        <v>16</v>
      </c>
      <c r="C101">
        <v>46</v>
      </c>
      <c r="D101" s="19">
        <v>29135</v>
      </c>
      <c r="E101">
        <v>7</v>
      </c>
      <c r="F101">
        <v>2.7</v>
      </c>
      <c r="G101">
        <v>33</v>
      </c>
      <c r="H101">
        <v>9</v>
      </c>
      <c r="I101">
        <v>6</v>
      </c>
      <c r="J101">
        <v>3.2</v>
      </c>
      <c r="K101" t="s">
        <v>14</v>
      </c>
      <c r="L101" t="str">
        <f t="shared" si="1"/>
        <v>Low</v>
      </c>
    </row>
    <row r="102" spans="1:12" ht="15" customHeight="1" x14ac:dyDescent="0.25">
      <c r="A102" t="s">
        <v>120</v>
      </c>
      <c r="B102" t="s">
        <v>18</v>
      </c>
      <c r="C102">
        <v>30</v>
      </c>
      <c r="D102" s="19">
        <v>17528</v>
      </c>
      <c r="E102">
        <v>9</v>
      </c>
      <c r="F102">
        <v>3.6</v>
      </c>
      <c r="G102">
        <v>41</v>
      </c>
      <c r="H102">
        <v>15</v>
      </c>
      <c r="I102">
        <v>0</v>
      </c>
      <c r="J102">
        <v>3.2</v>
      </c>
      <c r="K102" t="s">
        <v>14</v>
      </c>
      <c r="L102" t="str">
        <f t="shared" si="1"/>
        <v>Low</v>
      </c>
    </row>
    <row r="103" spans="1:12" ht="15" customHeight="1" x14ac:dyDescent="0.25">
      <c r="A103" t="s">
        <v>121</v>
      </c>
      <c r="B103" t="s">
        <v>31</v>
      </c>
      <c r="C103">
        <v>56</v>
      </c>
      <c r="D103" s="19">
        <v>22750</v>
      </c>
      <c r="E103">
        <v>1</v>
      </c>
      <c r="F103">
        <v>2.6</v>
      </c>
      <c r="G103">
        <v>27</v>
      </c>
      <c r="H103">
        <v>10</v>
      </c>
      <c r="I103">
        <v>3</v>
      </c>
      <c r="J103">
        <v>3.9</v>
      </c>
      <c r="K103" t="s">
        <v>26</v>
      </c>
      <c r="L103" t="str">
        <f t="shared" si="1"/>
        <v>High</v>
      </c>
    </row>
    <row r="104" spans="1:12" ht="15" customHeight="1" x14ac:dyDescent="0.25">
      <c r="A104" t="s">
        <v>122</v>
      </c>
      <c r="B104" t="s">
        <v>16</v>
      </c>
      <c r="C104">
        <v>45</v>
      </c>
      <c r="D104" s="19">
        <v>34188</v>
      </c>
      <c r="E104">
        <v>10</v>
      </c>
      <c r="F104">
        <v>2</v>
      </c>
      <c r="G104">
        <v>49</v>
      </c>
      <c r="H104">
        <v>27</v>
      </c>
      <c r="I104">
        <v>8</v>
      </c>
      <c r="J104">
        <v>2.2000000000000002</v>
      </c>
      <c r="K104" t="s">
        <v>14</v>
      </c>
      <c r="L104" t="str">
        <f t="shared" si="1"/>
        <v>Medium</v>
      </c>
    </row>
    <row r="105" spans="1:12" ht="15" customHeight="1" x14ac:dyDescent="0.25">
      <c r="A105" t="s">
        <v>123</v>
      </c>
      <c r="B105" t="s">
        <v>31</v>
      </c>
      <c r="C105">
        <v>32</v>
      </c>
      <c r="D105" s="19">
        <v>19977</v>
      </c>
      <c r="E105">
        <v>10</v>
      </c>
      <c r="F105">
        <v>1.7</v>
      </c>
      <c r="G105">
        <v>13</v>
      </c>
      <c r="H105">
        <v>2</v>
      </c>
      <c r="I105">
        <v>8</v>
      </c>
      <c r="J105">
        <v>3</v>
      </c>
      <c r="K105" t="s">
        <v>14</v>
      </c>
      <c r="L105" t="str">
        <f t="shared" si="1"/>
        <v>Low</v>
      </c>
    </row>
    <row r="106" spans="1:12" ht="15" customHeight="1" x14ac:dyDescent="0.25">
      <c r="A106" t="s">
        <v>124</v>
      </c>
      <c r="B106" t="s">
        <v>16</v>
      </c>
      <c r="C106">
        <v>33</v>
      </c>
      <c r="D106" s="19">
        <v>20259</v>
      </c>
      <c r="E106">
        <v>11</v>
      </c>
      <c r="F106">
        <v>3.1</v>
      </c>
      <c r="G106">
        <v>27</v>
      </c>
      <c r="H106">
        <v>21</v>
      </c>
      <c r="I106">
        <v>0</v>
      </c>
      <c r="J106">
        <v>4.4000000000000004</v>
      </c>
      <c r="K106" t="s">
        <v>14</v>
      </c>
      <c r="L106" t="str">
        <f t="shared" si="1"/>
        <v>Medium</v>
      </c>
    </row>
    <row r="107" spans="1:12" ht="15" customHeight="1" x14ac:dyDescent="0.25">
      <c r="A107" t="s">
        <v>125</v>
      </c>
      <c r="B107" t="s">
        <v>39</v>
      </c>
      <c r="C107">
        <v>33</v>
      </c>
      <c r="D107" s="19">
        <v>25791</v>
      </c>
      <c r="E107">
        <v>8</v>
      </c>
      <c r="F107">
        <v>3.4</v>
      </c>
      <c r="G107">
        <v>37</v>
      </c>
      <c r="H107">
        <v>25</v>
      </c>
      <c r="I107">
        <v>16</v>
      </c>
      <c r="J107">
        <v>1.6</v>
      </c>
      <c r="K107" t="s">
        <v>14</v>
      </c>
      <c r="L107" t="str">
        <f t="shared" si="1"/>
        <v>Medium</v>
      </c>
    </row>
    <row r="108" spans="1:12" ht="15" customHeight="1" x14ac:dyDescent="0.25">
      <c r="A108" t="s">
        <v>126</v>
      </c>
      <c r="B108" t="s">
        <v>39</v>
      </c>
      <c r="C108">
        <v>33</v>
      </c>
      <c r="D108" s="19">
        <v>26781</v>
      </c>
      <c r="E108">
        <v>9</v>
      </c>
      <c r="F108">
        <v>2.1</v>
      </c>
      <c r="G108">
        <v>6</v>
      </c>
      <c r="H108">
        <v>18</v>
      </c>
      <c r="I108">
        <v>4</v>
      </c>
      <c r="J108">
        <v>2.9</v>
      </c>
      <c r="K108" t="s">
        <v>14</v>
      </c>
      <c r="L108" t="str">
        <f t="shared" si="1"/>
        <v>Medium</v>
      </c>
    </row>
    <row r="109" spans="1:12" ht="15" customHeight="1" x14ac:dyDescent="0.25">
      <c r="A109" t="s">
        <v>127</v>
      </c>
      <c r="B109" t="s">
        <v>18</v>
      </c>
      <c r="C109">
        <v>51</v>
      </c>
      <c r="D109" s="19">
        <v>27672</v>
      </c>
      <c r="E109">
        <v>7</v>
      </c>
      <c r="F109">
        <v>4.0999999999999996</v>
      </c>
      <c r="G109">
        <v>32</v>
      </c>
      <c r="H109">
        <v>16</v>
      </c>
      <c r="I109">
        <v>4</v>
      </c>
      <c r="J109">
        <v>4.5999999999999996</v>
      </c>
      <c r="K109" t="s">
        <v>26</v>
      </c>
      <c r="L109" t="str">
        <f t="shared" si="1"/>
        <v>High</v>
      </c>
    </row>
    <row r="110" spans="1:12" ht="15" customHeight="1" x14ac:dyDescent="0.25">
      <c r="A110" t="s">
        <v>128</v>
      </c>
      <c r="B110" t="s">
        <v>13</v>
      </c>
      <c r="C110">
        <v>58</v>
      </c>
      <c r="D110" s="19">
        <v>30937</v>
      </c>
      <c r="E110">
        <v>1</v>
      </c>
      <c r="F110">
        <v>3.7</v>
      </c>
      <c r="G110">
        <v>19</v>
      </c>
      <c r="H110">
        <v>25</v>
      </c>
      <c r="I110">
        <v>13</v>
      </c>
      <c r="J110">
        <v>3.7</v>
      </c>
      <c r="K110" t="s">
        <v>26</v>
      </c>
      <c r="L110" t="str">
        <f t="shared" si="1"/>
        <v>High</v>
      </c>
    </row>
    <row r="111" spans="1:12" ht="15" customHeight="1" x14ac:dyDescent="0.25">
      <c r="A111" t="s">
        <v>129</v>
      </c>
      <c r="B111" t="s">
        <v>16</v>
      </c>
      <c r="C111">
        <v>55</v>
      </c>
      <c r="D111" s="19">
        <v>19535</v>
      </c>
      <c r="E111">
        <v>9</v>
      </c>
      <c r="F111">
        <v>3.4</v>
      </c>
      <c r="G111">
        <v>42</v>
      </c>
      <c r="H111">
        <v>3</v>
      </c>
      <c r="I111">
        <v>1</v>
      </c>
      <c r="J111">
        <v>3.4</v>
      </c>
      <c r="K111" t="s">
        <v>14</v>
      </c>
      <c r="L111" t="str">
        <f t="shared" si="1"/>
        <v>Low</v>
      </c>
    </row>
    <row r="112" spans="1:12" ht="15" customHeight="1" x14ac:dyDescent="0.25">
      <c r="A112" t="s">
        <v>130</v>
      </c>
      <c r="B112" t="s">
        <v>39</v>
      </c>
      <c r="C112">
        <v>39</v>
      </c>
      <c r="D112" s="19">
        <v>26890</v>
      </c>
      <c r="E112">
        <v>5</v>
      </c>
      <c r="F112">
        <v>2.9</v>
      </c>
      <c r="G112">
        <v>47</v>
      </c>
      <c r="H112">
        <v>27</v>
      </c>
      <c r="I112">
        <v>5</v>
      </c>
      <c r="J112">
        <v>4.5</v>
      </c>
      <c r="K112" t="s">
        <v>14</v>
      </c>
      <c r="L112" t="str">
        <f t="shared" si="1"/>
        <v>Medium</v>
      </c>
    </row>
    <row r="113" spans="1:12" ht="15" customHeight="1" x14ac:dyDescent="0.25">
      <c r="A113" t="s">
        <v>131</v>
      </c>
      <c r="B113" t="s">
        <v>18</v>
      </c>
      <c r="C113">
        <v>27</v>
      </c>
      <c r="D113" s="19">
        <v>18255</v>
      </c>
      <c r="E113">
        <v>8</v>
      </c>
      <c r="F113">
        <v>4</v>
      </c>
      <c r="G113">
        <v>30</v>
      </c>
      <c r="H113">
        <v>10</v>
      </c>
      <c r="I113">
        <v>8</v>
      </c>
      <c r="J113">
        <v>3.1</v>
      </c>
      <c r="K113" t="s">
        <v>14</v>
      </c>
      <c r="L113" t="str">
        <f t="shared" si="1"/>
        <v>Low</v>
      </c>
    </row>
    <row r="114" spans="1:12" ht="15" customHeight="1" x14ac:dyDescent="0.25">
      <c r="A114" t="s">
        <v>132</v>
      </c>
      <c r="B114" t="s">
        <v>18</v>
      </c>
      <c r="C114">
        <v>39</v>
      </c>
      <c r="D114" s="19">
        <v>24141</v>
      </c>
      <c r="E114">
        <v>4</v>
      </c>
      <c r="F114">
        <v>4.5</v>
      </c>
      <c r="G114">
        <v>4</v>
      </c>
      <c r="H114">
        <v>15</v>
      </c>
      <c r="I114">
        <v>0</v>
      </c>
      <c r="J114">
        <v>4.8</v>
      </c>
      <c r="K114" t="s">
        <v>14</v>
      </c>
      <c r="L114" t="str">
        <f t="shared" si="1"/>
        <v>Low</v>
      </c>
    </row>
    <row r="115" spans="1:12" ht="15" customHeight="1" x14ac:dyDescent="0.25">
      <c r="A115" t="s">
        <v>133</v>
      </c>
      <c r="B115" t="s">
        <v>16</v>
      </c>
      <c r="C115">
        <v>32</v>
      </c>
      <c r="D115" s="19">
        <v>30060</v>
      </c>
      <c r="E115">
        <v>14</v>
      </c>
      <c r="F115">
        <v>4</v>
      </c>
      <c r="G115">
        <v>36</v>
      </c>
      <c r="H115">
        <v>7</v>
      </c>
      <c r="I115">
        <v>1</v>
      </c>
      <c r="J115">
        <v>3.5</v>
      </c>
      <c r="K115" t="s">
        <v>14</v>
      </c>
      <c r="L115" t="str">
        <f t="shared" si="1"/>
        <v>Low</v>
      </c>
    </row>
    <row r="116" spans="1:12" ht="15" customHeight="1" x14ac:dyDescent="0.25">
      <c r="A116" t="s">
        <v>134</v>
      </c>
      <c r="B116" t="s">
        <v>16</v>
      </c>
      <c r="C116">
        <v>26</v>
      </c>
      <c r="D116" s="19">
        <v>31710</v>
      </c>
      <c r="E116">
        <v>8</v>
      </c>
      <c r="F116">
        <v>3.1</v>
      </c>
      <c r="G116">
        <v>43</v>
      </c>
      <c r="H116">
        <v>5</v>
      </c>
      <c r="I116">
        <v>0</v>
      </c>
      <c r="J116">
        <v>3.9</v>
      </c>
      <c r="K116" t="s">
        <v>14</v>
      </c>
      <c r="L116" t="str">
        <f t="shared" si="1"/>
        <v>Low</v>
      </c>
    </row>
    <row r="117" spans="1:12" ht="15" customHeight="1" x14ac:dyDescent="0.25">
      <c r="A117" t="s">
        <v>135</v>
      </c>
      <c r="B117" t="s">
        <v>39</v>
      </c>
      <c r="C117">
        <v>55</v>
      </c>
      <c r="D117" s="19">
        <v>20573</v>
      </c>
      <c r="E117">
        <v>13</v>
      </c>
      <c r="F117">
        <v>3.4</v>
      </c>
      <c r="G117">
        <v>10</v>
      </c>
      <c r="H117">
        <v>32</v>
      </c>
      <c r="I117">
        <v>7</v>
      </c>
      <c r="J117">
        <v>2.5</v>
      </c>
      <c r="K117" t="s">
        <v>26</v>
      </c>
      <c r="L117" t="str">
        <f t="shared" si="1"/>
        <v>High</v>
      </c>
    </row>
    <row r="118" spans="1:12" ht="15" customHeight="1" x14ac:dyDescent="0.25">
      <c r="A118" t="s">
        <v>136</v>
      </c>
      <c r="B118" t="s">
        <v>39</v>
      </c>
      <c r="C118">
        <v>51</v>
      </c>
      <c r="D118" s="19">
        <v>27629</v>
      </c>
      <c r="E118">
        <v>12</v>
      </c>
      <c r="F118">
        <v>3.1</v>
      </c>
      <c r="G118">
        <v>6</v>
      </c>
      <c r="H118">
        <v>2</v>
      </c>
      <c r="I118">
        <v>9</v>
      </c>
      <c r="J118">
        <v>3.3</v>
      </c>
      <c r="K118" t="s">
        <v>14</v>
      </c>
      <c r="L118" t="str">
        <f t="shared" si="1"/>
        <v>Low</v>
      </c>
    </row>
    <row r="119" spans="1:12" ht="15" customHeight="1" x14ac:dyDescent="0.25">
      <c r="A119" t="s">
        <v>137</v>
      </c>
      <c r="B119" t="s">
        <v>31</v>
      </c>
      <c r="C119">
        <v>44</v>
      </c>
      <c r="D119" s="19">
        <v>19593</v>
      </c>
      <c r="E119">
        <v>2</v>
      </c>
      <c r="F119">
        <v>3.4</v>
      </c>
      <c r="G119">
        <v>12</v>
      </c>
      <c r="H119">
        <v>6</v>
      </c>
      <c r="I119">
        <v>2</v>
      </c>
      <c r="J119">
        <v>2.8</v>
      </c>
      <c r="K119" t="s">
        <v>26</v>
      </c>
      <c r="L119" t="str">
        <f t="shared" si="1"/>
        <v>High</v>
      </c>
    </row>
    <row r="120" spans="1:12" ht="15" customHeight="1" x14ac:dyDescent="0.25">
      <c r="A120" t="s">
        <v>138</v>
      </c>
      <c r="B120" t="s">
        <v>13</v>
      </c>
      <c r="C120">
        <v>51</v>
      </c>
      <c r="D120" s="19">
        <v>36139</v>
      </c>
      <c r="E120">
        <v>3</v>
      </c>
      <c r="F120">
        <v>3.3</v>
      </c>
      <c r="G120">
        <v>44</v>
      </c>
      <c r="H120">
        <v>20</v>
      </c>
      <c r="I120">
        <v>5</v>
      </c>
      <c r="J120">
        <v>3.4</v>
      </c>
      <c r="K120" t="s">
        <v>14</v>
      </c>
      <c r="L120" t="str">
        <f t="shared" si="1"/>
        <v>Low</v>
      </c>
    </row>
    <row r="121" spans="1:12" ht="15" customHeight="1" x14ac:dyDescent="0.25">
      <c r="A121" t="s">
        <v>139</v>
      </c>
      <c r="B121" t="s">
        <v>18</v>
      </c>
      <c r="C121">
        <v>27</v>
      </c>
      <c r="D121" s="19">
        <v>15799</v>
      </c>
      <c r="E121">
        <v>4</v>
      </c>
      <c r="F121">
        <v>4.4000000000000004</v>
      </c>
      <c r="G121">
        <v>21</v>
      </c>
      <c r="H121">
        <v>21</v>
      </c>
      <c r="I121">
        <v>13</v>
      </c>
      <c r="J121">
        <v>1.3</v>
      </c>
      <c r="K121" t="s">
        <v>14</v>
      </c>
      <c r="L121" t="str">
        <f t="shared" si="1"/>
        <v>Medium</v>
      </c>
    </row>
    <row r="122" spans="1:12" ht="15" customHeight="1" x14ac:dyDescent="0.25">
      <c r="A122" t="s">
        <v>140</v>
      </c>
      <c r="B122" t="s">
        <v>16</v>
      </c>
      <c r="C122">
        <v>25</v>
      </c>
      <c r="D122" s="19">
        <v>28824</v>
      </c>
      <c r="E122">
        <v>9</v>
      </c>
      <c r="F122">
        <v>2.8</v>
      </c>
      <c r="G122">
        <v>12</v>
      </c>
      <c r="H122">
        <v>33</v>
      </c>
      <c r="I122">
        <v>12</v>
      </c>
      <c r="J122">
        <v>2</v>
      </c>
      <c r="K122" t="s">
        <v>14</v>
      </c>
      <c r="L122" t="str">
        <f t="shared" si="1"/>
        <v>Medium</v>
      </c>
    </row>
    <row r="123" spans="1:12" ht="15" customHeight="1" x14ac:dyDescent="0.25">
      <c r="A123" t="s">
        <v>141</v>
      </c>
      <c r="B123" t="s">
        <v>18</v>
      </c>
      <c r="C123">
        <v>37</v>
      </c>
      <c r="D123" s="19">
        <v>24937</v>
      </c>
      <c r="E123">
        <v>2</v>
      </c>
      <c r="F123">
        <v>2.5</v>
      </c>
      <c r="G123">
        <v>18</v>
      </c>
      <c r="H123">
        <v>3</v>
      </c>
      <c r="I123">
        <v>5</v>
      </c>
      <c r="J123">
        <v>5</v>
      </c>
      <c r="K123" t="s">
        <v>14</v>
      </c>
      <c r="L123" t="str">
        <f t="shared" si="1"/>
        <v>Low</v>
      </c>
    </row>
    <row r="124" spans="1:12" ht="15" customHeight="1" x14ac:dyDescent="0.25">
      <c r="A124" t="s">
        <v>142</v>
      </c>
      <c r="B124" t="s">
        <v>39</v>
      </c>
      <c r="C124">
        <v>26</v>
      </c>
      <c r="D124" s="19">
        <v>29849</v>
      </c>
      <c r="E124">
        <v>9</v>
      </c>
      <c r="F124">
        <v>4.0999999999999996</v>
      </c>
      <c r="G124">
        <v>6</v>
      </c>
      <c r="H124">
        <v>19</v>
      </c>
      <c r="I124">
        <v>8</v>
      </c>
      <c r="J124">
        <v>4.2</v>
      </c>
      <c r="K124" t="s">
        <v>14</v>
      </c>
      <c r="L124" t="str">
        <f t="shared" si="1"/>
        <v>Low</v>
      </c>
    </row>
    <row r="125" spans="1:12" ht="15" customHeight="1" x14ac:dyDescent="0.25">
      <c r="A125" t="s">
        <v>143</v>
      </c>
      <c r="B125" t="s">
        <v>16</v>
      </c>
      <c r="C125">
        <v>24</v>
      </c>
      <c r="D125" s="19">
        <v>22090</v>
      </c>
      <c r="E125">
        <v>15</v>
      </c>
      <c r="F125">
        <v>3</v>
      </c>
      <c r="G125">
        <v>6</v>
      </c>
      <c r="H125">
        <v>30</v>
      </c>
      <c r="I125">
        <v>7</v>
      </c>
      <c r="J125">
        <v>2.5</v>
      </c>
      <c r="K125" t="s">
        <v>26</v>
      </c>
      <c r="L125" t="str">
        <f t="shared" si="1"/>
        <v>High</v>
      </c>
    </row>
    <row r="126" spans="1:12" ht="15" customHeight="1" x14ac:dyDescent="0.25">
      <c r="A126" t="s">
        <v>144</v>
      </c>
      <c r="B126" t="s">
        <v>13</v>
      </c>
      <c r="C126">
        <v>58</v>
      </c>
      <c r="D126" s="19">
        <v>20687</v>
      </c>
      <c r="E126">
        <v>3</v>
      </c>
      <c r="F126">
        <v>3.3</v>
      </c>
      <c r="G126">
        <v>17</v>
      </c>
      <c r="H126">
        <v>8</v>
      </c>
      <c r="I126">
        <v>5</v>
      </c>
      <c r="J126">
        <v>4.5</v>
      </c>
      <c r="K126" t="s">
        <v>14</v>
      </c>
      <c r="L126" t="str">
        <f t="shared" si="1"/>
        <v>Low</v>
      </c>
    </row>
    <row r="127" spans="1:12" ht="15" customHeight="1" x14ac:dyDescent="0.25">
      <c r="A127" t="s">
        <v>145</v>
      </c>
      <c r="B127" t="s">
        <v>39</v>
      </c>
      <c r="C127">
        <v>36</v>
      </c>
      <c r="D127" s="19">
        <v>19477</v>
      </c>
      <c r="E127">
        <v>6</v>
      </c>
      <c r="F127">
        <v>5</v>
      </c>
      <c r="G127">
        <v>35</v>
      </c>
      <c r="H127">
        <v>35</v>
      </c>
      <c r="I127">
        <v>6</v>
      </c>
      <c r="J127">
        <v>4.4000000000000004</v>
      </c>
      <c r="K127" t="s">
        <v>14</v>
      </c>
      <c r="L127" t="str">
        <f t="shared" si="1"/>
        <v>Medium</v>
      </c>
    </row>
    <row r="128" spans="1:12" ht="15" customHeight="1" x14ac:dyDescent="0.25">
      <c r="A128" t="s">
        <v>146</v>
      </c>
      <c r="B128" t="s">
        <v>21</v>
      </c>
      <c r="C128">
        <v>33</v>
      </c>
      <c r="D128" s="19">
        <v>15231</v>
      </c>
      <c r="E128">
        <v>13</v>
      </c>
      <c r="F128">
        <v>4</v>
      </c>
      <c r="G128">
        <v>19</v>
      </c>
      <c r="H128">
        <v>7</v>
      </c>
      <c r="I128">
        <v>4</v>
      </c>
      <c r="J128">
        <v>3.2</v>
      </c>
      <c r="K128" t="s">
        <v>14</v>
      </c>
      <c r="L128" t="str">
        <f t="shared" si="1"/>
        <v>Low</v>
      </c>
    </row>
    <row r="129" spans="1:12" ht="15" customHeight="1" x14ac:dyDescent="0.25">
      <c r="A129" t="s">
        <v>147</v>
      </c>
      <c r="B129" t="s">
        <v>18</v>
      </c>
      <c r="C129">
        <v>28</v>
      </c>
      <c r="D129" s="19">
        <v>27288</v>
      </c>
      <c r="E129">
        <v>4</v>
      </c>
      <c r="F129">
        <v>2.8</v>
      </c>
      <c r="G129">
        <v>40</v>
      </c>
      <c r="H129">
        <v>11</v>
      </c>
      <c r="I129">
        <v>8</v>
      </c>
      <c r="J129">
        <v>2.2999999999999998</v>
      </c>
      <c r="K129" t="s">
        <v>14</v>
      </c>
      <c r="L129" t="str">
        <f t="shared" si="1"/>
        <v>Medium</v>
      </c>
    </row>
    <row r="130" spans="1:12" ht="15" customHeight="1" x14ac:dyDescent="0.25">
      <c r="A130" t="s">
        <v>148</v>
      </c>
      <c r="B130" t="s">
        <v>13</v>
      </c>
      <c r="C130">
        <v>29</v>
      </c>
      <c r="D130" s="19">
        <v>25564</v>
      </c>
      <c r="E130">
        <v>2</v>
      </c>
      <c r="F130">
        <v>3.2</v>
      </c>
      <c r="G130">
        <v>17</v>
      </c>
      <c r="H130">
        <v>17</v>
      </c>
      <c r="I130">
        <v>4</v>
      </c>
      <c r="J130">
        <v>4.5</v>
      </c>
      <c r="K130" t="s">
        <v>14</v>
      </c>
      <c r="L130" t="str">
        <f t="shared" ref="L130:L193" si="2">IF(K130="Yes","High",IF(OR(J130&lt;3,H130&gt;20,E130&lt;2),"Medium","Low"))</f>
        <v>Low</v>
      </c>
    </row>
    <row r="131" spans="1:12" ht="15" customHeight="1" x14ac:dyDescent="0.25">
      <c r="A131" t="s">
        <v>149</v>
      </c>
      <c r="B131" t="s">
        <v>31</v>
      </c>
      <c r="C131">
        <v>28</v>
      </c>
      <c r="D131" s="19">
        <v>19324</v>
      </c>
      <c r="E131">
        <v>4</v>
      </c>
      <c r="F131">
        <v>3.1</v>
      </c>
      <c r="G131">
        <v>13</v>
      </c>
      <c r="H131">
        <v>7</v>
      </c>
      <c r="I131">
        <v>8</v>
      </c>
      <c r="J131">
        <v>2.8</v>
      </c>
      <c r="K131" t="s">
        <v>14</v>
      </c>
      <c r="L131" t="str">
        <f t="shared" si="2"/>
        <v>Medium</v>
      </c>
    </row>
    <row r="132" spans="1:12" ht="15" customHeight="1" x14ac:dyDescent="0.25">
      <c r="A132" t="s">
        <v>150</v>
      </c>
      <c r="B132" t="s">
        <v>31</v>
      </c>
      <c r="C132">
        <v>54</v>
      </c>
      <c r="D132" s="19">
        <v>14390</v>
      </c>
      <c r="E132">
        <v>6</v>
      </c>
      <c r="F132">
        <v>3</v>
      </c>
      <c r="G132">
        <v>46</v>
      </c>
      <c r="H132">
        <v>15</v>
      </c>
      <c r="I132">
        <v>8</v>
      </c>
      <c r="J132">
        <v>1.2</v>
      </c>
      <c r="K132" t="s">
        <v>14</v>
      </c>
      <c r="L132" t="str">
        <f t="shared" si="2"/>
        <v>Medium</v>
      </c>
    </row>
    <row r="133" spans="1:12" ht="15" customHeight="1" x14ac:dyDescent="0.25">
      <c r="A133" t="s">
        <v>151</v>
      </c>
      <c r="B133" t="s">
        <v>16</v>
      </c>
      <c r="C133">
        <v>21</v>
      </c>
      <c r="D133" s="19">
        <v>24197</v>
      </c>
      <c r="E133">
        <v>14</v>
      </c>
      <c r="F133">
        <v>3.5</v>
      </c>
      <c r="G133">
        <v>37</v>
      </c>
      <c r="H133">
        <v>18</v>
      </c>
      <c r="I133">
        <v>7</v>
      </c>
      <c r="J133">
        <v>3.8</v>
      </c>
      <c r="K133" t="s">
        <v>14</v>
      </c>
      <c r="L133" t="str">
        <f t="shared" si="2"/>
        <v>Low</v>
      </c>
    </row>
    <row r="134" spans="1:12" ht="15" customHeight="1" x14ac:dyDescent="0.25">
      <c r="A134" t="s">
        <v>152</v>
      </c>
      <c r="B134" t="s">
        <v>16</v>
      </c>
      <c r="C134">
        <v>38</v>
      </c>
      <c r="D134" s="19">
        <v>19451</v>
      </c>
      <c r="E134">
        <v>2</v>
      </c>
      <c r="F134">
        <v>2.8</v>
      </c>
      <c r="G134">
        <v>45</v>
      </c>
      <c r="H134">
        <v>14</v>
      </c>
      <c r="I134">
        <v>4</v>
      </c>
      <c r="J134">
        <v>2.1</v>
      </c>
      <c r="K134" t="s">
        <v>14</v>
      </c>
      <c r="L134" t="str">
        <f t="shared" si="2"/>
        <v>Medium</v>
      </c>
    </row>
    <row r="135" spans="1:12" ht="15" customHeight="1" x14ac:dyDescent="0.25">
      <c r="A135" t="s">
        <v>153</v>
      </c>
      <c r="B135" t="s">
        <v>21</v>
      </c>
      <c r="C135">
        <v>45</v>
      </c>
      <c r="D135" s="19">
        <v>16613</v>
      </c>
      <c r="E135">
        <v>0</v>
      </c>
      <c r="F135">
        <v>3.8</v>
      </c>
      <c r="G135">
        <v>19</v>
      </c>
      <c r="H135">
        <v>31</v>
      </c>
      <c r="I135">
        <v>0</v>
      </c>
      <c r="J135">
        <v>5</v>
      </c>
      <c r="K135" t="s">
        <v>14</v>
      </c>
      <c r="L135" t="str">
        <f t="shared" si="2"/>
        <v>Medium</v>
      </c>
    </row>
    <row r="136" spans="1:12" ht="15" customHeight="1" x14ac:dyDescent="0.25">
      <c r="A136" t="s">
        <v>154</v>
      </c>
      <c r="B136" t="s">
        <v>31</v>
      </c>
      <c r="C136">
        <v>30</v>
      </c>
      <c r="D136" s="19">
        <v>23303</v>
      </c>
      <c r="E136">
        <v>3</v>
      </c>
      <c r="F136">
        <v>3.2</v>
      </c>
      <c r="G136">
        <v>23</v>
      </c>
      <c r="H136">
        <v>25</v>
      </c>
      <c r="I136">
        <v>12</v>
      </c>
      <c r="J136">
        <v>4.5999999999999996</v>
      </c>
      <c r="K136" t="s">
        <v>14</v>
      </c>
      <c r="L136" t="str">
        <f t="shared" si="2"/>
        <v>Medium</v>
      </c>
    </row>
    <row r="137" spans="1:12" ht="15" customHeight="1" x14ac:dyDescent="0.25">
      <c r="A137" t="s">
        <v>155</v>
      </c>
      <c r="B137" t="s">
        <v>13</v>
      </c>
      <c r="C137">
        <v>39</v>
      </c>
      <c r="D137" s="19">
        <v>26005</v>
      </c>
      <c r="E137">
        <v>5</v>
      </c>
      <c r="F137">
        <v>3.5</v>
      </c>
      <c r="G137">
        <v>44</v>
      </c>
      <c r="H137">
        <v>31</v>
      </c>
      <c r="I137">
        <v>6</v>
      </c>
      <c r="J137">
        <v>3.4</v>
      </c>
      <c r="K137" t="s">
        <v>14</v>
      </c>
      <c r="L137" t="str">
        <f t="shared" si="2"/>
        <v>Medium</v>
      </c>
    </row>
    <row r="138" spans="1:12" ht="15" customHeight="1" x14ac:dyDescent="0.25">
      <c r="A138" t="s">
        <v>156</v>
      </c>
      <c r="B138" t="s">
        <v>16</v>
      </c>
      <c r="C138">
        <v>56</v>
      </c>
      <c r="D138" s="19">
        <v>30183</v>
      </c>
      <c r="E138">
        <v>5</v>
      </c>
      <c r="F138">
        <v>3.9</v>
      </c>
      <c r="G138">
        <v>31</v>
      </c>
      <c r="H138">
        <v>16</v>
      </c>
      <c r="I138">
        <v>8</v>
      </c>
      <c r="J138">
        <v>3.2</v>
      </c>
      <c r="K138" t="s">
        <v>14</v>
      </c>
      <c r="L138" t="str">
        <f t="shared" si="2"/>
        <v>Low</v>
      </c>
    </row>
    <row r="139" spans="1:12" ht="15" customHeight="1" x14ac:dyDescent="0.25">
      <c r="A139" t="s">
        <v>157</v>
      </c>
      <c r="B139" t="s">
        <v>21</v>
      </c>
      <c r="C139">
        <v>59</v>
      </c>
      <c r="D139" s="19">
        <v>20730</v>
      </c>
      <c r="E139">
        <v>7</v>
      </c>
      <c r="F139">
        <v>2.8</v>
      </c>
      <c r="G139">
        <v>24</v>
      </c>
      <c r="H139">
        <v>2</v>
      </c>
      <c r="I139">
        <v>8</v>
      </c>
      <c r="J139">
        <v>2.7</v>
      </c>
      <c r="K139" t="s">
        <v>14</v>
      </c>
      <c r="L139" t="str">
        <f t="shared" si="2"/>
        <v>Medium</v>
      </c>
    </row>
    <row r="140" spans="1:12" ht="15" customHeight="1" x14ac:dyDescent="0.25">
      <c r="A140" t="s">
        <v>158</v>
      </c>
      <c r="B140" t="s">
        <v>39</v>
      </c>
      <c r="C140">
        <v>42</v>
      </c>
      <c r="D140" s="19">
        <v>15269</v>
      </c>
      <c r="E140">
        <v>2</v>
      </c>
      <c r="F140">
        <v>4.8</v>
      </c>
      <c r="G140">
        <v>18</v>
      </c>
      <c r="H140">
        <v>26</v>
      </c>
      <c r="I140">
        <v>11</v>
      </c>
      <c r="J140">
        <v>3.8</v>
      </c>
      <c r="K140" t="s">
        <v>14</v>
      </c>
      <c r="L140" t="str">
        <f t="shared" si="2"/>
        <v>Medium</v>
      </c>
    </row>
    <row r="141" spans="1:12" ht="15" customHeight="1" x14ac:dyDescent="0.25">
      <c r="A141" t="s">
        <v>159</v>
      </c>
      <c r="B141" t="s">
        <v>31</v>
      </c>
      <c r="C141">
        <v>25</v>
      </c>
      <c r="D141" s="19">
        <v>14223</v>
      </c>
      <c r="E141">
        <v>7</v>
      </c>
      <c r="F141">
        <v>3</v>
      </c>
      <c r="G141">
        <v>17</v>
      </c>
      <c r="H141">
        <v>13</v>
      </c>
      <c r="I141">
        <v>5</v>
      </c>
      <c r="J141">
        <v>3.6</v>
      </c>
      <c r="K141" t="s">
        <v>26</v>
      </c>
      <c r="L141" t="str">
        <f t="shared" si="2"/>
        <v>High</v>
      </c>
    </row>
    <row r="142" spans="1:12" ht="15" customHeight="1" x14ac:dyDescent="0.25">
      <c r="A142" t="s">
        <v>160</v>
      </c>
      <c r="B142" t="s">
        <v>39</v>
      </c>
      <c r="C142">
        <v>47</v>
      </c>
      <c r="D142" s="19">
        <v>18425</v>
      </c>
      <c r="E142">
        <v>10</v>
      </c>
      <c r="F142">
        <v>4.4000000000000004</v>
      </c>
      <c r="G142">
        <v>9</v>
      </c>
      <c r="H142">
        <v>16</v>
      </c>
      <c r="I142">
        <v>3</v>
      </c>
      <c r="J142">
        <v>3.7</v>
      </c>
      <c r="K142" t="s">
        <v>14</v>
      </c>
      <c r="L142" t="str">
        <f t="shared" si="2"/>
        <v>Low</v>
      </c>
    </row>
    <row r="143" spans="1:12" ht="15" customHeight="1" x14ac:dyDescent="0.25">
      <c r="A143" t="s">
        <v>161</v>
      </c>
      <c r="B143" t="s">
        <v>13</v>
      </c>
      <c r="C143">
        <v>23</v>
      </c>
      <c r="D143" s="19">
        <v>40577</v>
      </c>
      <c r="E143">
        <v>0</v>
      </c>
      <c r="F143">
        <v>2.4</v>
      </c>
      <c r="G143">
        <v>35</v>
      </c>
      <c r="H143">
        <v>13</v>
      </c>
      <c r="I143">
        <v>8</v>
      </c>
      <c r="J143">
        <v>1.6</v>
      </c>
      <c r="K143" t="s">
        <v>26</v>
      </c>
      <c r="L143" t="str">
        <f t="shared" si="2"/>
        <v>High</v>
      </c>
    </row>
    <row r="144" spans="1:12" ht="15" customHeight="1" x14ac:dyDescent="0.25">
      <c r="A144" t="s">
        <v>162</v>
      </c>
      <c r="B144" t="s">
        <v>39</v>
      </c>
      <c r="C144">
        <v>58</v>
      </c>
      <c r="D144" s="19">
        <v>21997</v>
      </c>
      <c r="E144">
        <v>11</v>
      </c>
      <c r="F144">
        <v>4.5999999999999996</v>
      </c>
      <c r="G144">
        <v>39</v>
      </c>
      <c r="H144">
        <v>10</v>
      </c>
      <c r="I144">
        <v>3</v>
      </c>
      <c r="J144">
        <v>3.8</v>
      </c>
      <c r="K144" t="s">
        <v>14</v>
      </c>
      <c r="L144" t="str">
        <f t="shared" si="2"/>
        <v>Low</v>
      </c>
    </row>
    <row r="145" spans="1:12" ht="15" customHeight="1" x14ac:dyDescent="0.25">
      <c r="A145" t="s">
        <v>163</v>
      </c>
      <c r="B145" t="s">
        <v>18</v>
      </c>
      <c r="C145">
        <v>38</v>
      </c>
      <c r="D145" s="19">
        <v>20309</v>
      </c>
      <c r="E145">
        <v>5</v>
      </c>
      <c r="F145">
        <v>3.5</v>
      </c>
      <c r="G145">
        <v>16</v>
      </c>
      <c r="H145">
        <v>13</v>
      </c>
      <c r="I145">
        <v>7</v>
      </c>
      <c r="J145">
        <v>4.0999999999999996</v>
      </c>
      <c r="K145" t="s">
        <v>14</v>
      </c>
      <c r="L145" t="str">
        <f t="shared" si="2"/>
        <v>Low</v>
      </c>
    </row>
    <row r="146" spans="1:12" ht="15" customHeight="1" x14ac:dyDescent="0.25">
      <c r="A146" t="s">
        <v>164</v>
      </c>
      <c r="B146" t="s">
        <v>21</v>
      </c>
      <c r="C146">
        <v>35</v>
      </c>
      <c r="D146" s="19">
        <v>24890</v>
      </c>
      <c r="E146">
        <v>6</v>
      </c>
      <c r="F146">
        <v>2.5</v>
      </c>
      <c r="G146">
        <v>23</v>
      </c>
      <c r="H146">
        <v>27</v>
      </c>
      <c r="I146">
        <v>11</v>
      </c>
      <c r="J146">
        <v>3.6</v>
      </c>
      <c r="K146" t="s">
        <v>14</v>
      </c>
      <c r="L146" t="str">
        <f t="shared" si="2"/>
        <v>Medium</v>
      </c>
    </row>
    <row r="147" spans="1:12" ht="15" customHeight="1" x14ac:dyDescent="0.25">
      <c r="A147" t="s">
        <v>165</v>
      </c>
      <c r="B147" t="s">
        <v>21</v>
      </c>
      <c r="C147">
        <v>45</v>
      </c>
      <c r="D147" s="19">
        <v>13575</v>
      </c>
      <c r="E147">
        <v>13</v>
      </c>
      <c r="F147">
        <v>3.6</v>
      </c>
      <c r="G147">
        <v>10</v>
      </c>
      <c r="H147">
        <v>5</v>
      </c>
      <c r="I147">
        <v>6</v>
      </c>
      <c r="J147">
        <v>2.8</v>
      </c>
      <c r="K147" t="s">
        <v>26</v>
      </c>
      <c r="L147" t="str">
        <f t="shared" si="2"/>
        <v>High</v>
      </c>
    </row>
    <row r="148" spans="1:12" ht="15" customHeight="1" x14ac:dyDescent="0.25">
      <c r="A148" t="s">
        <v>166</v>
      </c>
      <c r="B148" t="s">
        <v>18</v>
      </c>
      <c r="C148">
        <v>48</v>
      </c>
      <c r="D148" s="19">
        <v>21512</v>
      </c>
      <c r="E148">
        <v>10</v>
      </c>
      <c r="F148">
        <v>3.8</v>
      </c>
      <c r="G148">
        <v>42</v>
      </c>
      <c r="H148">
        <v>34</v>
      </c>
      <c r="I148">
        <v>4</v>
      </c>
      <c r="J148">
        <v>3.1</v>
      </c>
      <c r="K148" t="s">
        <v>14</v>
      </c>
      <c r="L148" t="str">
        <f t="shared" si="2"/>
        <v>Medium</v>
      </c>
    </row>
    <row r="149" spans="1:12" ht="15" customHeight="1" x14ac:dyDescent="0.25">
      <c r="A149" t="s">
        <v>167</v>
      </c>
      <c r="B149" t="s">
        <v>13</v>
      </c>
      <c r="C149">
        <v>60</v>
      </c>
      <c r="D149" s="19">
        <v>27148</v>
      </c>
      <c r="E149">
        <v>0</v>
      </c>
      <c r="F149">
        <v>2.9</v>
      </c>
      <c r="G149">
        <v>16</v>
      </c>
      <c r="H149">
        <v>25</v>
      </c>
      <c r="I149">
        <v>4</v>
      </c>
      <c r="J149">
        <v>4.9000000000000004</v>
      </c>
      <c r="K149" t="s">
        <v>14</v>
      </c>
      <c r="L149" t="str">
        <f t="shared" si="2"/>
        <v>Medium</v>
      </c>
    </row>
    <row r="150" spans="1:12" ht="15" customHeight="1" x14ac:dyDescent="0.25">
      <c r="A150" t="s">
        <v>168</v>
      </c>
      <c r="B150" t="s">
        <v>18</v>
      </c>
      <c r="C150">
        <v>58</v>
      </c>
      <c r="D150" s="19">
        <v>17779</v>
      </c>
      <c r="E150">
        <v>3</v>
      </c>
      <c r="F150">
        <v>2.7</v>
      </c>
      <c r="G150">
        <v>45</v>
      </c>
      <c r="H150">
        <v>8</v>
      </c>
      <c r="I150">
        <v>5</v>
      </c>
      <c r="J150">
        <v>3.9</v>
      </c>
      <c r="K150" t="s">
        <v>14</v>
      </c>
      <c r="L150" t="str">
        <f t="shared" si="2"/>
        <v>Low</v>
      </c>
    </row>
    <row r="151" spans="1:12" ht="15" customHeight="1" x14ac:dyDescent="0.25">
      <c r="A151" t="s">
        <v>169</v>
      </c>
      <c r="B151" t="s">
        <v>13</v>
      </c>
      <c r="C151">
        <v>36</v>
      </c>
      <c r="D151" s="19">
        <v>34659</v>
      </c>
      <c r="E151">
        <v>2</v>
      </c>
      <c r="F151">
        <v>3.6</v>
      </c>
      <c r="G151">
        <v>25</v>
      </c>
      <c r="H151">
        <v>33</v>
      </c>
      <c r="I151">
        <v>3</v>
      </c>
      <c r="J151">
        <v>3.2</v>
      </c>
      <c r="K151" t="s">
        <v>14</v>
      </c>
      <c r="L151" t="str">
        <f t="shared" si="2"/>
        <v>Medium</v>
      </c>
    </row>
    <row r="152" spans="1:12" ht="15" customHeight="1" x14ac:dyDescent="0.25">
      <c r="A152" t="s">
        <v>170</v>
      </c>
      <c r="B152" t="s">
        <v>13</v>
      </c>
      <c r="C152">
        <v>32</v>
      </c>
      <c r="D152" s="19">
        <v>32015</v>
      </c>
      <c r="E152">
        <v>4</v>
      </c>
      <c r="F152">
        <v>3.6</v>
      </c>
      <c r="G152">
        <v>44</v>
      </c>
      <c r="H152">
        <v>5</v>
      </c>
      <c r="I152">
        <v>3</v>
      </c>
      <c r="J152">
        <v>2.1</v>
      </c>
      <c r="K152" t="s">
        <v>26</v>
      </c>
      <c r="L152" t="str">
        <f t="shared" si="2"/>
        <v>High</v>
      </c>
    </row>
    <row r="153" spans="1:12" ht="15" customHeight="1" x14ac:dyDescent="0.25">
      <c r="A153" t="s">
        <v>171</v>
      </c>
      <c r="B153" t="s">
        <v>31</v>
      </c>
      <c r="C153">
        <v>55</v>
      </c>
      <c r="D153" s="19">
        <v>16527</v>
      </c>
      <c r="E153">
        <v>10</v>
      </c>
      <c r="F153">
        <v>3.3</v>
      </c>
      <c r="G153">
        <v>5</v>
      </c>
      <c r="H153">
        <v>2</v>
      </c>
      <c r="I153">
        <v>7</v>
      </c>
      <c r="J153">
        <v>1.8</v>
      </c>
      <c r="K153" t="s">
        <v>14</v>
      </c>
      <c r="L153" t="str">
        <f t="shared" si="2"/>
        <v>Medium</v>
      </c>
    </row>
    <row r="154" spans="1:12" ht="15" customHeight="1" x14ac:dyDescent="0.25">
      <c r="A154" t="s">
        <v>172</v>
      </c>
      <c r="B154" t="s">
        <v>31</v>
      </c>
      <c r="C154">
        <v>22</v>
      </c>
      <c r="D154" s="19">
        <v>22437</v>
      </c>
      <c r="E154">
        <v>2</v>
      </c>
      <c r="F154">
        <v>3.9</v>
      </c>
      <c r="G154">
        <v>10</v>
      </c>
      <c r="H154">
        <v>28</v>
      </c>
      <c r="I154">
        <v>7</v>
      </c>
      <c r="J154">
        <v>3.6</v>
      </c>
      <c r="K154" t="s">
        <v>14</v>
      </c>
      <c r="L154" t="str">
        <f t="shared" si="2"/>
        <v>Medium</v>
      </c>
    </row>
    <row r="155" spans="1:12" ht="15" customHeight="1" x14ac:dyDescent="0.25">
      <c r="A155" t="s">
        <v>173</v>
      </c>
      <c r="B155" t="s">
        <v>31</v>
      </c>
      <c r="C155">
        <v>59</v>
      </c>
      <c r="D155" s="19">
        <v>18210</v>
      </c>
      <c r="E155">
        <v>3</v>
      </c>
      <c r="F155">
        <v>2.4</v>
      </c>
      <c r="G155">
        <v>36</v>
      </c>
      <c r="H155">
        <v>18</v>
      </c>
      <c r="I155">
        <v>6</v>
      </c>
      <c r="J155">
        <v>2.7</v>
      </c>
      <c r="K155" t="s">
        <v>26</v>
      </c>
      <c r="L155" t="str">
        <f t="shared" si="2"/>
        <v>High</v>
      </c>
    </row>
    <row r="156" spans="1:12" ht="15" customHeight="1" x14ac:dyDescent="0.25">
      <c r="A156" t="s">
        <v>174</v>
      </c>
      <c r="B156" t="s">
        <v>13</v>
      </c>
      <c r="C156">
        <v>59</v>
      </c>
      <c r="D156" s="19">
        <v>33623</v>
      </c>
      <c r="E156">
        <v>4</v>
      </c>
      <c r="F156">
        <v>4</v>
      </c>
      <c r="G156">
        <v>36</v>
      </c>
      <c r="H156">
        <v>2</v>
      </c>
      <c r="I156">
        <v>12</v>
      </c>
      <c r="J156">
        <v>3</v>
      </c>
      <c r="K156" t="s">
        <v>14</v>
      </c>
      <c r="L156" t="str">
        <f t="shared" si="2"/>
        <v>Low</v>
      </c>
    </row>
    <row r="157" spans="1:12" ht="15" customHeight="1" x14ac:dyDescent="0.25">
      <c r="A157" t="s">
        <v>175</v>
      </c>
      <c r="B157" t="s">
        <v>21</v>
      </c>
      <c r="C157">
        <v>22</v>
      </c>
      <c r="D157" s="19">
        <v>13045</v>
      </c>
      <c r="E157">
        <v>7</v>
      </c>
      <c r="F157">
        <v>4.2</v>
      </c>
      <c r="G157">
        <v>28</v>
      </c>
      <c r="H157">
        <v>22</v>
      </c>
      <c r="I157">
        <v>5</v>
      </c>
      <c r="J157">
        <v>3.1</v>
      </c>
      <c r="K157" t="s">
        <v>14</v>
      </c>
      <c r="L157" t="str">
        <f t="shared" si="2"/>
        <v>Medium</v>
      </c>
    </row>
    <row r="158" spans="1:12" ht="15" customHeight="1" x14ac:dyDescent="0.25">
      <c r="A158" t="s">
        <v>176</v>
      </c>
      <c r="B158" t="s">
        <v>16</v>
      </c>
      <c r="C158">
        <v>54</v>
      </c>
      <c r="D158" s="19">
        <v>31377</v>
      </c>
      <c r="E158">
        <v>13</v>
      </c>
      <c r="F158">
        <v>3.8</v>
      </c>
      <c r="G158">
        <v>18</v>
      </c>
      <c r="H158">
        <v>20</v>
      </c>
      <c r="I158">
        <v>9</v>
      </c>
      <c r="J158">
        <v>3.2</v>
      </c>
      <c r="K158" t="s">
        <v>14</v>
      </c>
      <c r="L158" t="str">
        <f t="shared" si="2"/>
        <v>Low</v>
      </c>
    </row>
    <row r="159" spans="1:12" ht="15" customHeight="1" x14ac:dyDescent="0.25">
      <c r="A159" t="s">
        <v>177</v>
      </c>
      <c r="B159" t="s">
        <v>13</v>
      </c>
      <c r="C159">
        <v>57</v>
      </c>
      <c r="D159" s="19">
        <v>41907</v>
      </c>
      <c r="E159">
        <v>15</v>
      </c>
      <c r="F159">
        <v>3.6</v>
      </c>
      <c r="G159">
        <v>7</v>
      </c>
      <c r="H159">
        <v>26</v>
      </c>
      <c r="I159">
        <v>7</v>
      </c>
      <c r="J159">
        <v>4.3</v>
      </c>
      <c r="K159" t="s">
        <v>14</v>
      </c>
      <c r="L159" t="str">
        <f t="shared" si="2"/>
        <v>Medium</v>
      </c>
    </row>
    <row r="160" spans="1:12" ht="15" customHeight="1" x14ac:dyDescent="0.25">
      <c r="A160" t="s">
        <v>178</v>
      </c>
      <c r="B160" t="s">
        <v>39</v>
      </c>
      <c r="C160">
        <v>50</v>
      </c>
      <c r="D160" s="19">
        <v>17060</v>
      </c>
      <c r="E160">
        <v>1</v>
      </c>
      <c r="F160">
        <v>3.4</v>
      </c>
      <c r="G160">
        <v>11</v>
      </c>
      <c r="H160">
        <v>25</v>
      </c>
      <c r="I160">
        <v>7</v>
      </c>
      <c r="J160">
        <v>3.4</v>
      </c>
      <c r="K160" t="s">
        <v>14</v>
      </c>
      <c r="L160" t="str">
        <f t="shared" si="2"/>
        <v>Medium</v>
      </c>
    </row>
    <row r="161" spans="1:12" ht="15" customHeight="1" x14ac:dyDescent="0.25">
      <c r="A161" t="s">
        <v>179</v>
      </c>
      <c r="B161" t="s">
        <v>39</v>
      </c>
      <c r="C161">
        <v>21</v>
      </c>
      <c r="D161" s="19">
        <v>25547</v>
      </c>
      <c r="E161">
        <v>15</v>
      </c>
      <c r="F161">
        <v>4.4000000000000004</v>
      </c>
      <c r="G161">
        <v>35</v>
      </c>
      <c r="H161">
        <v>15</v>
      </c>
      <c r="I161">
        <v>2</v>
      </c>
      <c r="J161">
        <v>3.3</v>
      </c>
      <c r="K161" t="s">
        <v>14</v>
      </c>
      <c r="L161" t="str">
        <f t="shared" si="2"/>
        <v>Low</v>
      </c>
    </row>
    <row r="162" spans="1:12" ht="15" customHeight="1" x14ac:dyDescent="0.25">
      <c r="A162" t="s">
        <v>180</v>
      </c>
      <c r="B162" t="s">
        <v>39</v>
      </c>
      <c r="C162">
        <v>25</v>
      </c>
      <c r="D162" s="19">
        <v>26026</v>
      </c>
      <c r="E162">
        <v>4</v>
      </c>
      <c r="F162">
        <v>3</v>
      </c>
      <c r="G162">
        <v>22</v>
      </c>
      <c r="H162">
        <v>10</v>
      </c>
      <c r="I162">
        <v>1</v>
      </c>
      <c r="J162">
        <v>2.1</v>
      </c>
      <c r="K162" t="s">
        <v>14</v>
      </c>
      <c r="L162" t="str">
        <f t="shared" si="2"/>
        <v>Medium</v>
      </c>
    </row>
    <row r="163" spans="1:12" ht="15" customHeight="1" x14ac:dyDescent="0.25">
      <c r="A163" t="s">
        <v>181</v>
      </c>
      <c r="B163" t="s">
        <v>16</v>
      </c>
      <c r="C163">
        <v>47</v>
      </c>
      <c r="D163" s="19">
        <v>19678</v>
      </c>
      <c r="E163">
        <v>4</v>
      </c>
      <c r="F163">
        <v>3.2</v>
      </c>
      <c r="G163">
        <v>27</v>
      </c>
      <c r="H163">
        <v>33</v>
      </c>
      <c r="I163">
        <v>4</v>
      </c>
      <c r="J163">
        <v>3.6</v>
      </c>
      <c r="K163" t="s">
        <v>14</v>
      </c>
      <c r="L163" t="str">
        <f t="shared" si="2"/>
        <v>Medium</v>
      </c>
    </row>
    <row r="164" spans="1:12" ht="15" customHeight="1" x14ac:dyDescent="0.25">
      <c r="A164" t="s">
        <v>182</v>
      </c>
      <c r="B164" t="s">
        <v>16</v>
      </c>
      <c r="C164">
        <v>26</v>
      </c>
      <c r="D164" s="19">
        <v>31785</v>
      </c>
      <c r="E164">
        <v>5</v>
      </c>
      <c r="F164">
        <v>2.6</v>
      </c>
      <c r="G164">
        <v>22</v>
      </c>
      <c r="H164">
        <v>2</v>
      </c>
      <c r="I164">
        <v>11</v>
      </c>
      <c r="J164">
        <v>4</v>
      </c>
      <c r="K164" t="s">
        <v>14</v>
      </c>
      <c r="L164" t="str">
        <f t="shared" si="2"/>
        <v>Low</v>
      </c>
    </row>
    <row r="165" spans="1:12" ht="15" customHeight="1" x14ac:dyDescent="0.25">
      <c r="A165" t="s">
        <v>183</v>
      </c>
      <c r="B165" t="s">
        <v>16</v>
      </c>
      <c r="C165">
        <v>42</v>
      </c>
      <c r="D165" s="19">
        <v>25126</v>
      </c>
      <c r="E165">
        <v>0</v>
      </c>
      <c r="F165">
        <v>4.7</v>
      </c>
      <c r="G165">
        <v>46</v>
      </c>
      <c r="H165">
        <v>5</v>
      </c>
      <c r="I165">
        <v>3</v>
      </c>
      <c r="J165">
        <v>3.5</v>
      </c>
      <c r="K165" t="s">
        <v>14</v>
      </c>
      <c r="L165" t="str">
        <f t="shared" si="2"/>
        <v>Medium</v>
      </c>
    </row>
    <row r="166" spans="1:12" ht="15" customHeight="1" x14ac:dyDescent="0.25">
      <c r="A166" t="s">
        <v>184</v>
      </c>
      <c r="B166" t="s">
        <v>16</v>
      </c>
      <c r="C166">
        <v>53</v>
      </c>
      <c r="D166" s="19">
        <v>19737</v>
      </c>
      <c r="E166">
        <v>3</v>
      </c>
      <c r="F166">
        <v>2.7</v>
      </c>
      <c r="G166">
        <v>36</v>
      </c>
      <c r="H166">
        <v>33</v>
      </c>
      <c r="I166">
        <v>10</v>
      </c>
      <c r="J166">
        <v>4.5</v>
      </c>
      <c r="K166" t="s">
        <v>14</v>
      </c>
      <c r="L166" t="str">
        <f t="shared" si="2"/>
        <v>Medium</v>
      </c>
    </row>
    <row r="167" spans="1:12" ht="15" customHeight="1" x14ac:dyDescent="0.25">
      <c r="A167" t="s">
        <v>185</v>
      </c>
      <c r="B167" t="s">
        <v>13</v>
      </c>
      <c r="C167">
        <v>50</v>
      </c>
      <c r="D167" s="19">
        <v>40075</v>
      </c>
      <c r="E167">
        <v>1</v>
      </c>
      <c r="F167">
        <v>5</v>
      </c>
      <c r="G167">
        <v>22</v>
      </c>
      <c r="H167">
        <v>15</v>
      </c>
      <c r="I167">
        <v>7</v>
      </c>
      <c r="J167">
        <v>4</v>
      </c>
      <c r="K167" t="s">
        <v>14</v>
      </c>
      <c r="L167" t="str">
        <f t="shared" si="2"/>
        <v>Medium</v>
      </c>
    </row>
    <row r="168" spans="1:12" ht="15" customHeight="1" x14ac:dyDescent="0.25">
      <c r="A168" t="s">
        <v>186</v>
      </c>
      <c r="B168" t="s">
        <v>16</v>
      </c>
      <c r="C168">
        <v>33</v>
      </c>
      <c r="D168" s="19">
        <v>29324</v>
      </c>
      <c r="E168">
        <v>12</v>
      </c>
      <c r="F168">
        <v>3.2</v>
      </c>
      <c r="G168">
        <v>10</v>
      </c>
      <c r="H168">
        <v>5</v>
      </c>
      <c r="I168">
        <v>0</v>
      </c>
      <c r="J168">
        <v>4.4000000000000004</v>
      </c>
      <c r="K168" t="s">
        <v>14</v>
      </c>
      <c r="L168" t="str">
        <f t="shared" si="2"/>
        <v>Low</v>
      </c>
    </row>
    <row r="169" spans="1:12" ht="15" customHeight="1" x14ac:dyDescent="0.25">
      <c r="A169" t="s">
        <v>187</v>
      </c>
      <c r="B169" t="s">
        <v>31</v>
      </c>
      <c r="C169">
        <v>28</v>
      </c>
      <c r="D169" s="19">
        <v>13497</v>
      </c>
      <c r="E169">
        <v>6</v>
      </c>
      <c r="F169">
        <v>4</v>
      </c>
      <c r="G169">
        <v>35</v>
      </c>
      <c r="H169">
        <v>13</v>
      </c>
      <c r="I169">
        <v>10</v>
      </c>
      <c r="J169">
        <v>4.4000000000000004</v>
      </c>
      <c r="K169" t="s">
        <v>14</v>
      </c>
      <c r="L169" t="str">
        <f t="shared" si="2"/>
        <v>Low</v>
      </c>
    </row>
    <row r="170" spans="1:12" ht="15" customHeight="1" x14ac:dyDescent="0.25">
      <c r="A170" t="s">
        <v>188</v>
      </c>
      <c r="B170" t="s">
        <v>18</v>
      </c>
      <c r="C170">
        <v>47</v>
      </c>
      <c r="D170" s="19">
        <v>15138</v>
      </c>
      <c r="E170">
        <v>15</v>
      </c>
      <c r="F170">
        <v>3.4</v>
      </c>
      <c r="G170">
        <v>28</v>
      </c>
      <c r="H170">
        <v>6</v>
      </c>
      <c r="I170">
        <v>2</v>
      </c>
      <c r="J170">
        <v>2.4</v>
      </c>
      <c r="K170" t="s">
        <v>14</v>
      </c>
      <c r="L170" t="str">
        <f t="shared" si="2"/>
        <v>Medium</v>
      </c>
    </row>
    <row r="171" spans="1:12" ht="15" customHeight="1" x14ac:dyDescent="0.25">
      <c r="A171" t="s">
        <v>189</v>
      </c>
      <c r="B171" t="s">
        <v>39</v>
      </c>
      <c r="C171">
        <v>54</v>
      </c>
      <c r="D171" s="19">
        <v>28440</v>
      </c>
      <c r="E171">
        <v>0</v>
      </c>
      <c r="F171">
        <v>3.6</v>
      </c>
      <c r="G171">
        <v>41</v>
      </c>
      <c r="H171">
        <v>6</v>
      </c>
      <c r="I171">
        <v>4</v>
      </c>
      <c r="J171">
        <v>4.2</v>
      </c>
      <c r="K171" t="s">
        <v>14</v>
      </c>
      <c r="L171" t="str">
        <f t="shared" si="2"/>
        <v>Medium</v>
      </c>
    </row>
    <row r="172" spans="1:12" ht="15" customHeight="1" x14ac:dyDescent="0.25">
      <c r="A172" t="s">
        <v>190</v>
      </c>
      <c r="B172" t="s">
        <v>39</v>
      </c>
      <c r="C172">
        <v>54</v>
      </c>
      <c r="D172" s="19">
        <v>22737</v>
      </c>
      <c r="E172">
        <v>15</v>
      </c>
      <c r="F172">
        <v>3.3</v>
      </c>
      <c r="G172">
        <v>42</v>
      </c>
      <c r="H172">
        <v>7</v>
      </c>
      <c r="I172">
        <v>9</v>
      </c>
      <c r="J172">
        <v>5</v>
      </c>
      <c r="K172" t="s">
        <v>14</v>
      </c>
      <c r="L172" t="str">
        <f t="shared" si="2"/>
        <v>Low</v>
      </c>
    </row>
    <row r="173" spans="1:12" ht="15" customHeight="1" x14ac:dyDescent="0.25">
      <c r="A173" t="s">
        <v>191</v>
      </c>
      <c r="B173" t="s">
        <v>39</v>
      </c>
      <c r="C173">
        <v>34</v>
      </c>
      <c r="D173" s="19">
        <v>29514</v>
      </c>
      <c r="E173">
        <v>2</v>
      </c>
      <c r="F173">
        <v>3</v>
      </c>
      <c r="G173">
        <v>23</v>
      </c>
      <c r="H173">
        <v>4</v>
      </c>
      <c r="I173">
        <v>9</v>
      </c>
      <c r="J173">
        <v>1.7</v>
      </c>
      <c r="K173" t="s">
        <v>14</v>
      </c>
      <c r="L173" t="str">
        <f t="shared" si="2"/>
        <v>Medium</v>
      </c>
    </row>
    <row r="174" spans="1:12" ht="15" customHeight="1" x14ac:dyDescent="0.25">
      <c r="A174" t="s">
        <v>192</v>
      </c>
      <c r="B174" t="s">
        <v>39</v>
      </c>
      <c r="C174">
        <v>39</v>
      </c>
      <c r="D174" s="19">
        <v>18790</v>
      </c>
      <c r="E174">
        <v>15</v>
      </c>
      <c r="F174">
        <v>3.3</v>
      </c>
      <c r="G174">
        <v>12</v>
      </c>
      <c r="H174">
        <v>26</v>
      </c>
      <c r="I174">
        <v>7</v>
      </c>
      <c r="J174">
        <v>4</v>
      </c>
      <c r="K174" t="s">
        <v>14</v>
      </c>
      <c r="L174" t="str">
        <f t="shared" si="2"/>
        <v>Medium</v>
      </c>
    </row>
    <row r="175" spans="1:12" ht="15" customHeight="1" x14ac:dyDescent="0.25">
      <c r="A175" t="s">
        <v>193</v>
      </c>
      <c r="B175" t="s">
        <v>13</v>
      </c>
      <c r="C175">
        <v>59</v>
      </c>
      <c r="D175" s="19">
        <v>22845</v>
      </c>
      <c r="E175">
        <v>10</v>
      </c>
      <c r="F175">
        <v>4.8</v>
      </c>
      <c r="G175">
        <v>25</v>
      </c>
      <c r="H175">
        <v>26</v>
      </c>
      <c r="I175">
        <v>9</v>
      </c>
      <c r="J175">
        <v>3.7</v>
      </c>
      <c r="K175" t="s">
        <v>26</v>
      </c>
      <c r="L175" t="str">
        <f t="shared" si="2"/>
        <v>High</v>
      </c>
    </row>
    <row r="176" spans="1:12" ht="15" customHeight="1" x14ac:dyDescent="0.25">
      <c r="A176" t="s">
        <v>194</v>
      </c>
      <c r="B176" t="s">
        <v>31</v>
      </c>
      <c r="C176">
        <v>39</v>
      </c>
      <c r="D176" s="19">
        <v>12702</v>
      </c>
      <c r="E176">
        <v>11</v>
      </c>
      <c r="F176">
        <v>2.5</v>
      </c>
      <c r="G176">
        <v>25</v>
      </c>
      <c r="H176">
        <v>15</v>
      </c>
      <c r="I176">
        <v>1</v>
      </c>
      <c r="J176">
        <v>2.5</v>
      </c>
      <c r="K176" t="s">
        <v>14</v>
      </c>
      <c r="L176" t="str">
        <f t="shared" si="2"/>
        <v>Medium</v>
      </c>
    </row>
    <row r="177" spans="1:12" ht="15" customHeight="1" x14ac:dyDescent="0.25">
      <c r="A177" t="s">
        <v>195</v>
      </c>
      <c r="B177" t="s">
        <v>31</v>
      </c>
      <c r="C177">
        <v>23</v>
      </c>
      <c r="D177" s="19">
        <v>14110</v>
      </c>
      <c r="E177">
        <v>13</v>
      </c>
      <c r="F177">
        <v>3.4</v>
      </c>
      <c r="G177">
        <v>5</v>
      </c>
      <c r="H177">
        <v>2</v>
      </c>
      <c r="I177">
        <v>14</v>
      </c>
      <c r="J177">
        <v>2.8</v>
      </c>
      <c r="K177" t="s">
        <v>26</v>
      </c>
      <c r="L177" t="str">
        <f t="shared" si="2"/>
        <v>High</v>
      </c>
    </row>
    <row r="178" spans="1:12" ht="15" customHeight="1" x14ac:dyDescent="0.25">
      <c r="A178" t="s">
        <v>196</v>
      </c>
      <c r="B178" t="s">
        <v>13</v>
      </c>
      <c r="C178">
        <v>44</v>
      </c>
      <c r="D178" s="19">
        <v>31036</v>
      </c>
      <c r="E178">
        <v>12</v>
      </c>
      <c r="F178">
        <v>3.9</v>
      </c>
      <c r="G178">
        <v>24</v>
      </c>
      <c r="H178">
        <v>13</v>
      </c>
      <c r="I178">
        <v>10</v>
      </c>
      <c r="J178">
        <v>3.9</v>
      </c>
      <c r="K178" t="s">
        <v>14</v>
      </c>
      <c r="L178" t="str">
        <f t="shared" si="2"/>
        <v>Low</v>
      </c>
    </row>
    <row r="179" spans="1:12" ht="15" customHeight="1" x14ac:dyDescent="0.25">
      <c r="A179" t="s">
        <v>197</v>
      </c>
      <c r="B179" t="s">
        <v>16</v>
      </c>
      <c r="C179">
        <v>43</v>
      </c>
      <c r="D179" s="19">
        <v>35681</v>
      </c>
      <c r="E179">
        <v>3</v>
      </c>
      <c r="F179">
        <v>3.7</v>
      </c>
      <c r="G179">
        <v>35</v>
      </c>
      <c r="H179">
        <v>31</v>
      </c>
      <c r="I179">
        <v>1</v>
      </c>
      <c r="J179">
        <v>3.9</v>
      </c>
      <c r="K179" t="s">
        <v>14</v>
      </c>
      <c r="L179" t="str">
        <f t="shared" si="2"/>
        <v>Medium</v>
      </c>
    </row>
    <row r="180" spans="1:12" ht="15" customHeight="1" x14ac:dyDescent="0.25">
      <c r="A180" t="s">
        <v>198</v>
      </c>
      <c r="B180" t="s">
        <v>39</v>
      </c>
      <c r="C180">
        <v>34</v>
      </c>
      <c r="D180" s="19">
        <v>15660</v>
      </c>
      <c r="E180">
        <v>7</v>
      </c>
      <c r="F180">
        <v>3.1</v>
      </c>
      <c r="G180">
        <v>37</v>
      </c>
      <c r="H180">
        <v>28</v>
      </c>
      <c r="I180">
        <v>11</v>
      </c>
      <c r="J180">
        <v>3.6</v>
      </c>
      <c r="K180" t="s">
        <v>14</v>
      </c>
      <c r="L180" t="str">
        <f t="shared" si="2"/>
        <v>Medium</v>
      </c>
    </row>
    <row r="181" spans="1:12" ht="15" customHeight="1" x14ac:dyDescent="0.25">
      <c r="A181" t="s">
        <v>199</v>
      </c>
      <c r="B181" t="s">
        <v>31</v>
      </c>
      <c r="C181">
        <v>56</v>
      </c>
      <c r="D181" s="19">
        <v>15829</v>
      </c>
      <c r="E181">
        <v>11</v>
      </c>
      <c r="F181">
        <v>2.7</v>
      </c>
      <c r="G181">
        <v>43</v>
      </c>
      <c r="H181">
        <v>7</v>
      </c>
      <c r="I181">
        <v>12</v>
      </c>
      <c r="J181">
        <v>3.8</v>
      </c>
      <c r="K181" t="s">
        <v>14</v>
      </c>
      <c r="L181" t="str">
        <f t="shared" si="2"/>
        <v>Low</v>
      </c>
    </row>
    <row r="182" spans="1:12" ht="15" customHeight="1" x14ac:dyDescent="0.25">
      <c r="A182" t="s">
        <v>200</v>
      </c>
      <c r="B182" t="s">
        <v>31</v>
      </c>
      <c r="C182">
        <v>22</v>
      </c>
      <c r="D182" s="19">
        <v>23592</v>
      </c>
      <c r="E182">
        <v>2</v>
      </c>
      <c r="F182">
        <v>3.6</v>
      </c>
      <c r="G182">
        <v>15</v>
      </c>
      <c r="H182">
        <v>1</v>
      </c>
      <c r="I182">
        <v>3</v>
      </c>
      <c r="J182">
        <v>3.2</v>
      </c>
      <c r="K182" t="s">
        <v>14</v>
      </c>
      <c r="L182" t="str">
        <f t="shared" si="2"/>
        <v>Low</v>
      </c>
    </row>
    <row r="183" spans="1:12" ht="15" customHeight="1" x14ac:dyDescent="0.25">
      <c r="A183" t="s">
        <v>201</v>
      </c>
      <c r="B183" t="s">
        <v>13</v>
      </c>
      <c r="C183">
        <v>46</v>
      </c>
      <c r="D183" s="19">
        <v>38463</v>
      </c>
      <c r="E183">
        <v>9</v>
      </c>
      <c r="F183">
        <v>2.5</v>
      </c>
      <c r="G183">
        <v>39</v>
      </c>
      <c r="H183">
        <v>29</v>
      </c>
      <c r="I183">
        <v>10</v>
      </c>
      <c r="J183">
        <v>4</v>
      </c>
      <c r="K183" t="s">
        <v>26</v>
      </c>
      <c r="L183" t="str">
        <f t="shared" si="2"/>
        <v>High</v>
      </c>
    </row>
    <row r="184" spans="1:12" ht="15" customHeight="1" x14ac:dyDescent="0.25">
      <c r="A184" t="s">
        <v>202</v>
      </c>
      <c r="B184" t="s">
        <v>16</v>
      </c>
      <c r="C184">
        <v>58</v>
      </c>
      <c r="D184" s="19">
        <v>37637</v>
      </c>
      <c r="E184">
        <v>3</v>
      </c>
      <c r="F184">
        <v>3</v>
      </c>
      <c r="G184">
        <v>23</v>
      </c>
      <c r="H184">
        <v>12</v>
      </c>
      <c r="I184">
        <v>13</v>
      </c>
      <c r="J184">
        <v>5</v>
      </c>
      <c r="K184" t="s">
        <v>14</v>
      </c>
      <c r="L184" t="str">
        <f t="shared" si="2"/>
        <v>Low</v>
      </c>
    </row>
    <row r="185" spans="1:12" ht="15" customHeight="1" x14ac:dyDescent="0.25">
      <c r="A185" t="s">
        <v>203</v>
      </c>
      <c r="B185" t="s">
        <v>13</v>
      </c>
      <c r="C185">
        <v>39</v>
      </c>
      <c r="D185" s="19">
        <v>32086</v>
      </c>
      <c r="E185">
        <v>13</v>
      </c>
      <c r="F185">
        <v>2.9</v>
      </c>
      <c r="G185">
        <v>43</v>
      </c>
      <c r="H185">
        <v>1</v>
      </c>
      <c r="I185">
        <v>11</v>
      </c>
      <c r="J185">
        <v>3.3</v>
      </c>
      <c r="K185" t="s">
        <v>14</v>
      </c>
      <c r="L185" t="str">
        <f t="shared" si="2"/>
        <v>Low</v>
      </c>
    </row>
    <row r="186" spans="1:12" ht="15" customHeight="1" x14ac:dyDescent="0.25">
      <c r="A186" t="s">
        <v>204</v>
      </c>
      <c r="B186" t="s">
        <v>18</v>
      </c>
      <c r="C186">
        <v>50</v>
      </c>
      <c r="D186" s="19">
        <v>27687</v>
      </c>
      <c r="E186">
        <v>9</v>
      </c>
      <c r="F186">
        <v>1</v>
      </c>
      <c r="G186">
        <v>18</v>
      </c>
      <c r="H186">
        <v>33</v>
      </c>
      <c r="I186">
        <v>1</v>
      </c>
      <c r="J186">
        <v>2.8</v>
      </c>
      <c r="K186" t="s">
        <v>14</v>
      </c>
      <c r="L186" t="str">
        <f t="shared" si="2"/>
        <v>Medium</v>
      </c>
    </row>
    <row r="187" spans="1:12" ht="15" customHeight="1" x14ac:dyDescent="0.25">
      <c r="A187" t="s">
        <v>205</v>
      </c>
      <c r="B187" t="s">
        <v>16</v>
      </c>
      <c r="C187">
        <v>36</v>
      </c>
      <c r="D187" s="19">
        <v>37387</v>
      </c>
      <c r="E187">
        <v>0</v>
      </c>
      <c r="F187">
        <v>3</v>
      </c>
      <c r="G187">
        <v>26</v>
      </c>
      <c r="H187">
        <v>26</v>
      </c>
      <c r="I187">
        <v>8</v>
      </c>
      <c r="J187">
        <v>3.1</v>
      </c>
      <c r="K187" t="s">
        <v>26</v>
      </c>
      <c r="L187" t="str">
        <f t="shared" si="2"/>
        <v>High</v>
      </c>
    </row>
    <row r="188" spans="1:12" ht="15" customHeight="1" x14ac:dyDescent="0.25">
      <c r="A188" t="s">
        <v>206</v>
      </c>
      <c r="B188" t="s">
        <v>31</v>
      </c>
      <c r="C188">
        <v>57</v>
      </c>
      <c r="D188" s="19">
        <v>14412</v>
      </c>
      <c r="E188">
        <v>12</v>
      </c>
      <c r="F188">
        <v>2.8</v>
      </c>
      <c r="G188">
        <v>47</v>
      </c>
      <c r="H188">
        <v>9</v>
      </c>
      <c r="I188">
        <v>4</v>
      </c>
      <c r="J188">
        <v>2.8</v>
      </c>
      <c r="K188" t="s">
        <v>14</v>
      </c>
      <c r="L188" t="str">
        <f t="shared" si="2"/>
        <v>Medium</v>
      </c>
    </row>
    <row r="189" spans="1:12" ht="15" customHeight="1" x14ac:dyDescent="0.25">
      <c r="A189" t="s">
        <v>207</v>
      </c>
      <c r="B189" t="s">
        <v>21</v>
      </c>
      <c r="C189">
        <v>57</v>
      </c>
      <c r="D189" s="19">
        <v>23327</v>
      </c>
      <c r="E189">
        <v>0</v>
      </c>
      <c r="F189">
        <v>3.7</v>
      </c>
      <c r="G189">
        <v>39</v>
      </c>
      <c r="H189">
        <v>30</v>
      </c>
      <c r="I189">
        <v>7</v>
      </c>
      <c r="J189">
        <v>3</v>
      </c>
      <c r="K189" t="s">
        <v>14</v>
      </c>
      <c r="L189" t="str">
        <f t="shared" si="2"/>
        <v>Medium</v>
      </c>
    </row>
    <row r="190" spans="1:12" ht="15" customHeight="1" x14ac:dyDescent="0.25">
      <c r="A190" t="s">
        <v>208</v>
      </c>
      <c r="B190" t="s">
        <v>13</v>
      </c>
      <c r="C190">
        <v>33</v>
      </c>
      <c r="D190" s="19">
        <v>28279</v>
      </c>
      <c r="E190">
        <v>8</v>
      </c>
      <c r="F190">
        <v>4.2</v>
      </c>
      <c r="G190">
        <v>29</v>
      </c>
      <c r="H190">
        <v>34</v>
      </c>
      <c r="I190">
        <v>0</v>
      </c>
      <c r="J190">
        <v>4.0999999999999996</v>
      </c>
      <c r="K190" t="s">
        <v>14</v>
      </c>
      <c r="L190" t="str">
        <f t="shared" si="2"/>
        <v>Medium</v>
      </c>
    </row>
    <row r="191" spans="1:12" ht="15" customHeight="1" x14ac:dyDescent="0.25">
      <c r="A191" t="s">
        <v>209</v>
      </c>
      <c r="B191" t="s">
        <v>39</v>
      </c>
      <c r="C191">
        <v>38</v>
      </c>
      <c r="D191" s="19">
        <v>27326</v>
      </c>
      <c r="E191">
        <v>0</v>
      </c>
      <c r="F191">
        <v>4.3</v>
      </c>
      <c r="G191">
        <v>4</v>
      </c>
      <c r="H191">
        <v>32</v>
      </c>
      <c r="I191">
        <v>2</v>
      </c>
      <c r="J191">
        <v>3.8</v>
      </c>
      <c r="K191" t="s">
        <v>14</v>
      </c>
      <c r="L191" t="str">
        <f t="shared" si="2"/>
        <v>Medium</v>
      </c>
    </row>
    <row r="192" spans="1:12" ht="15" customHeight="1" x14ac:dyDescent="0.25">
      <c r="A192" t="s">
        <v>210</v>
      </c>
      <c r="B192" t="s">
        <v>18</v>
      </c>
      <c r="C192">
        <v>24</v>
      </c>
      <c r="D192" s="19">
        <v>17826</v>
      </c>
      <c r="E192">
        <v>6</v>
      </c>
      <c r="F192">
        <v>3.7</v>
      </c>
      <c r="G192">
        <v>5</v>
      </c>
      <c r="H192">
        <v>3</v>
      </c>
      <c r="I192">
        <v>3</v>
      </c>
      <c r="J192">
        <v>4.2</v>
      </c>
      <c r="K192" t="s">
        <v>14</v>
      </c>
      <c r="L192" t="str">
        <f t="shared" si="2"/>
        <v>Low</v>
      </c>
    </row>
    <row r="193" spans="1:12" ht="15" customHeight="1" x14ac:dyDescent="0.25">
      <c r="A193" t="s">
        <v>211</v>
      </c>
      <c r="B193" t="s">
        <v>31</v>
      </c>
      <c r="C193">
        <v>38</v>
      </c>
      <c r="D193" s="19">
        <v>17265</v>
      </c>
      <c r="E193">
        <v>1</v>
      </c>
      <c r="F193">
        <v>3.1</v>
      </c>
      <c r="G193">
        <v>33</v>
      </c>
      <c r="H193">
        <v>26</v>
      </c>
      <c r="I193">
        <v>7</v>
      </c>
      <c r="J193">
        <v>1.6</v>
      </c>
      <c r="K193" t="s">
        <v>14</v>
      </c>
      <c r="L193" t="str">
        <f t="shared" si="2"/>
        <v>Medium</v>
      </c>
    </row>
    <row r="194" spans="1:12" ht="15" customHeight="1" x14ac:dyDescent="0.25">
      <c r="A194" t="s">
        <v>212</v>
      </c>
      <c r="B194" t="s">
        <v>39</v>
      </c>
      <c r="C194">
        <v>49</v>
      </c>
      <c r="D194" s="19">
        <v>26959</v>
      </c>
      <c r="E194">
        <v>7</v>
      </c>
      <c r="F194">
        <v>3</v>
      </c>
      <c r="G194">
        <v>35</v>
      </c>
      <c r="H194">
        <v>28</v>
      </c>
      <c r="I194">
        <v>4</v>
      </c>
      <c r="J194">
        <v>2.7</v>
      </c>
      <c r="K194" t="s">
        <v>26</v>
      </c>
      <c r="L194" t="str">
        <f t="shared" ref="L194:L257" si="3">IF(K194="Yes","High",IF(OR(J194&lt;3,H194&gt;20,E194&lt;2),"Medium","Low"))</f>
        <v>High</v>
      </c>
    </row>
    <row r="195" spans="1:12" ht="15" customHeight="1" x14ac:dyDescent="0.25">
      <c r="A195" t="s">
        <v>213</v>
      </c>
      <c r="B195" t="s">
        <v>31</v>
      </c>
      <c r="C195">
        <v>49</v>
      </c>
      <c r="D195" s="19">
        <v>18744</v>
      </c>
      <c r="E195">
        <v>4</v>
      </c>
      <c r="F195">
        <v>3.6</v>
      </c>
      <c r="G195">
        <v>42</v>
      </c>
      <c r="H195">
        <v>8</v>
      </c>
      <c r="I195">
        <v>3</v>
      </c>
      <c r="J195">
        <v>4.3</v>
      </c>
      <c r="K195" t="s">
        <v>14</v>
      </c>
      <c r="L195" t="str">
        <f t="shared" si="3"/>
        <v>Low</v>
      </c>
    </row>
    <row r="196" spans="1:12" ht="15" customHeight="1" x14ac:dyDescent="0.25">
      <c r="A196" t="s">
        <v>214</v>
      </c>
      <c r="B196" t="s">
        <v>21</v>
      </c>
      <c r="C196">
        <v>51</v>
      </c>
      <c r="D196" s="19">
        <v>22263</v>
      </c>
      <c r="E196">
        <v>2</v>
      </c>
      <c r="F196">
        <v>3.5</v>
      </c>
      <c r="G196">
        <v>29</v>
      </c>
      <c r="H196">
        <v>33</v>
      </c>
      <c r="I196">
        <v>3</v>
      </c>
      <c r="J196">
        <v>3.1</v>
      </c>
      <c r="K196" t="s">
        <v>14</v>
      </c>
      <c r="L196" t="str">
        <f t="shared" si="3"/>
        <v>Medium</v>
      </c>
    </row>
    <row r="197" spans="1:12" ht="15" customHeight="1" x14ac:dyDescent="0.25">
      <c r="A197" t="s">
        <v>215</v>
      </c>
      <c r="B197" t="s">
        <v>13</v>
      </c>
      <c r="C197">
        <v>33</v>
      </c>
      <c r="D197" s="19">
        <v>25605</v>
      </c>
      <c r="E197">
        <v>5</v>
      </c>
      <c r="F197">
        <v>2.8</v>
      </c>
      <c r="G197">
        <v>16</v>
      </c>
      <c r="H197">
        <v>22</v>
      </c>
      <c r="I197">
        <v>9</v>
      </c>
      <c r="J197">
        <v>2.9</v>
      </c>
      <c r="K197" t="s">
        <v>14</v>
      </c>
      <c r="L197" t="str">
        <f t="shared" si="3"/>
        <v>Medium</v>
      </c>
    </row>
    <row r="198" spans="1:12" ht="15" customHeight="1" x14ac:dyDescent="0.25">
      <c r="A198" t="s">
        <v>216</v>
      </c>
      <c r="B198" t="s">
        <v>18</v>
      </c>
      <c r="C198">
        <v>50</v>
      </c>
      <c r="D198" s="19">
        <v>14348</v>
      </c>
      <c r="E198">
        <v>5</v>
      </c>
      <c r="F198">
        <v>3.8</v>
      </c>
      <c r="G198">
        <v>31</v>
      </c>
      <c r="H198">
        <v>15</v>
      </c>
      <c r="I198">
        <v>6</v>
      </c>
      <c r="J198">
        <v>4.5</v>
      </c>
      <c r="K198" t="s">
        <v>14</v>
      </c>
      <c r="L198" t="str">
        <f t="shared" si="3"/>
        <v>Low</v>
      </c>
    </row>
    <row r="199" spans="1:12" ht="15" customHeight="1" x14ac:dyDescent="0.25">
      <c r="A199" t="s">
        <v>217</v>
      </c>
      <c r="B199" t="s">
        <v>21</v>
      </c>
      <c r="C199">
        <v>52</v>
      </c>
      <c r="D199" s="19">
        <v>19160</v>
      </c>
      <c r="E199">
        <v>6</v>
      </c>
      <c r="F199">
        <v>1.4</v>
      </c>
      <c r="G199">
        <v>32</v>
      </c>
      <c r="H199">
        <v>4</v>
      </c>
      <c r="I199">
        <v>10</v>
      </c>
      <c r="J199">
        <v>2.7</v>
      </c>
      <c r="K199" t="s">
        <v>14</v>
      </c>
      <c r="L199" t="str">
        <f t="shared" si="3"/>
        <v>Medium</v>
      </c>
    </row>
    <row r="200" spans="1:12" ht="15" customHeight="1" x14ac:dyDescent="0.25">
      <c r="A200" t="s">
        <v>218</v>
      </c>
      <c r="B200" t="s">
        <v>39</v>
      </c>
      <c r="C200">
        <v>24</v>
      </c>
      <c r="D200" s="19">
        <v>17307</v>
      </c>
      <c r="E200">
        <v>9</v>
      </c>
      <c r="F200">
        <v>1.3</v>
      </c>
      <c r="G200">
        <v>10</v>
      </c>
      <c r="H200">
        <v>27</v>
      </c>
      <c r="I200">
        <v>5</v>
      </c>
      <c r="J200">
        <v>2.9</v>
      </c>
      <c r="K200" t="s">
        <v>26</v>
      </c>
      <c r="L200" t="str">
        <f t="shared" si="3"/>
        <v>High</v>
      </c>
    </row>
    <row r="201" spans="1:12" ht="15" customHeight="1" x14ac:dyDescent="0.25">
      <c r="A201" t="s">
        <v>219</v>
      </c>
      <c r="B201" t="s">
        <v>13</v>
      </c>
      <c r="C201">
        <v>37</v>
      </c>
      <c r="D201" s="19">
        <v>31053</v>
      </c>
      <c r="E201">
        <v>14</v>
      </c>
      <c r="F201">
        <v>5</v>
      </c>
      <c r="G201">
        <v>35</v>
      </c>
      <c r="H201">
        <v>32</v>
      </c>
      <c r="I201">
        <v>7</v>
      </c>
      <c r="J201">
        <v>3.9</v>
      </c>
      <c r="K201" t="s">
        <v>26</v>
      </c>
      <c r="L201" t="str">
        <f t="shared" si="3"/>
        <v>High</v>
      </c>
    </row>
    <row r="202" spans="1:12" ht="15" customHeight="1" x14ac:dyDescent="0.25">
      <c r="A202" t="s">
        <v>220</v>
      </c>
      <c r="B202" t="s">
        <v>13</v>
      </c>
      <c r="C202">
        <v>26</v>
      </c>
      <c r="D202" s="19">
        <v>37300</v>
      </c>
      <c r="E202">
        <v>6</v>
      </c>
      <c r="F202">
        <v>3.3</v>
      </c>
      <c r="G202">
        <v>30</v>
      </c>
      <c r="H202">
        <v>10</v>
      </c>
      <c r="I202">
        <v>15</v>
      </c>
      <c r="J202">
        <v>2.7</v>
      </c>
      <c r="K202" t="s">
        <v>14</v>
      </c>
      <c r="L202" t="str">
        <f t="shared" si="3"/>
        <v>Medium</v>
      </c>
    </row>
    <row r="203" spans="1:12" ht="15" customHeight="1" x14ac:dyDescent="0.25">
      <c r="A203" t="s">
        <v>221</v>
      </c>
      <c r="B203" t="s">
        <v>31</v>
      </c>
      <c r="C203">
        <v>59</v>
      </c>
      <c r="D203" s="19">
        <v>15795</v>
      </c>
      <c r="E203">
        <v>7</v>
      </c>
      <c r="F203">
        <v>3.1</v>
      </c>
      <c r="G203">
        <v>11</v>
      </c>
      <c r="H203">
        <v>32</v>
      </c>
      <c r="I203">
        <v>9</v>
      </c>
      <c r="J203">
        <v>4.5999999999999996</v>
      </c>
      <c r="K203" t="s">
        <v>14</v>
      </c>
      <c r="L203" t="str">
        <f t="shared" si="3"/>
        <v>Medium</v>
      </c>
    </row>
    <row r="204" spans="1:12" ht="15" customHeight="1" x14ac:dyDescent="0.25">
      <c r="A204" t="s">
        <v>222</v>
      </c>
      <c r="B204" t="s">
        <v>18</v>
      </c>
      <c r="C204">
        <v>42</v>
      </c>
      <c r="D204" s="19">
        <v>21500</v>
      </c>
      <c r="E204">
        <v>13</v>
      </c>
      <c r="F204">
        <v>1.9</v>
      </c>
      <c r="G204">
        <v>11</v>
      </c>
      <c r="H204">
        <v>29</v>
      </c>
      <c r="I204">
        <v>11</v>
      </c>
      <c r="J204">
        <v>3.1</v>
      </c>
      <c r="K204" t="s">
        <v>14</v>
      </c>
      <c r="L204" t="str">
        <f t="shared" si="3"/>
        <v>Medium</v>
      </c>
    </row>
    <row r="205" spans="1:12" ht="15" customHeight="1" x14ac:dyDescent="0.25">
      <c r="A205" t="s">
        <v>223</v>
      </c>
      <c r="B205" t="s">
        <v>21</v>
      </c>
      <c r="C205">
        <v>36</v>
      </c>
      <c r="D205" s="19">
        <v>27091</v>
      </c>
      <c r="E205">
        <v>11</v>
      </c>
      <c r="F205">
        <v>3.4</v>
      </c>
      <c r="G205">
        <v>4</v>
      </c>
      <c r="H205">
        <v>24</v>
      </c>
      <c r="I205">
        <v>4</v>
      </c>
      <c r="J205">
        <v>3.3</v>
      </c>
      <c r="K205" t="s">
        <v>14</v>
      </c>
      <c r="L205" t="str">
        <f t="shared" si="3"/>
        <v>Medium</v>
      </c>
    </row>
    <row r="206" spans="1:12" ht="15" customHeight="1" x14ac:dyDescent="0.25">
      <c r="A206" t="s">
        <v>224</v>
      </c>
      <c r="B206" t="s">
        <v>13</v>
      </c>
      <c r="C206">
        <v>35</v>
      </c>
      <c r="D206" s="19">
        <v>28744</v>
      </c>
      <c r="E206">
        <v>11</v>
      </c>
      <c r="F206">
        <v>4.0999999999999996</v>
      </c>
      <c r="G206">
        <v>32</v>
      </c>
      <c r="H206">
        <v>6</v>
      </c>
      <c r="I206">
        <v>6</v>
      </c>
      <c r="J206">
        <v>3</v>
      </c>
      <c r="K206" t="s">
        <v>14</v>
      </c>
      <c r="L206" t="str">
        <f t="shared" si="3"/>
        <v>Low</v>
      </c>
    </row>
    <row r="207" spans="1:12" ht="15" customHeight="1" x14ac:dyDescent="0.25">
      <c r="A207" t="s">
        <v>225</v>
      </c>
      <c r="B207" t="s">
        <v>18</v>
      </c>
      <c r="C207">
        <v>54</v>
      </c>
      <c r="D207" s="19">
        <v>19708</v>
      </c>
      <c r="E207">
        <v>12</v>
      </c>
      <c r="F207">
        <v>2.6</v>
      </c>
      <c r="G207">
        <v>33</v>
      </c>
      <c r="H207">
        <v>2</v>
      </c>
      <c r="I207">
        <v>1</v>
      </c>
      <c r="J207">
        <v>3</v>
      </c>
      <c r="K207" t="s">
        <v>14</v>
      </c>
      <c r="L207" t="str">
        <f t="shared" si="3"/>
        <v>Low</v>
      </c>
    </row>
    <row r="208" spans="1:12" ht="15" customHeight="1" x14ac:dyDescent="0.25">
      <c r="A208" t="s">
        <v>226</v>
      </c>
      <c r="B208" t="s">
        <v>13</v>
      </c>
      <c r="C208">
        <v>48</v>
      </c>
      <c r="D208" s="19">
        <v>27463</v>
      </c>
      <c r="E208">
        <v>4</v>
      </c>
      <c r="F208">
        <v>3.6</v>
      </c>
      <c r="G208">
        <v>25</v>
      </c>
      <c r="H208">
        <v>2</v>
      </c>
      <c r="I208">
        <v>5</v>
      </c>
      <c r="J208">
        <v>4.7</v>
      </c>
      <c r="K208" t="s">
        <v>14</v>
      </c>
      <c r="L208" t="str">
        <f t="shared" si="3"/>
        <v>Low</v>
      </c>
    </row>
    <row r="209" spans="1:12" ht="15" customHeight="1" x14ac:dyDescent="0.25">
      <c r="A209" t="s">
        <v>227</v>
      </c>
      <c r="B209" t="s">
        <v>39</v>
      </c>
      <c r="C209">
        <v>48</v>
      </c>
      <c r="D209" s="19">
        <v>17129</v>
      </c>
      <c r="E209">
        <v>10</v>
      </c>
      <c r="F209">
        <v>3</v>
      </c>
      <c r="G209">
        <v>43</v>
      </c>
      <c r="H209">
        <v>32</v>
      </c>
      <c r="I209">
        <v>5</v>
      </c>
      <c r="J209">
        <v>3.3</v>
      </c>
      <c r="K209" t="s">
        <v>26</v>
      </c>
      <c r="L209" t="str">
        <f t="shared" si="3"/>
        <v>High</v>
      </c>
    </row>
    <row r="210" spans="1:12" ht="15" customHeight="1" x14ac:dyDescent="0.25">
      <c r="A210" t="s">
        <v>228</v>
      </c>
      <c r="B210" t="s">
        <v>16</v>
      </c>
      <c r="C210">
        <v>49</v>
      </c>
      <c r="D210" s="19">
        <v>34003</v>
      </c>
      <c r="E210">
        <v>14</v>
      </c>
      <c r="F210">
        <v>4.9000000000000004</v>
      </c>
      <c r="G210">
        <v>19</v>
      </c>
      <c r="H210">
        <v>34</v>
      </c>
      <c r="I210">
        <v>11</v>
      </c>
      <c r="J210">
        <v>2.7</v>
      </c>
      <c r="K210" t="s">
        <v>26</v>
      </c>
      <c r="L210" t="str">
        <f t="shared" si="3"/>
        <v>High</v>
      </c>
    </row>
    <row r="211" spans="1:12" ht="15" customHeight="1" x14ac:dyDescent="0.25">
      <c r="A211" t="s">
        <v>229</v>
      </c>
      <c r="B211" t="s">
        <v>31</v>
      </c>
      <c r="C211">
        <v>32</v>
      </c>
      <c r="D211" s="19">
        <v>13277</v>
      </c>
      <c r="E211">
        <v>2</v>
      </c>
      <c r="F211">
        <v>3.9</v>
      </c>
      <c r="G211">
        <v>50</v>
      </c>
      <c r="H211">
        <v>29</v>
      </c>
      <c r="I211">
        <v>1</v>
      </c>
      <c r="J211">
        <v>3.4</v>
      </c>
      <c r="K211" t="s">
        <v>14</v>
      </c>
      <c r="L211" t="str">
        <f t="shared" si="3"/>
        <v>Medium</v>
      </c>
    </row>
    <row r="212" spans="1:12" ht="15" customHeight="1" x14ac:dyDescent="0.25">
      <c r="A212" t="s">
        <v>230</v>
      </c>
      <c r="B212" t="s">
        <v>13</v>
      </c>
      <c r="C212">
        <v>60</v>
      </c>
      <c r="D212" s="19">
        <v>34574</v>
      </c>
      <c r="E212">
        <v>4</v>
      </c>
      <c r="F212">
        <v>3</v>
      </c>
      <c r="G212">
        <v>35</v>
      </c>
      <c r="H212">
        <v>2</v>
      </c>
      <c r="I212">
        <v>11</v>
      </c>
      <c r="J212">
        <v>3.7</v>
      </c>
      <c r="K212" t="s">
        <v>14</v>
      </c>
      <c r="L212" t="str">
        <f t="shared" si="3"/>
        <v>Low</v>
      </c>
    </row>
    <row r="213" spans="1:12" ht="15" customHeight="1" x14ac:dyDescent="0.25">
      <c r="A213" t="s">
        <v>231</v>
      </c>
      <c r="B213" t="s">
        <v>18</v>
      </c>
      <c r="C213">
        <v>46</v>
      </c>
      <c r="D213" s="19">
        <v>20102</v>
      </c>
      <c r="E213">
        <v>8</v>
      </c>
      <c r="F213">
        <v>2.4</v>
      </c>
      <c r="G213">
        <v>5</v>
      </c>
      <c r="H213">
        <v>23</v>
      </c>
      <c r="I213">
        <v>6</v>
      </c>
      <c r="J213">
        <v>2.5</v>
      </c>
      <c r="K213" t="s">
        <v>14</v>
      </c>
      <c r="L213" t="str">
        <f t="shared" si="3"/>
        <v>Medium</v>
      </c>
    </row>
    <row r="214" spans="1:12" ht="15" customHeight="1" x14ac:dyDescent="0.25">
      <c r="A214" t="s">
        <v>232</v>
      </c>
      <c r="B214" t="s">
        <v>16</v>
      </c>
      <c r="C214">
        <v>50</v>
      </c>
      <c r="D214" s="19">
        <v>23090</v>
      </c>
      <c r="E214">
        <v>5</v>
      </c>
      <c r="F214">
        <v>3.5</v>
      </c>
      <c r="G214">
        <v>27</v>
      </c>
      <c r="H214">
        <v>17</v>
      </c>
      <c r="I214">
        <v>2</v>
      </c>
      <c r="J214">
        <v>3.4</v>
      </c>
      <c r="K214" t="s">
        <v>14</v>
      </c>
      <c r="L214" t="str">
        <f t="shared" si="3"/>
        <v>Low</v>
      </c>
    </row>
    <row r="215" spans="1:12" ht="15" customHeight="1" x14ac:dyDescent="0.25">
      <c r="A215" t="s">
        <v>233</v>
      </c>
      <c r="B215" t="s">
        <v>39</v>
      </c>
      <c r="C215">
        <v>46</v>
      </c>
      <c r="D215" s="19">
        <v>28356</v>
      </c>
      <c r="E215">
        <v>9</v>
      </c>
      <c r="F215">
        <v>5</v>
      </c>
      <c r="G215">
        <v>15</v>
      </c>
      <c r="H215">
        <v>15</v>
      </c>
      <c r="I215">
        <v>5</v>
      </c>
      <c r="J215">
        <v>3</v>
      </c>
      <c r="K215" t="s">
        <v>14</v>
      </c>
      <c r="L215" t="str">
        <f t="shared" si="3"/>
        <v>Low</v>
      </c>
    </row>
    <row r="216" spans="1:12" ht="15" customHeight="1" x14ac:dyDescent="0.25">
      <c r="A216" t="s">
        <v>234</v>
      </c>
      <c r="B216" t="s">
        <v>39</v>
      </c>
      <c r="C216">
        <v>38</v>
      </c>
      <c r="D216" s="19">
        <v>29770</v>
      </c>
      <c r="E216">
        <v>3</v>
      </c>
      <c r="F216">
        <v>3.1</v>
      </c>
      <c r="G216">
        <v>9</v>
      </c>
      <c r="H216">
        <v>20</v>
      </c>
      <c r="I216">
        <v>8</v>
      </c>
      <c r="J216">
        <v>4</v>
      </c>
      <c r="K216" t="s">
        <v>14</v>
      </c>
      <c r="L216" t="str">
        <f t="shared" si="3"/>
        <v>Low</v>
      </c>
    </row>
    <row r="217" spans="1:12" ht="15" customHeight="1" x14ac:dyDescent="0.25">
      <c r="A217" t="s">
        <v>235</v>
      </c>
      <c r="B217" t="s">
        <v>21</v>
      </c>
      <c r="C217">
        <v>32</v>
      </c>
      <c r="D217" s="19">
        <v>22428</v>
      </c>
      <c r="E217">
        <v>7</v>
      </c>
      <c r="F217">
        <v>4.5999999999999996</v>
      </c>
      <c r="G217">
        <v>48</v>
      </c>
      <c r="H217">
        <v>14</v>
      </c>
      <c r="I217">
        <v>3</v>
      </c>
      <c r="J217">
        <v>4.4000000000000004</v>
      </c>
      <c r="K217" t="s">
        <v>14</v>
      </c>
      <c r="L217" t="str">
        <f t="shared" si="3"/>
        <v>Low</v>
      </c>
    </row>
    <row r="218" spans="1:12" ht="15" customHeight="1" x14ac:dyDescent="0.25">
      <c r="A218" t="s">
        <v>236</v>
      </c>
      <c r="B218" t="s">
        <v>18</v>
      </c>
      <c r="C218">
        <v>35</v>
      </c>
      <c r="D218" s="19">
        <v>30530</v>
      </c>
      <c r="E218">
        <v>11</v>
      </c>
      <c r="F218">
        <v>4.5</v>
      </c>
      <c r="G218">
        <v>37</v>
      </c>
      <c r="H218">
        <v>16</v>
      </c>
      <c r="I218">
        <v>7</v>
      </c>
      <c r="J218">
        <v>5</v>
      </c>
      <c r="K218" t="s">
        <v>14</v>
      </c>
      <c r="L218" t="str">
        <f t="shared" si="3"/>
        <v>Low</v>
      </c>
    </row>
    <row r="219" spans="1:12" ht="15" customHeight="1" x14ac:dyDescent="0.25">
      <c r="A219" t="s">
        <v>237</v>
      </c>
      <c r="B219" t="s">
        <v>18</v>
      </c>
      <c r="C219">
        <v>60</v>
      </c>
      <c r="D219" s="19">
        <v>24500</v>
      </c>
      <c r="E219">
        <v>0</v>
      </c>
      <c r="F219">
        <v>2.9</v>
      </c>
      <c r="G219">
        <v>16</v>
      </c>
      <c r="H219">
        <v>19</v>
      </c>
      <c r="I219">
        <v>5</v>
      </c>
      <c r="J219">
        <v>3.1</v>
      </c>
      <c r="K219" t="s">
        <v>14</v>
      </c>
      <c r="L219" t="str">
        <f t="shared" si="3"/>
        <v>Medium</v>
      </c>
    </row>
    <row r="220" spans="1:12" ht="15" customHeight="1" x14ac:dyDescent="0.25">
      <c r="A220" t="s">
        <v>238</v>
      </c>
      <c r="B220" t="s">
        <v>39</v>
      </c>
      <c r="C220">
        <v>57</v>
      </c>
      <c r="D220" s="19">
        <v>22933</v>
      </c>
      <c r="E220">
        <v>1</v>
      </c>
      <c r="F220">
        <v>3.9</v>
      </c>
      <c r="G220">
        <v>25</v>
      </c>
      <c r="H220">
        <v>15</v>
      </c>
      <c r="I220">
        <v>13</v>
      </c>
      <c r="J220">
        <v>3.4</v>
      </c>
      <c r="K220" t="s">
        <v>14</v>
      </c>
      <c r="L220" t="str">
        <f t="shared" si="3"/>
        <v>Medium</v>
      </c>
    </row>
    <row r="221" spans="1:12" ht="15" customHeight="1" x14ac:dyDescent="0.25">
      <c r="A221" t="s">
        <v>239</v>
      </c>
      <c r="B221" t="s">
        <v>13</v>
      </c>
      <c r="C221">
        <v>46</v>
      </c>
      <c r="D221" s="19">
        <v>20890</v>
      </c>
      <c r="E221">
        <v>10</v>
      </c>
      <c r="F221">
        <v>3.6</v>
      </c>
      <c r="G221">
        <v>24</v>
      </c>
      <c r="H221">
        <v>12</v>
      </c>
      <c r="I221">
        <v>11</v>
      </c>
      <c r="J221">
        <v>4.3</v>
      </c>
      <c r="K221" t="s">
        <v>14</v>
      </c>
      <c r="L221" t="str">
        <f t="shared" si="3"/>
        <v>Low</v>
      </c>
    </row>
    <row r="222" spans="1:12" ht="15" customHeight="1" x14ac:dyDescent="0.25">
      <c r="A222" t="s">
        <v>240</v>
      </c>
      <c r="B222" t="s">
        <v>13</v>
      </c>
      <c r="C222">
        <v>47</v>
      </c>
      <c r="D222" s="19">
        <v>41849</v>
      </c>
      <c r="E222">
        <v>14</v>
      </c>
      <c r="F222">
        <v>3.5</v>
      </c>
      <c r="G222">
        <v>43</v>
      </c>
      <c r="H222">
        <v>17</v>
      </c>
      <c r="I222">
        <v>5</v>
      </c>
      <c r="J222">
        <v>3.9</v>
      </c>
      <c r="K222" t="s">
        <v>14</v>
      </c>
      <c r="L222" t="str">
        <f t="shared" si="3"/>
        <v>Low</v>
      </c>
    </row>
    <row r="223" spans="1:12" ht="15" customHeight="1" x14ac:dyDescent="0.25">
      <c r="A223" t="s">
        <v>241</v>
      </c>
      <c r="B223" t="s">
        <v>18</v>
      </c>
      <c r="C223">
        <v>39</v>
      </c>
      <c r="D223" s="19">
        <v>16855</v>
      </c>
      <c r="E223">
        <v>3</v>
      </c>
      <c r="F223">
        <v>3.3</v>
      </c>
      <c r="G223">
        <v>48</v>
      </c>
      <c r="H223">
        <v>33</v>
      </c>
      <c r="I223">
        <v>5</v>
      </c>
      <c r="J223">
        <v>3.5</v>
      </c>
      <c r="K223" t="s">
        <v>14</v>
      </c>
      <c r="L223" t="str">
        <f t="shared" si="3"/>
        <v>Medium</v>
      </c>
    </row>
    <row r="224" spans="1:12" ht="15" customHeight="1" x14ac:dyDescent="0.25">
      <c r="A224" t="s">
        <v>242</v>
      </c>
      <c r="B224" t="s">
        <v>13</v>
      </c>
      <c r="C224">
        <v>51</v>
      </c>
      <c r="D224" s="19">
        <v>26902</v>
      </c>
      <c r="E224">
        <v>11</v>
      </c>
      <c r="F224">
        <v>2</v>
      </c>
      <c r="G224">
        <v>25</v>
      </c>
      <c r="H224">
        <v>35</v>
      </c>
      <c r="I224">
        <v>11</v>
      </c>
      <c r="J224">
        <v>4</v>
      </c>
      <c r="K224" t="s">
        <v>14</v>
      </c>
      <c r="L224" t="str">
        <f t="shared" si="3"/>
        <v>Medium</v>
      </c>
    </row>
    <row r="225" spans="1:12" ht="15" customHeight="1" x14ac:dyDescent="0.25">
      <c r="A225" t="s">
        <v>243</v>
      </c>
      <c r="B225" t="s">
        <v>18</v>
      </c>
      <c r="C225">
        <v>41</v>
      </c>
      <c r="D225" s="19">
        <v>30595</v>
      </c>
      <c r="E225">
        <v>9</v>
      </c>
      <c r="F225">
        <v>2</v>
      </c>
      <c r="G225">
        <v>14</v>
      </c>
      <c r="H225">
        <v>8</v>
      </c>
      <c r="I225">
        <v>2</v>
      </c>
      <c r="J225">
        <v>3.4</v>
      </c>
      <c r="K225" t="s">
        <v>14</v>
      </c>
      <c r="L225" t="str">
        <f t="shared" si="3"/>
        <v>Low</v>
      </c>
    </row>
    <row r="226" spans="1:12" ht="15" customHeight="1" x14ac:dyDescent="0.25">
      <c r="A226" t="s">
        <v>244</v>
      </c>
      <c r="B226" t="s">
        <v>31</v>
      </c>
      <c r="C226">
        <v>38</v>
      </c>
      <c r="D226" s="19">
        <v>18913</v>
      </c>
      <c r="E226">
        <v>11</v>
      </c>
      <c r="F226">
        <v>3.6</v>
      </c>
      <c r="G226">
        <v>49</v>
      </c>
      <c r="H226">
        <v>18</v>
      </c>
      <c r="I226">
        <v>3</v>
      </c>
      <c r="J226">
        <v>3.6</v>
      </c>
      <c r="K226" t="s">
        <v>14</v>
      </c>
      <c r="L226" t="str">
        <f t="shared" si="3"/>
        <v>Low</v>
      </c>
    </row>
    <row r="227" spans="1:12" ht="15" customHeight="1" x14ac:dyDescent="0.25">
      <c r="A227" t="s">
        <v>245</v>
      </c>
      <c r="B227" t="s">
        <v>18</v>
      </c>
      <c r="C227">
        <v>26</v>
      </c>
      <c r="D227" s="19">
        <v>28028</v>
      </c>
      <c r="E227">
        <v>1</v>
      </c>
      <c r="F227">
        <v>3.8</v>
      </c>
      <c r="G227">
        <v>6</v>
      </c>
      <c r="H227">
        <v>9</v>
      </c>
      <c r="I227">
        <v>7</v>
      </c>
      <c r="J227">
        <v>2.6</v>
      </c>
      <c r="K227" t="s">
        <v>26</v>
      </c>
      <c r="L227" t="str">
        <f t="shared" si="3"/>
        <v>High</v>
      </c>
    </row>
    <row r="228" spans="1:12" ht="15" customHeight="1" x14ac:dyDescent="0.25">
      <c r="A228" t="s">
        <v>246</v>
      </c>
      <c r="B228" t="s">
        <v>31</v>
      </c>
      <c r="C228">
        <v>35</v>
      </c>
      <c r="D228" s="19">
        <v>13896</v>
      </c>
      <c r="E228">
        <v>10</v>
      </c>
      <c r="F228">
        <v>3.6</v>
      </c>
      <c r="G228">
        <v>4</v>
      </c>
      <c r="H228">
        <v>20</v>
      </c>
      <c r="I228">
        <v>5</v>
      </c>
      <c r="J228">
        <v>3.3</v>
      </c>
      <c r="K228" t="s">
        <v>14</v>
      </c>
      <c r="L228" t="str">
        <f t="shared" si="3"/>
        <v>Low</v>
      </c>
    </row>
    <row r="229" spans="1:12" ht="15" customHeight="1" x14ac:dyDescent="0.25">
      <c r="A229" t="s">
        <v>247</v>
      </c>
      <c r="B229" t="s">
        <v>31</v>
      </c>
      <c r="C229">
        <v>48</v>
      </c>
      <c r="D229" s="19">
        <v>16659</v>
      </c>
      <c r="E229">
        <v>12</v>
      </c>
      <c r="F229">
        <v>3.6</v>
      </c>
      <c r="G229">
        <v>28</v>
      </c>
      <c r="H229">
        <v>31</v>
      </c>
      <c r="I229">
        <v>12</v>
      </c>
      <c r="J229">
        <v>5</v>
      </c>
      <c r="K229" t="s">
        <v>14</v>
      </c>
      <c r="L229" t="str">
        <f t="shared" si="3"/>
        <v>Medium</v>
      </c>
    </row>
    <row r="230" spans="1:12" ht="15" customHeight="1" x14ac:dyDescent="0.25">
      <c r="A230" t="s">
        <v>248</v>
      </c>
      <c r="B230" t="s">
        <v>13</v>
      </c>
      <c r="C230">
        <v>48</v>
      </c>
      <c r="D230" s="19">
        <v>38883</v>
      </c>
      <c r="E230">
        <v>13</v>
      </c>
      <c r="F230">
        <v>3.5</v>
      </c>
      <c r="G230">
        <v>27</v>
      </c>
      <c r="H230">
        <v>32</v>
      </c>
      <c r="I230">
        <v>6</v>
      </c>
      <c r="J230">
        <v>4.8</v>
      </c>
      <c r="K230" t="s">
        <v>14</v>
      </c>
      <c r="L230" t="str">
        <f t="shared" si="3"/>
        <v>Medium</v>
      </c>
    </row>
    <row r="231" spans="1:12" ht="15" customHeight="1" x14ac:dyDescent="0.25">
      <c r="A231" t="s">
        <v>249</v>
      </c>
      <c r="B231" t="s">
        <v>16</v>
      </c>
      <c r="C231">
        <v>34</v>
      </c>
      <c r="D231" s="19">
        <v>26157</v>
      </c>
      <c r="E231">
        <v>3</v>
      </c>
      <c r="F231">
        <v>3.3</v>
      </c>
      <c r="G231">
        <v>12</v>
      </c>
      <c r="H231">
        <v>12</v>
      </c>
      <c r="I231">
        <v>7</v>
      </c>
      <c r="J231">
        <v>3</v>
      </c>
      <c r="K231" t="s">
        <v>14</v>
      </c>
      <c r="L231" t="str">
        <f t="shared" si="3"/>
        <v>Low</v>
      </c>
    </row>
    <row r="232" spans="1:12" ht="15" customHeight="1" x14ac:dyDescent="0.25">
      <c r="A232" t="s">
        <v>250</v>
      </c>
      <c r="B232" t="s">
        <v>31</v>
      </c>
      <c r="C232">
        <v>21</v>
      </c>
      <c r="D232" s="19">
        <v>12132</v>
      </c>
      <c r="E232">
        <v>2</v>
      </c>
      <c r="F232">
        <v>2.6</v>
      </c>
      <c r="G232">
        <v>35</v>
      </c>
      <c r="H232">
        <v>10</v>
      </c>
      <c r="I232">
        <v>5</v>
      </c>
      <c r="J232">
        <v>3.7</v>
      </c>
      <c r="K232" t="s">
        <v>14</v>
      </c>
      <c r="L232" t="str">
        <f t="shared" si="3"/>
        <v>Low</v>
      </c>
    </row>
    <row r="233" spans="1:12" ht="15" customHeight="1" x14ac:dyDescent="0.25">
      <c r="A233" t="s">
        <v>251</v>
      </c>
      <c r="B233" t="s">
        <v>39</v>
      </c>
      <c r="C233">
        <v>31</v>
      </c>
      <c r="D233" s="19">
        <v>16426</v>
      </c>
      <c r="E233">
        <v>14</v>
      </c>
      <c r="F233">
        <v>4.4000000000000004</v>
      </c>
      <c r="G233">
        <v>15</v>
      </c>
      <c r="H233">
        <v>11</v>
      </c>
      <c r="I233">
        <v>10</v>
      </c>
      <c r="J233">
        <v>2.8</v>
      </c>
      <c r="K233" t="s">
        <v>14</v>
      </c>
      <c r="L233" t="str">
        <f t="shared" si="3"/>
        <v>Medium</v>
      </c>
    </row>
    <row r="234" spans="1:12" ht="15" customHeight="1" x14ac:dyDescent="0.25">
      <c r="A234" t="s">
        <v>252</v>
      </c>
      <c r="B234" t="s">
        <v>31</v>
      </c>
      <c r="C234">
        <v>44</v>
      </c>
      <c r="D234" s="19">
        <v>21358</v>
      </c>
      <c r="E234">
        <v>1</v>
      </c>
      <c r="F234">
        <v>2.9</v>
      </c>
      <c r="G234">
        <v>36</v>
      </c>
      <c r="H234">
        <v>29</v>
      </c>
      <c r="I234">
        <v>11</v>
      </c>
      <c r="J234">
        <v>2.4</v>
      </c>
      <c r="K234" t="s">
        <v>26</v>
      </c>
      <c r="L234" t="str">
        <f t="shared" si="3"/>
        <v>High</v>
      </c>
    </row>
    <row r="235" spans="1:12" ht="15" customHeight="1" x14ac:dyDescent="0.25">
      <c r="A235" t="s">
        <v>253</v>
      </c>
      <c r="B235" t="s">
        <v>18</v>
      </c>
      <c r="C235">
        <v>46</v>
      </c>
      <c r="D235" s="19">
        <v>15739</v>
      </c>
      <c r="E235">
        <v>15</v>
      </c>
      <c r="F235">
        <v>4.2</v>
      </c>
      <c r="G235">
        <v>15</v>
      </c>
      <c r="H235">
        <v>4</v>
      </c>
      <c r="I235">
        <v>3</v>
      </c>
      <c r="J235">
        <v>3.6</v>
      </c>
      <c r="K235" t="s">
        <v>14</v>
      </c>
      <c r="L235" t="str">
        <f t="shared" si="3"/>
        <v>Low</v>
      </c>
    </row>
    <row r="236" spans="1:12" ht="15" customHeight="1" x14ac:dyDescent="0.25">
      <c r="A236" t="s">
        <v>254</v>
      </c>
      <c r="B236" t="s">
        <v>31</v>
      </c>
      <c r="C236">
        <v>34</v>
      </c>
      <c r="D236" s="19">
        <v>14542</v>
      </c>
      <c r="E236">
        <v>6</v>
      </c>
      <c r="F236">
        <v>3.3</v>
      </c>
      <c r="G236">
        <v>10</v>
      </c>
      <c r="H236">
        <v>27</v>
      </c>
      <c r="I236">
        <v>0</v>
      </c>
      <c r="J236">
        <v>3.8</v>
      </c>
      <c r="K236" t="s">
        <v>14</v>
      </c>
      <c r="L236" t="str">
        <f t="shared" si="3"/>
        <v>Medium</v>
      </c>
    </row>
    <row r="237" spans="1:12" ht="15" customHeight="1" x14ac:dyDescent="0.25">
      <c r="A237" t="s">
        <v>255</v>
      </c>
      <c r="B237" t="s">
        <v>31</v>
      </c>
      <c r="C237">
        <v>40</v>
      </c>
      <c r="D237" s="19">
        <v>14728</v>
      </c>
      <c r="E237">
        <v>10</v>
      </c>
      <c r="F237">
        <v>2.2999999999999998</v>
      </c>
      <c r="G237">
        <v>45</v>
      </c>
      <c r="H237">
        <v>23</v>
      </c>
      <c r="I237">
        <v>5</v>
      </c>
      <c r="J237">
        <v>2.8</v>
      </c>
      <c r="K237" t="s">
        <v>14</v>
      </c>
      <c r="L237" t="str">
        <f t="shared" si="3"/>
        <v>Medium</v>
      </c>
    </row>
    <row r="238" spans="1:12" ht="15" customHeight="1" x14ac:dyDescent="0.25">
      <c r="A238" t="s">
        <v>256</v>
      </c>
      <c r="B238" t="s">
        <v>39</v>
      </c>
      <c r="C238">
        <v>34</v>
      </c>
      <c r="D238" s="19">
        <v>21846</v>
      </c>
      <c r="E238">
        <v>15</v>
      </c>
      <c r="F238">
        <v>3.3</v>
      </c>
      <c r="G238">
        <v>35</v>
      </c>
      <c r="H238">
        <v>14</v>
      </c>
      <c r="I238">
        <v>2</v>
      </c>
      <c r="J238">
        <v>3.9</v>
      </c>
      <c r="K238" t="s">
        <v>14</v>
      </c>
      <c r="L238" t="str">
        <f t="shared" si="3"/>
        <v>Low</v>
      </c>
    </row>
    <row r="239" spans="1:12" ht="15" customHeight="1" x14ac:dyDescent="0.25">
      <c r="A239" t="s">
        <v>257</v>
      </c>
      <c r="B239" t="s">
        <v>18</v>
      </c>
      <c r="C239">
        <v>57</v>
      </c>
      <c r="D239" s="19">
        <v>24899</v>
      </c>
      <c r="E239">
        <v>3</v>
      </c>
      <c r="F239">
        <v>4.0999999999999996</v>
      </c>
      <c r="G239">
        <v>15</v>
      </c>
      <c r="H239">
        <v>28</v>
      </c>
      <c r="I239">
        <v>0</v>
      </c>
      <c r="J239">
        <v>2.2999999999999998</v>
      </c>
      <c r="K239" t="s">
        <v>14</v>
      </c>
      <c r="L239" t="str">
        <f t="shared" si="3"/>
        <v>Medium</v>
      </c>
    </row>
    <row r="240" spans="1:12" ht="15" customHeight="1" x14ac:dyDescent="0.25">
      <c r="A240" t="s">
        <v>258</v>
      </c>
      <c r="B240" t="s">
        <v>18</v>
      </c>
      <c r="C240">
        <v>32</v>
      </c>
      <c r="D240" s="19">
        <v>19712</v>
      </c>
      <c r="E240">
        <v>7</v>
      </c>
      <c r="F240">
        <v>2.9</v>
      </c>
      <c r="G240">
        <v>37</v>
      </c>
      <c r="H240">
        <v>31</v>
      </c>
      <c r="I240">
        <v>1</v>
      </c>
      <c r="J240">
        <v>3.3</v>
      </c>
      <c r="K240" t="s">
        <v>14</v>
      </c>
      <c r="L240" t="str">
        <f t="shared" si="3"/>
        <v>Medium</v>
      </c>
    </row>
    <row r="241" spans="1:12" ht="15" customHeight="1" x14ac:dyDescent="0.25">
      <c r="A241" t="s">
        <v>259</v>
      </c>
      <c r="B241" t="s">
        <v>16</v>
      </c>
      <c r="C241">
        <v>29</v>
      </c>
      <c r="D241" s="19">
        <v>23281</v>
      </c>
      <c r="E241">
        <v>3</v>
      </c>
      <c r="F241">
        <v>2.9</v>
      </c>
      <c r="G241">
        <v>12</v>
      </c>
      <c r="H241">
        <v>23</v>
      </c>
      <c r="I241">
        <v>0</v>
      </c>
      <c r="J241">
        <v>4.4000000000000004</v>
      </c>
      <c r="K241" t="s">
        <v>14</v>
      </c>
      <c r="L241" t="str">
        <f t="shared" si="3"/>
        <v>Medium</v>
      </c>
    </row>
    <row r="242" spans="1:12" ht="15" customHeight="1" x14ac:dyDescent="0.25">
      <c r="A242" t="s">
        <v>260</v>
      </c>
      <c r="B242" t="s">
        <v>39</v>
      </c>
      <c r="C242">
        <v>33</v>
      </c>
      <c r="D242" s="19">
        <v>27468</v>
      </c>
      <c r="E242">
        <v>15</v>
      </c>
      <c r="F242">
        <v>1.9</v>
      </c>
      <c r="G242">
        <v>33</v>
      </c>
      <c r="H242">
        <v>33</v>
      </c>
      <c r="I242">
        <v>0</v>
      </c>
      <c r="J242">
        <v>1.6</v>
      </c>
      <c r="K242" t="s">
        <v>14</v>
      </c>
      <c r="L242" t="str">
        <f t="shared" si="3"/>
        <v>Medium</v>
      </c>
    </row>
    <row r="243" spans="1:12" ht="15" customHeight="1" x14ac:dyDescent="0.25">
      <c r="A243" t="s">
        <v>261</v>
      </c>
      <c r="B243" t="s">
        <v>31</v>
      </c>
      <c r="C243">
        <v>34</v>
      </c>
      <c r="D243" s="19">
        <v>15879</v>
      </c>
      <c r="E243">
        <v>12</v>
      </c>
      <c r="F243">
        <v>3.4</v>
      </c>
      <c r="G243">
        <v>7</v>
      </c>
      <c r="H243">
        <v>2</v>
      </c>
      <c r="I243">
        <v>7</v>
      </c>
      <c r="J243">
        <v>4.0999999999999996</v>
      </c>
      <c r="K243" t="s">
        <v>14</v>
      </c>
      <c r="L243" t="str">
        <f t="shared" si="3"/>
        <v>Low</v>
      </c>
    </row>
    <row r="244" spans="1:12" ht="15" customHeight="1" x14ac:dyDescent="0.25">
      <c r="A244" t="s">
        <v>262</v>
      </c>
      <c r="B244" t="s">
        <v>21</v>
      </c>
      <c r="C244">
        <v>26</v>
      </c>
      <c r="D244" s="19">
        <v>14088</v>
      </c>
      <c r="E244">
        <v>6</v>
      </c>
      <c r="F244">
        <v>4.0999999999999996</v>
      </c>
      <c r="G244">
        <v>9</v>
      </c>
      <c r="H244">
        <v>1</v>
      </c>
      <c r="I244">
        <v>2</v>
      </c>
      <c r="J244">
        <v>3.6</v>
      </c>
      <c r="K244" t="s">
        <v>14</v>
      </c>
      <c r="L244" t="str">
        <f t="shared" si="3"/>
        <v>Low</v>
      </c>
    </row>
    <row r="245" spans="1:12" ht="15" customHeight="1" x14ac:dyDescent="0.25">
      <c r="A245" t="s">
        <v>263</v>
      </c>
      <c r="B245" t="s">
        <v>31</v>
      </c>
      <c r="C245">
        <v>58</v>
      </c>
      <c r="D245" s="19">
        <v>15257</v>
      </c>
      <c r="E245">
        <v>15</v>
      </c>
      <c r="F245">
        <v>2.2999999999999998</v>
      </c>
      <c r="G245">
        <v>21</v>
      </c>
      <c r="H245">
        <v>32</v>
      </c>
      <c r="I245">
        <v>8</v>
      </c>
      <c r="J245">
        <v>4.5999999999999996</v>
      </c>
      <c r="K245" t="s">
        <v>26</v>
      </c>
      <c r="L245" t="str">
        <f t="shared" si="3"/>
        <v>High</v>
      </c>
    </row>
    <row r="246" spans="1:12" ht="15" customHeight="1" x14ac:dyDescent="0.25">
      <c r="A246" t="s">
        <v>264</v>
      </c>
      <c r="B246" t="s">
        <v>18</v>
      </c>
      <c r="C246">
        <v>57</v>
      </c>
      <c r="D246" s="19">
        <v>27617</v>
      </c>
      <c r="E246">
        <v>15</v>
      </c>
      <c r="F246">
        <v>5</v>
      </c>
      <c r="G246">
        <v>13</v>
      </c>
      <c r="H246">
        <v>25</v>
      </c>
      <c r="I246">
        <v>12</v>
      </c>
      <c r="J246">
        <v>3.9</v>
      </c>
      <c r="K246" t="s">
        <v>14</v>
      </c>
      <c r="L246" t="str">
        <f t="shared" si="3"/>
        <v>Medium</v>
      </c>
    </row>
    <row r="247" spans="1:12" ht="15" customHeight="1" x14ac:dyDescent="0.25">
      <c r="A247" t="s">
        <v>265</v>
      </c>
      <c r="B247" t="s">
        <v>13</v>
      </c>
      <c r="C247">
        <v>31</v>
      </c>
      <c r="D247" s="19">
        <v>40504</v>
      </c>
      <c r="E247">
        <v>4</v>
      </c>
      <c r="F247">
        <v>3.5</v>
      </c>
      <c r="G247">
        <v>7</v>
      </c>
      <c r="H247">
        <v>7</v>
      </c>
      <c r="I247">
        <v>1</v>
      </c>
      <c r="J247">
        <v>2.5</v>
      </c>
      <c r="K247" t="s">
        <v>26</v>
      </c>
      <c r="L247" t="str">
        <f t="shared" si="3"/>
        <v>High</v>
      </c>
    </row>
    <row r="248" spans="1:12" ht="15" customHeight="1" x14ac:dyDescent="0.25">
      <c r="A248" t="s">
        <v>266</v>
      </c>
      <c r="B248" t="s">
        <v>18</v>
      </c>
      <c r="C248">
        <v>45</v>
      </c>
      <c r="D248" s="19">
        <v>27195</v>
      </c>
      <c r="E248">
        <v>3</v>
      </c>
      <c r="F248">
        <v>3.2</v>
      </c>
      <c r="G248">
        <v>12</v>
      </c>
      <c r="H248">
        <v>21</v>
      </c>
      <c r="I248">
        <v>5</v>
      </c>
      <c r="J248">
        <v>2.2999999999999998</v>
      </c>
      <c r="K248" t="s">
        <v>14</v>
      </c>
      <c r="L248" t="str">
        <f t="shared" si="3"/>
        <v>Medium</v>
      </c>
    </row>
    <row r="249" spans="1:12" ht="15" customHeight="1" x14ac:dyDescent="0.25">
      <c r="A249" t="s">
        <v>267</v>
      </c>
      <c r="B249" t="s">
        <v>13</v>
      </c>
      <c r="C249">
        <v>33</v>
      </c>
      <c r="D249" s="19">
        <v>19213</v>
      </c>
      <c r="E249">
        <v>12</v>
      </c>
      <c r="F249">
        <v>1.9</v>
      </c>
      <c r="G249">
        <v>25</v>
      </c>
      <c r="H249">
        <v>13</v>
      </c>
      <c r="I249">
        <v>0</v>
      </c>
      <c r="J249">
        <v>3.1</v>
      </c>
      <c r="K249" t="s">
        <v>14</v>
      </c>
      <c r="L249" t="str">
        <f t="shared" si="3"/>
        <v>Low</v>
      </c>
    </row>
    <row r="250" spans="1:12" ht="15" customHeight="1" x14ac:dyDescent="0.25">
      <c r="A250" t="s">
        <v>268</v>
      </c>
      <c r="B250" t="s">
        <v>31</v>
      </c>
      <c r="C250">
        <v>40</v>
      </c>
      <c r="D250" s="19">
        <v>16621</v>
      </c>
      <c r="E250">
        <v>5</v>
      </c>
      <c r="F250">
        <v>3.9</v>
      </c>
      <c r="G250">
        <v>39</v>
      </c>
      <c r="H250">
        <v>25</v>
      </c>
      <c r="I250">
        <v>8</v>
      </c>
      <c r="J250">
        <v>3.1</v>
      </c>
      <c r="K250" t="s">
        <v>14</v>
      </c>
      <c r="L250" t="str">
        <f t="shared" si="3"/>
        <v>Medium</v>
      </c>
    </row>
    <row r="251" spans="1:12" ht="15" customHeight="1" x14ac:dyDescent="0.25">
      <c r="A251" t="s">
        <v>269</v>
      </c>
      <c r="B251" t="s">
        <v>18</v>
      </c>
      <c r="C251">
        <v>57</v>
      </c>
      <c r="D251" s="19">
        <v>24703</v>
      </c>
      <c r="E251">
        <v>4</v>
      </c>
      <c r="F251">
        <v>3.1</v>
      </c>
      <c r="G251">
        <v>5</v>
      </c>
      <c r="H251">
        <v>12</v>
      </c>
      <c r="I251">
        <v>5</v>
      </c>
      <c r="J251">
        <v>2.6</v>
      </c>
      <c r="K251" t="s">
        <v>14</v>
      </c>
      <c r="L251" t="str">
        <f t="shared" si="3"/>
        <v>Medium</v>
      </c>
    </row>
    <row r="252" spans="1:12" ht="15" customHeight="1" x14ac:dyDescent="0.25">
      <c r="A252" t="s">
        <v>270</v>
      </c>
      <c r="B252" t="s">
        <v>31</v>
      </c>
      <c r="C252">
        <v>45</v>
      </c>
      <c r="D252" s="19">
        <v>23725</v>
      </c>
      <c r="E252">
        <v>11</v>
      </c>
      <c r="F252">
        <v>4.3</v>
      </c>
      <c r="G252">
        <v>35</v>
      </c>
      <c r="H252">
        <v>1</v>
      </c>
      <c r="I252">
        <v>10</v>
      </c>
      <c r="J252">
        <v>3.5</v>
      </c>
      <c r="K252" t="s">
        <v>14</v>
      </c>
      <c r="L252" t="str">
        <f t="shared" si="3"/>
        <v>Low</v>
      </c>
    </row>
    <row r="253" spans="1:12" ht="15" customHeight="1" x14ac:dyDescent="0.25">
      <c r="A253" t="s">
        <v>271</v>
      </c>
      <c r="B253" t="s">
        <v>13</v>
      </c>
      <c r="C253">
        <v>38</v>
      </c>
      <c r="D253" s="19">
        <v>31889</v>
      </c>
      <c r="E253">
        <v>11</v>
      </c>
      <c r="F253">
        <v>2.8</v>
      </c>
      <c r="G253">
        <v>28</v>
      </c>
      <c r="H253">
        <v>19</v>
      </c>
      <c r="I253">
        <v>6</v>
      </c>
      <c r="J253">
        <v>2.9</v>
      </c>
      <c r="K253" t="s">
        <v>14</v>
      </c>
      <c r="L253" t="str">
        <f t="shared" si="3"/>
        <v>Medium</v>
      </c>
    </row>
    <row r="254" spans="1:12" ht="15" customHeight="1" x14ac:dyDescent="0.25">
      <c r="A254" t="s">
        <v>272</v>
      </c>
      <c r="B254" t="s">
        <v>16</v>
      </c>
      <c r="C254">
        <v>25</v>
      </c>
      <c r="D254" s="19">
        <v>23615</v>
      </c>
      <c r="E254">
        <v>3</v>
      </c>
      <c r="F254">
        <v>3.1</v>
      </c>
      <c r="G254">
        <v>18</v>
      </c>
      <c r="H254">
        <v>35</v>
      </c>
      <c r="I254">
        <v>8</v>
      </c>
      <c r="J254">
        <v>3.1</v>
      </c>
      <c r="K254" t="s">
        <v>14</v>
      </c>
      <c r="L254" t="str">
        <f t="shared" si="3"/>
        <v>Medium</v>
      </c>
    </row>
    <row r="255" spans="1:12" ht="15" customHeight="1" x14ac:dyDescent="0.25">
      <c r="A255" t="s">
        <v>273</v>
      </c>
      <c r="B255" t="s">
        <v>18</v>
      </c>
      <c r="C255">
        <v>49</v>
      </c>
      <c r="D255" s="19">
        <v>16797</v>
      </c>
      <c r="E255">
        <v>13</v>
      </c>
      <c r="F255">
        <v>3.4</v>
      </c>
      <c r="G255">
        <v>18</v>
      </c>
      <c r="H255">
        <v>8</v>
      </c>
      <c r="I255">
        <v>8</v>
      </c>
      <c r="J255">
        <v>3.9</v>
      </c>
      <c r="K255" t="s">
        <v>14</v>
      </c>
      <c r="L255" t="str">
        <f t="shared" si="3"/>
        <v>Low</v>
      </c>
    </row>
    <row r="256" spans="1:12" ht="15" customHeight="1" x14ac:dyDescent="0.25">
      <c r="A256" t="s">
        <v>274</v>
      </c>
      <c r="B256" t="s">
        <v>18</v>
      </c>
      <c r="C256">
        <v>42</v>
      </c>
      <c r="D256" s="19">
        <v>24467</v>
      </c>
      <c r="E256">
        <v>0</v>
      </c>
      <c r="F256">
        <v>3.6</v>
      </c>
      <c r="G256">
        <v>22</v>
      </c>
      <c r="H256">
        <v>2</v>
      </c>
      <c r="I256">
        <v>12</v>
      </c>
      <c r="J256">
        <v>3.4</v>
      </c>
      <c r="K256" t="s">
        <v>14</v>
      </c>
      <c r="L256" t="str">
        <f t="shared" si="3"/>
        <v>Medium</v>
      </c>
    </row>
    <row r="257" spans="1:12" ht="15" customHeight="1" x14ac:dyDescent="0.25">
      <c r="A257" t="s">
        <v>275</v>
      </c>
      <c r="B257" t="s">
        <v>21</v>
      </c>
      <c r="C257">
        <v>52</v>
      </c>
      <c r="D257" s="19">
        <v>27631</v>
      </c>
      <c r="E257">
        <v>2</v>
      </c>
      <c r="F257">
        <v>3.8</v>
      </c>
      <c r="G257">
        <v>27</v>
      </c>
      <c r="H257">
        <v>28</v>
      </c>
      <c r="I257">
        <v>0</v>
      </c>
      <c r="J257">
        <v>2.6</v>
      </c>
      <c r="K257" t="s">
        <v>14</v>
      </c>
      <c r="L257" t="str">
        <f t="shared" si="3"/>
        <v>Medium</v>
      </c>
    </row>
    <row r="258" spans="1:12" ht="15" customHeight="1" x14ac:dyDescent="0.25">
      <c r="A258" t="s">
        <v>276</v>
      </c>
      <c r="B258" t="s">
        <v>16</v>
      </c>
      <c r="C258">
        <v>48</v>
      </c>
      <c r="D258" s="19">
        <v>27233</v>
      </c>
      <c r="E258">
        <v>4</v>
      </c>
      <c r="F258">
        <v>3.7</v>
      </c>
      <c r="G258">
        <v>31</v>
      </c>
      <c r="H258">
        <v>0</v>
      </c>
      <c r="I258">
        <v>3</v>
      </c>
      <c r="J258">
        <v>4.3</v>
      </c>
      <c r="K258" t="s">
        <v>14</v>
      </c>
      <c r="L258" t="str">
        <f t="shared" ref="L258:L321" si="4">IF(K258="Yes","High",IF(OR(J258&lt;3,H258&gt;20,E258&lt;2),"Medium","Low"))</f>
        <v>Low</v>
      </c>
    </row>
    <row r="259" spans="1:12" ht="15" customHeight="1" x14ac:dyDescent="0.25">
      <c r="A259" t="s">
        <v>277</v>
      </c>
      <c r="B259" t="s">
        <v>39</v>
      </c>
      <c r="C259">
        <v>28</v>
      </c>
      <c r="D259" s="19">
        <v>29933</v>
      </c>
      <c r="E259">
        <v>7</v>
      </c>
      <c r="F259">
        <v>4.0999999999999996</v>
      </c>
      <c r="G259">
        <v>10</v>
      </c>
      <c r="H259">
        <v>28</v>
      </c>
      <c r="I259">
        <v>1</v>
      </c>
      <c r="J259">
        <v>4.3</v>
      </c>
      <c r="K259" t="s">
        <v>26</v>
      </c>
      <c r="L259" t="str">
        <f t="shared" si="4"/>
        <v>High</v>
      </c>
    </row>
    <row r="260" spans="1:12" ht="15" customHeight="1" x14ac:dyDescent="0.25">
      <c r="A260" t="s">
        <v>278</v>
      </c>
      <c r="B260" t="s">
        <v>13</v>
      </c>
      <c r="C260">
        <v>48</v>
      </c>
      <c r="D260" s="19">
        <v>19396</v>
      </c>
      <c r="E260">
        <v>11</v>
      </c>
      <c r="F260">
        <v>3</v>
      </c>
      <c r="G260">
        <v>5</v>
      </c>
      <c r="H260">
        <v>6</v>
      </c>
      <c r="I260">
        <v>7</v>
      </c>
      <c r="J260">
        <v>4.8</v>
      </c>
      <c r="K260" t="s">
        <v>14</v>
      </c>
      <c r="L260" t="str">
        <f t="shared" si="4"/>
        <v>Low</v>
      </c>
    </row>
    <row r="261" spans="1:12" ht="15" customHeight="1" x14ac:dyDescent="0.25">
      <c r="A261" t="s">
        <v>279</v>
      </c>
      <c r="B261" t="s">
        <v>13</v>
      </c>
      <c r="C261">
        <v>53</v>
      </c>
      <c r="D261" s="19">
        <v>31388</v>
      </c>
      <c r="E261">
        <v>14</v>
      </c>
      <c r="F261">
        <v>3.2</v>
      </c>
      <c r="G261">
        <v>49</v>
      </c>
      <c r="H261">
        <v>14</v>
      </c>
      <c r="I261">
        <v>1</v>
      </c>
      <c r="J261">
        <v>5</v>
      </c>
      <c r="K261" t="s">
        <v>14</v>
      </c>
      <c r="L261" t="str">
        <f t="shared" si="4"/>
        <v>Low</v>
      </c>
    </row>
    <row r="262" spans="1:12" ht="15" customHeight="1" x14ac:dyDescent="0.25">
      <c r="A262" t="s">
        <v>280</v>
      </c>
      <c r="B262" t="s">
        <v>16</v>
      </c>
      <c r="C262">
        <v>44</v>
      </c>
      <c r="D262" s="19">
        <v>35122</v>
      </c>
      <c r="E262">
        <v>5</v>
      </c>
      <c r="F262">
        <v>3.8</v>
      </c>
      <c r="G262">
        <v>5</v>
      </c>
      <c r="H262">
        <v>27</v>
      </c>
      <c r="I262">
        <v>8</v>
      </c>
      <c r="J262">
        <v>3.9</v>
      </c>
      <c r="K262" t="s">
        <v>14</v>
      </c>
      <c r="L262" t="str">
        <f t="shared" si="4"/>
        <v>Medium</v>
      </c>
    </row>
    <row r="263" spans="1:12" ht="15" customHeight="1" x14ac:dyDescent="0.25">
      <c r="A263" t="s">
        <v>281</v>
      </c>
      <c r="B263" t="s">
        <v>16</v>
      </c>
      <c r="C263">
        <v>49</v>
      </c>
      <c r="D263" s="19">
        <v>33073</v>
      </c>
      <c r="E263">
        <v>0</v>
      </c>
      <c r="F263">
        <v>4.3</v>
      </c>
      <c r="G263">
        <v>17</v>
      </c>
      <c r="H263">
        <v>7</v>
      </c>
      <c r="I263">
        <v>3</v>
      </c>
      <c r="J263">
        <v>3.1</v>
      </c>
      <c r="K263" t="s">
        <v>14</v>
      </c>
      <c r="L263" t="str">
        <f t="shared" si="4"/>
        <v>Medium</v>
      </c>
    </row>
    <row r="264" spans="1:12" ht="15" customHeight="1" x14ac:dyDescent="0.25">
      <c r="A264" t="s">
        <v>282</v>
      </c>
      <c r="B264" t="s">
        <v>13</v>
      </c>
      <c r="C264">
        <v>59</v>
      </c>
      <c r="D264" s="19">
        <v>23130</v>
      </c>
      <c r="E264">
        <v>12</v>
      </c>
      <c r="F264">
        <v>3</v>
      </c>
      <c r="G264">
        <v>26</v>
      </c>
      <c r="H264">
        <v>4</v>
      </c>
      <c r="I264">
        <v>7</v>
      </c>
      <c r="J264">
        <v>1.7</v>
      </c>
      <c r="K264" t="s">
        <v>14</v>
      </c>
      <c r="L264" t="str">
        <f t="shared" si="4"/>
        <v>Medium</v>
      </c>
    </row>
    <row r="265" spans="1:12" ht="15" customHeight="1" x14ac:dyDescent="0.25">
      <c r="A265" t="s">
        <v>283</v>
      </c>
      <c r="B265" t="s">
        <v>21</v>
      </c>
      <c r="C265">
        <v>22</v>
      </c>
      <c r="D265" s="19">
        <v>19602</v>
      </c>
      <c r="E265">
        <v>3</v>
      </c>
      <c r="F265">
        <v>3.2</v>
      </c>
      <c r="G265">
        <v>23</v>
      </c>
      <c r="H265">
        <v>21</v>
      </c>
      <c r="I265">
        <v>5</v>
      </c>
      <c r="J265">
        <v>3.3</v>
      </c>
      <c r="K265" t="s">
        <v>26</v>
      </c>
      <c r="L265" t="str">
        <f t="shared" si="4"/>
        <v>High</v>
      </c>
    </row>
    <row r="266" spans="1:12" ht="15" customHeight="1" x14ac:dyDescent="0.25">
      <c r="A266" t="s">
        <v>284</v>
      </c>
      <c r="B266" t="s">
        <v>18</v>
      </c>
      <c r="C266">
        <v>24</v>
      </c>
      <c r="D266" s="19">
        <v>28645</v>
      </c>
      <c r="E266">
        <v>8</v>
      </c>
      <c r="F266">
        <v>4.7</v>
      </c>
      <c r="G266">
        <v>20</v>
      </c>
      <c r="H266">
        <v>15</v>
      </c>
      <c r="I266">
        <v>8</v>
      </c>
      <c r="J266">
        <v>1.3</v>
      </c>
      <c r="K266" t="s">
        <v>26</v>
      </c>
      <c r="L266" t="str">
        <f t="shared" si="4"/>
        <v>High</v>
      </c>
    </row>
    <row r="267" spans="1:12" ht="15" customHeight="1" x14ac:dyDescent="0.25">
      <c r="A267" t="s">
        <v>285</v>
      </c>
      <c r="B267" t="s">
        <v>31</v>
      </c>
      <c r="C267">
        <v>57</v>
      </c>
      <c r="D267" s="19">
        <v>22939</v>
      </c>
      <c r="E267">
        <v>2</v>
      </c>
      <c r="F267">
        <v>2.9</v>
      </c>
      <c r="G267">
        <v>24</v>
      </c>
      <c r="H267">
        <v>11</v>
      </c>
      <c r="I267">
        <v>11</v>
      </c>
      <c r="J267">
        <v>3.7</v>
      </c>
      <c r="K267" t="s">
        <v>14</v>
      </c>
      <c r="L267" t="str">
        <f t="shared" si="4"/>
        <v>Low</v>
      </c>
    </row>
    <row r="268" spans="1:12" ht="15" customHeight="1" x14ac:dyDescent="0.25">
      <c r="A268" t="s">
        <v>286</v>
      </c>
      <c r="B268" t="s">
        <v>39</v>
      </c>
      <c r="C268">
        <v>40</v>
      </c>
      <c r="D268" s="19">
        <v>25467</v>
      </c>
      <c r="E268">
        <v>2</v>
      </c>
      <c r="F268">
        <v>3.7</v>
      </c>
      <c r="G268">
        <v>47</v>
      </c>
      <c r="H268">
        <v>7</v>
      </c>
      <c r="I268">
        <v>11</v>
      </c>
      <c r="J268">
        <v>3.7</v>
      </c>
      <c r="K268" t="s">
        <v>14</v>
      </c>
      <c r="L268" t="str">
        <f t="shared" si="4"/>
        <v>Low</v>
      </c>
    </row>
    <row r="269" spans="1:12" ht="15" customHeight="1" x14ac:dyDescent="0.25">
      <c r="A269" t="s">
        <v>287</v>
      </c>
      <c r="B269" t="s">
        <v>16</v>
      </c>
      <c r="C269">
        <v>27</v>
      </c>
      <c r="D269" s="19">
        <v>22262</v>
      </c>
      <c r="E269">
        <v>9</v>
      </c>
      <c r="F269">
        <v>2.7</v>
      </c>
      <c r="G269">
        <v>7</v>
      </c>
      <c r="H269">
        <v>31</v>
      </c>
      <c r="I269">
        <v>3</v>
      </c>
      <c r="J269">
        <v>3.5</v>
      </c>
      <c r="K269" t="s">
        <v>14</v>
      </c>
      <c r="L269" t="str">
        <f t="shared" si="4"/>
        <v>Medium</v>
      </c>
    </row>
    <row r="270" spans="1:12" ht="15" customHeight="1" x14ac:dyDescent="0.25">
      <c r="A270" t="s">
        <v>288</v>
      </c>
      <c r="B270" t="s">
        <v>13</v>
      </c>
      <c r="C270">
        <v>41</v>
      </c>
      <c r="D270" s="19">
        <v>23997</v>
      </c>
      <c r="E270">
        <v>9</v>
      </c>
      <c r="F270">
        <v>1.9</v>
      </c>
      <c r="G270">
        <v>43</v>
      </c>
      <c r="H270">
        <v>28</v>
      </c>
      <c r="I270">
        <v>2</v>
      </c>
      <c r="J270">
        <v>3.5</v>
      </c>
      <c r="K270" t="s">
        <v>14</v>
      </c>
      <c r="L270" t="str">
        <f t="shared" si="4"/>
        <v>Medium</v>
      </c>
    </row>
    <row r="271" spans="1:12" ht="15" customHeight="1" x14ac:dyDescent="0.25">
      <c r="A271" t="s">
        <v>289</v>
      </c>
      <c r="B271" t="s">
        <v>16</v>
      </c>
      <c r="C271">
        <v>31</v>
      </c>
      <c r="D271" s="19">
        <v>23573</v>
      </c>
      <c r="E271">
        <v>1</v>
      </c>
      <c r="F271">
        <v>3.1</v>
      </c>
      <c r="G271">
        <v>36</v>
      </c>
      <c r="H271">
        <v>29</v>
      </c>
      <c r="I271">
        <v>8</v>
      </c>
      <c r="J271">
        <v>2.4</v>
      </c>
      <c r="K271" t="s">
        <v>26</v>
      </c>
      <c r="L271" t="str">
        <f t="shared" si="4"/>
        <v>High</v>
      </c>
    </row>
    <row r="272" spans="1:12" ht="15" customHeight="1" x14ac:dyDescent="0.25">
      <c r="A272" t="s">
        <v>290</v>
      </c>
      <c r="B272" t="s">
        <v>18</v>
      </c>
      <c r="C272">
        <v>47</v>
      </c>
      <c r="D272" s="19">
        <v>15799</v>
      </c>
      <c r="E272">
        <v>8</v>
      </c>
      <c r="F272">
        <v>4.9000000000000004</v>
      </c>
      <c r="G272">
        <v>38</v>
      </c>
      <c r="H272">
        <v>5</v>
      </c>
      <c r="I272">
        <v>11</v>
      </c>
      <c r="J272">
        <v>3.5</v>
      </c>
      <c r="K272" t="s">
        <v>14</v>
      </c>
      <c r="L272" t="str">
        <f t="shared" si="4"/>
        <v>Low</v>
      </c>
    </row>
    <row r="273" spans="1:12" ht="15" customHeight="1" x14ac:dyDescent="0.25">
      <c r="A273" t="s">
        <v>291</v>
      </c>
      <c r="B273" t="s">
        <v>39</v>
      </c>
      <c r="C273">
        <v>53</v>
      </c>
      <c r="D273" s="19">
        <v>17401</v>
      </c>
      <c r="E273">
        <v>2</v>
      </c>
      <c r="F273">
        <v>4.5999999999999996</v>
      </c>
      <c r="G273">
        <v>32</v>
      </c>
      <c r="H273">
        <v>1</v>
      </c>
      <c r="I273">
        <v>5</v>
      </c>
      <c r="J273">
        <v>2.2999999999999998</v>
      </c>
      <c r="K273" t="s">
        <v>14</v>
      </c>
      <c r="L273" t="str">
        <f t="shared" si="4"/>
        <v>Medium</v>
      </c>
    </row>
    <row r="274" spans="1:12" ht="15" customHeight="1" x14ac:dyDescent="0.25">
      <c r="A274" t="s">
        <v>292</v>
      </c>
      <c r="B274" t="s">
        <v>16</v>
      </c>
      <c r="C274">
        <v>53</v>
      </c>
      <c r="D274" s="19">
        <v>36911</v>
      </c>
      <c r="E274">
        <v>9</v>
      </c>
      <c r="F274">
        <v>2.9</v>
      </c>
      <c r="G274">
        <v>11</v>
      </c>
      <c r="H274">
        <v>28</v>
      </c>
      <c r="I274">
        <v>5</v>
      </c>
      <c r="J274">
        <v>5</v>
      </c>
      <c r="K274" t="s">
        <v>14</v>
      </c>
      <c r="L274" t="str">
        <f t="shared" si="4"/>
        <v>Medium</v>
      </c>
    </row>
    <row r="275" spans="1:12" ht="15" customHeight="1" x14ac:dyDescent="0.25">
      <c r="A275" t="s">
        <v>293</v>
      </c>
      <c r="B275" t="s">
        <v>31</v>
      </c>
      <c r="C275">
        <v>35</v>
      </c>
      <c r="D275" s="19">
        <v>20832</v>
      </c>
      <c r="E275">
        <v>5</v>
      </c>
      <c r="F275">
        <v>2.9</v>
      </c>
      <c r="G275">
        <v>7</v>
      </c>
      <c r="H275">
        <v>1</v>
      </c>
      <c r="I275">
        <v>6</v>
      </c>
      <c r="J275">
        <v>3.7</v>
      </c>
      <c r="K275" t="s">
        <v>14</v>
      </c>
      <c r="L275" t="str">
        <f t="shared" si="4"/>
        <v>Low</v>
      </c>
    </row>
    <row r="276" spans="1:12" ht="15" customHeight="1" x14ac:dyDescent="0.25">
      <c r="A276" t="s">
        <v>294</v>
      </c>
      <c r="B276" t="s">
        <v>21</v>
      </c>
      <c r="C276">
        <v>26</v>
      </c>
      <c r="D276" s="19">
        <v>22231</v>
      </c>
      <c r="E276">
        <v>12</v>
      </c>
      <c r="F276">
        <v>4.4000000000000004</v>
      </c>
      <c r="G276">
        <v>9</v>
      </c>
      <c r="H276">
        <v>10</v>
      </c>
      <c r="I276">
        <v>9</v>
      </c>
      <c r="J276">
        <v>2.2999999999999998</v>
      </c>
      <c r="K276" t="s">
        <v>14</v>
      </c>
      <c r="L276" t="str">
        <f t="shared" si="4"/>
        <v>Medium</v>
      </c>
    </row>
    <row r="277" spans="1:12" ht="15" customHeight="1" x14ac:dyDescent="0.25">
      <c r="A277" t="s">
        <v>295</v>
      </c>
      <c r="B277" t="s">
        <v>16</v>
      </c>
      <c r="C277">
        <v>31</v>
      </c>
      <c r="D277" s="19">
        <v>35537</v>
      </c>
      <c r="E277">
        <v>12</v>
      </c>
      <c r="F277">
        <v>3.3</v>
      </c>
      <c r="G277">
        <v>41</v>
      </c>
      <c r="H277">
        <v>30</v>
      </c>
      <c r="I277">
        <v>5</v>
      </c>
      <c r="J277">
        <v>3.2</v>
      </c>
      <c r="K277" t="s">
        <v>26</v>
      </c>
      <c r="L277" t="str">
        <f t="shared" si="4"/>
        <v>High</v>
      </c>
    </row>
    <row r="278" spans="1:12" ht="15" customHeight="1" x14ac:dyDescent="0.25">
      <c r="A278" t="s">
        <v>296</v>
      </c>
      <c r="B278" t="s">
        <v>16</v>
      </c>
      <c r="C278">
        <v>35</v>
      </c>
      <c r="D278" s="19">
        <v>21897</v>
      </c>
      <c r="E278">
        <v>3</v>
      </c>
      <c r="F278">
        <v>3.3</v>
      </c>
      <c r="G278">
        <v>39</v>
      </c>
      <c r="H278">
        <v>15</v>
      </c>
      <c r="I278">
        <v>7</v>
      </c>
      <c r="J278">
        <v>3.7</v>
      </c>
      <c r="K278" t="s">
        <v>14</v>
      </c>
      <c r="L278" t="str">
        <f t="shared" si="4"/>
        <v>Low</v>
      </c>
    </row>
    <row r="279" spans="1:12" ht="15" customHeight="1" x14ac:dyDescent="0.25">
      <c r="A279" t="s">
        <v>297</v>
      </c>
      <c r="B279" t="s">
        <v>31</v>
      </c>
      <c r="C279">
        <v>56</v>
      </c>
      <c r="D279" s="19">
        <v>19540</v>
      </c>
      <c r="E279">
        <v>12</v>
      </c>
      <c r="F279">
        <v>4</v>
      </c>
      <c r="G279">
        <v>15</v>
      </c>
      <c r="H279">
        <v>18</v>
      </c>
      <c r="I279">
        <v>1</v>
      </c>
      <c r="J279">
        <v>2</v>
      </c>
      <c r="K279" t="s">
        <v>14</v>
      </c>
      <c r="L279" t="str">
        <f t="shared" si="4"/>
        <v>Medium</v>
      </c>
    </row>
    <row r="280" spans="1:12" ht="15" customHeight="1" x14ac:dyDescent="0.25">
      <c r="A280" t="s">
        <v>298</v>
      </c>
      <c r="B280" t="s">
        <v>31</v>
      </c>
      <c r="C280">
        <v>39</v>
      </c>
      <c r="D280" s="19">
        <v>16338</v>
      </c>
      <c r="E280">
        <v>13</v>
      </c>
      <c r="F280">
        <v>4.3</v>
      </c>
      <c r="G280">
        <v>23</v>
      </c>
      <c r="H280">
        <v>9</v>
      </c>
      <c r="I280">
        <v>7</v>
      </c>
      <c r="J280">
        <v>3.5</v>
      </c>
      <c r="K280" t="s">
        <v>14</v>
      </c>
      <c r="L280" t="str">
        <f t="shared" si="4"/>
        <v>Low</v>
      </c>
    </row>
    <row r="281" spans="1:12" ht="15" customHeight="1" x14ac:dyDescent="0.25">
      <c r="A281" t="s">
        <v>299</v>
      </c>
      <c r="B281" t="s">
        <v>18</v>
      </c>
      <c r="C281">
        <v>45</v>
      </c>
      <c r="D281" s="19">
        <v>18664</v>
      </c>
      <c r="E281">
        <v>13</v>
      </c>
      <c r="F281">
        <v>3.4</v>
      </c>
      <c r="G281">
        <v>21</v>
      </c>
      <c r="H281">
        <v>34</v>
      </c>
      <c r="I281">
        <v>6</v>
      </c>
      <c r="J281">
        <v>3.4</v>
      </c>
      <c r="K281" t="s">
        <v>14</v>
      </c>
      <c r="L281" t="str">
        <f t="shared" si="4"/>
        <v>Medium</v>
      </c>
    </row>
    <row r="282" spans="1:12" ht="15" customHeight="1" x14ac:dyDescent="0.25">
      <c r="A282" t="s">
        <v>300</v>
      </c>
      <c r="B282" t="s">
        <v>13</v>
      </c>
      <c r="C282">
        <v>38</v>
      </c>
      <c r="D282" s="19">
        <v>31111</v>
      </c>
      <c r="E282">
        <v>1</v>
      </c>
      <c r="F282">
        <v>3.7</v>
      </c>
      <c r="G282">
        <v>20</v>
      </c>
      <c r="H282">
        <v>25</v>
      </c>
      <c r="I282">
        <v>5</v>
      </c>
      <c r="J282">
        <v>1</v>
      </c>
      <c r="K282" t="s">
        <v>14</v>
      </c>
      <c r="L282" t="str">
        <f t="shared" si="4"/>
        <v>Medium</v>
      </c>
    </row>
    <row r="283" spans="1:12" ht="15" customHeight="1" x14ac:dyDescent="0.25">
      <c r="A283" t="s">
        <v>301</v>
      </c>
      <c r="B283" t="s">
        <v>21</v>
      </c>
      <c r="C283">
        <v>59</v>
      </c>
      <c r="D283" s="19">
        <v>23211</v>
      </c>
      <c r="E283">
        <v>2</v>
      </c>
      <c r="F283">
        <v>3.7</v>
      </c>
      <c r="G283">
        <v>23</v>
      </c>
      <c r="H283">
        <v>4</v>
      </c>
      <c r="I283">
        <v>8</v>
      </c>
      <c r="J283">
        <v>5</v>
      </c>
      <c r="K283" t="s">
        <v>14</v>
      </c>
      <c r="L283" t="str">
        <f t="shared" si="4"/>
        <v>Low</v>
      </c>
    </row>
    <row r="284" spans="1:12" ht="15" customHeight="1" x14ac:dyDescent="0.25">
      <c r="A284" t="s">
        <v>302</v>
      </c>
      <c r="B284" t="s">
        <v>31</v>
      </c>
      <c r="C284">
        <v>36</v>
      </c>
      <c r="D284" s="19">
        <v>15351</v>
      </c>
      <c r="E284">
        <v>13</v>
      </c>
      <c r="F284">
        <v>3.8</v>
      </c>
      <c r="G284">
        <v>50</v>
      </c>
      <c r="H284">
        <v>26</v>
      </c>
      <c r="I284">
        <v>8</v>
      </c>
      <c r="J284">
        <v>4</v>
      </c>
      <c r="K284" t="s">
        <v>14</v>
      </c>
      <c r="L284" t="str">
        <f t="shared" si="4"/>
        <v>Medium</v>
      </c>
    </row>
    <row r="285" spans="1:12" ht="15" customHeight="1" x14ac:dyDescent="0.25">
      <c r="A285" t="s">
        <v>303</v>
      </c>
      <c r="B285" t="s">
        <v>18</v>
      </c>
      <c r="C285">
        <v>37</v>
      </c>
      <c r="D285" s="19">
        <v>24525</v>
      </c>
      <c r="E285">
        <v>0</v>
      </c>
      <c r="F285">
        <v>2.9</v>
      </c>
      <c r="G285">
        <v>14</v>
      </c>
      <c r="H285">
        <v>23</v>
      </c>
      <c r="I285">
        <v>9</v>
      </c>
      <c r="J285">
        <v>3</v>
      </c>
      <c r="K285" t="s">
        <v>14</v>
      </c>
      <c r="L285" t="str">
        <f t="shared" si="4"/>
        <v>Medium</v>
      </c>
    </row>
    <row r="286" spans="1:12" ht="15" customHeight="1" x14ac:dyDescent="0.25">
      <c r="A286" t="s">
        <v>304</v>
      </c>
      <c r="B286" t="s">
        <v>13</v>
      </c>
      <c r="C286">
        <v>37</v>
      </c>
      <c r="D286" s="19">
        <v>38194</v>
      </c>
      <c r="E286">
        <v>1</v>
      </c>
      <c r="F286">
        <v>4.3</v>
      </c>
      <c r="G286">
        <v>21</v>
      </c>
      <c r="H286">
        <v>1</v>
      </c>
      <c r="I286">
        <v>2</v>
      </c>
      <c r="J286">
        <v>3.6</v>
      </c>
      <c r="K286" t="s">
        <v>14</v>
      </c>
      <c r="L286" t="str">
        <f t="shared" si="4"/>
        <v>Medium</v>
      </c>
    </row>
    <row r="287" spans="1:12" ht="15" customHeight="1" x14ac:dyDescent="0.25">
      <c r="A287" t="s">
        <v>305</v>
      </c>
      <c r="B287" t="s">
        <v>21</v>
      </c>
      <c r="C287">
        <v>51</v>
      </c>
      <c r="D287" s="19">
        <v>24471</v>
      </c>
      <c r="E287">
        <v>1</v>
      </c>
      <c r="F287">
        <v>2.6</v>
      </c>
      <c r="G287">
        <v>38</v>
      </c>
      <c r="H287">
        <v>34</v>
      </c>
      <c r="I287">
        <v>12</v>
      </c>
      <c r="J287">
        <v>3</v>
      </c>
      <c r="K287" t="s">
        <v>14</v>
      </c>
      <c r="L287" t="str">
        <f t="shared" si="4"/>
        <v>Medium</v>
      </c>
    </row>
    <row r="288" spans="1:12" ht="15" customHeight="1" x14ac:dyDescent="0.25">
      <c r="A288" t="s">
        <v>306</v>
      </c>
      <c r="B288" t="s">
        <v>21</v>
      </c>
      <c r="C288">
        <v>56</v>
      </c>
      <c r="D288" s="19">
        <v>14304</v>
      </c>
      <c r="E288">
        <v>13</v>
      </c>
      <c r="F288">
        <v>1</v>
      </c>
      <c r="G288">
        <v>18</v>
      </c>
      <c r="H288">
        <v>20</v>
      </c>
      <c r="I288">
        <v>5</v>
      </c>
      <c r="J288">
        <v>2</v>
      </c>
      <c r="K288" t="s">
        <v>14</v>
      </c>
      <c r="L288" t="str">
        <f t="shared" si="4"/>
        <v>Medium</v>
      </c>
    </row>
    <row r="289" spans="1:12" ht="15" customHeight="1" x14ac:dyDescent="0.25">
      <c r="A289" t="s">
        <v>307</v>
      </c>
      <c r="B289" t="s">
        <v>16</v>
      </c>
      <c r="C289">
        <v>55</v>
      </c>
      <c r="D289" s="19">
        <v>36642</v>
      </c>
      <c r="E289">
        <v>12</v>
      </c>
      <c r="F289">
        <v>2.2000000000000002</v>
      </c>
      <c r="G289">
        <v>48</v>
      </c>
      <c r="H289">
        <v>35</v>
      </c>
      <c r="I289">
        <v>0</v>
      </c>
      <c r="J289">
        <v>4.2</v>
      </c>
      <c r="K289" t="s">
        <v>14</v>
      </c>
      <c r="L289" t="str">
        <f t="shared" si="4"/>
        <v>Medium</v>
      </c>
    </row>
    <row r="290" spans="1:12" ht="15" customHeight="1" x14ac:dyDescent="0.25">
      <c r="A290" t="s">
        <v>308</v>
      </c>
      <c r="B290" t="s">
        <v>16</v>
      </c>
      <c r="C290">
        <v>26</v>
      </c>
      <c r="D290" s="19">
        <v>27559</v>
      </c>
      <c r="E290">
        <v>1</v>
      </c>
      <c r="F290">
        <v>4.2</v>
      </c>
      <c r="G290">
        <v>50</v>
      </c>
      <c r="H290">
        <v>11</v>
      </c>
      <c r="I290">
        <v>10</v>
      </c>
      <c r="J290">
        <v>4.7</v>
      </c>
      <c r="K290" t="s">
        <v>14</v>
      </c>
      <c r="L290" t="str">
        <f t="shared" si="4"/>
        <v>Medium</v>
      </c>
    </row>
    <row r="291" spans="1:12" ht="15" customHeight="1" x14ac:dyDescent="0.25">
      <c r="A291" t="s">
        <v>309</v>
      </c>
      <c r="B291" t="s">
        <v>16</v>
      </c>
      <c r="C291">
        <v>36</v>
      </c>
      <c r="D291" s="19">
        <v>20457</v>
      </c>
      <c r="E291">
        <v>15</v>
      </c>
      <c r="F291">
        <v>3.8</v>
      </c>
      <c r="G291">
        <v>9</v>
      </c>
      <c r="H291">
        <v>27</v>
      </c>
      <c r="I291">
        <v>5</v>
      </c>
      <c r="J291">
        <v>3.1</v>
      </c>
      <c r="K291" t="s">
        <v>14</v>
      </c>
      <c r="L291" t="str">
        <f t="shared" si="4"/>
        <v>Medium</v>
      </c>
    </row>
    <row r="292" spans="1:12" ht="15" customHeight="1" x14ac:dyDescent="0.25">
      <c r="A292" t="s">
        <v>310</v>
      </c>
      <c r="B292" t="s">
        <v>39</v>
      </c>
      <c r="C292">
        <v>56</v>
      </c>
      <c r="D292" s="19">
        <v>19072</v>
      </c>
      <c r="E292">
        <v>4</v>
      </c>
      <c r="F292">
        <v>4.3</v>
      </c>
      <c r="G292">
        <v>24</v>
      </c>
      <c r="H292">
        <v>23</v>
      </c>
      <c r="I292">
        <v>9</v>
      </c>
      <c r="J292">
        <v>2.7</v>
      </c>
      <c r="K292" t="s">
        <v>26</v>
      </c>
      <c r="L292" t="str">
        <f t="shared" si="4"/>
        <v>High</v>
      </c>
    </row>
    <row r="293" spans="1:12" ht="15" customHeight="1" x14ac:dyDescent="0.25">
      <c r="A293" t="s">
        <v>311</v>
      </c>
      <c r="B293" t="s">
        <v>18</v>
      </c>
      <c r="C293">
        <v>59</v>
      </c>
      <c r="D293" s="19">
        <v>23867</v>
      </c>
      <c r="E293">
        <v>5</v>
      </c>
      <c r="F293">
        <v>2.9</v>
      </c>
      <c r="G293">
        <v>7</v>
      </c>
      <c r="H293">
        <v>18</v>
      </c>
      <c r="I293">
        <v>19</v>
      </c>
      <c r="J293">
        <v>1.8</v>
      </c>
      <c r="K293" t="s">
        <v>14</v>
      </c>
      <c r="L293" t="str">
        <f t="shared" si="4"/>
        <v>Medium</v>
      </c>
    </row>
    <row r="294" spans="1:12" ht="15" customHeight="1" x14ac:dyDescent="0.25">
      <c r="A294" t="s">
        <v>312</v>
      </c>
      <c r="B294" t="s">
        <v>16</v>
      </c>
      <c r="C294">
        <v>56</v>
      </c>
      <c r="D294" s="19">
        <v>35302</v>
      </c>
      <c r="E294">
        <v>13</v>
      </c>
      <c r="F294">
        <v>3.4</v>
      </c>
      <c r="G294">
        <v>23</v>
      </c>
      <c r="H294">
        <v>20</v>
      </c>
      <c r="I294">
        <v>7</v>
      </c>
      <c r="J294">
        <v>2.6</v>
      </c>
      <c r="K294" t="s">
        <v>14</v>
      </c>
      <c r="L294" t="str">
        <f t="shared" si="4"/>
        <v>Medium</v>
      </c>
    </row>
    <row r="295" spans="1:12" ht="15" customHeight="1" x14ac:dyDescent="0.25">
      <c r="A295" t="s">
        <v>313</v>
      </c>
      <c r="B295" t="s">
        <v>16</v>
      </c>
      <c r="C295">
        <v>55</v>
      </c>
      <c r="D295" s="19">
        <v>33765</v>
      </c>
      <c r="E295">
        <v>7</v>
      </c>
      <c r="F295">
        <v>3.8</v>
      </c>
      <c r="G295">
        <v>16</v>
      </c>
      <c r="H295">
        <v>32</v>
      </c>
      <c r="I295">
        <v>6</v>
      </c>
      <c r="J295">
        <v>3.2</v>
      </c>
      <c r="K295" t="s">
        <v>26</v>
      </c>
      <c r="L295" t="str">
        <f t="shared" si="4"/>
        <v>High</v>
      </c>
    </row>
    <row r="296" spans="1:12" ht="15" customHeight="1" x14ac:dyDescent="0.25">
      <c r="A296" t="s">
        <v>314</v>
      </c>
      <c r="B296" t="s">
        <v>16</v>
      </c>
      <c r="C296">
        <v>37</v>
      </c>
      <c r="D296" s="19">
        <v>23286</v>
      </c>
      <c r="E296">
        <v>13</v>
      </c>
      <c r="F296">
        <v>3.1</v>
      </c>
      <c r="G296">
        <v>10</v>
      </c>
      <c r="H296">
        <v>25</v>
      </c>
      <c r="I296">
        <v>9</v>
      </c>
      <c r="J296">
        <v>2.6</v>
      </c>
      <c r="K296" t="s">
        <v>14</v>
      </c>
      <c r="L296" t="str">
        <f t="shared" si="4"/>
        <v>Medium</v>
      </c>
    </row>
    <row r="297" spans="1:12" ht="15" customHeight="1" x14ac:dyDescent="0.25">
      <c r="A297" t="s">
        <v>315</v>
      </c>
      <c r="B297" t="s">
        <v>18</v>
      </c>
      <c r="C297">
        <v>21</v>
      </c>
      <c r="D297" s="19">
        <v>27942</v>
      </c>
      <c r="E297">
        <v>9</v>
      </c>
      <c r="F297">
        <v>2.6</v>
      </c>
      <c r="G297">
        <v>15</v>
      </c>
      <c r="H297">
        <v>28</v>
      </c>
      <c r="I297">
        <v>0</v>
      </c>
      <c r="J297">
        <v>4.2</v>
      </c>
      <c r="K297" t="s">
        <v>14</v>
      </c>
      <c r="L297" t="str">
        <f t="shared" si="4"/>
        <v>Medium</v>
      </c>
    </row>
    <row r="298" spans="1:12" ht="15" customHeight="1" x14ac:dyDescent="0.25">
      <c r="A298" t="s">
        <v>316</v>
      </c>
      <c r="B298" t="s">
        <v>21</v>
      </c>
      <c r="C298">
        <v>40</v>
      </c>
      <c r="D298" s="19">
        <v>23047</v>
      </c>
      <c r="E298">
        <v>0</v>
      </c>
      <c r="F298">
        <v>3.8</v>
      </c>
      <c r="G298">
        <v>49</v>
      </c>
      <c r="H298">
        <v>6</v>
      </c>
      <c r="I298">
        <v>8</v>
      </c>
      <c r="J298">
        <v>5</v>
      </c>
      <c r="K298" t="s">
        <v>14</v>
      </c>
      <c r="L298" t="str">
        <f t="shared" si="4"/>
        <v>Medium</v>
      </c>
    </row>
    <row r="299" spans="1:12" ht="15" customHeight="1" x14ac:dyDescent="0.25">
      <c r="A299" t="s">
        <v>317</v>
      </c>
      <c r="B299" t="s">
        <v>16</v>
      </c>
      <c r="C299">
        <v>55</v>
      </c>
      <c r="D299" s="19">
        <v>31722</v>
      </c>
      <c r="E299">
        <v>0</v>
      </c>
      <c r="F299">
        <v>4.4000000000000004</v>
      </c>
      <c r="G299">
        <v>10</v>
      </c>
      <c r="H299">
        <v>30</v>
      </c>
      <c r="I299">
        <v>0</v>
      </c>
      <c r="J299">
        <v>2</v>
      </c>
      <c r="K299" t="s">
        <v>14</v>
      </c>
      <c r="L299" t="str">
        <f t="shared" si="4"/>
        <v>Medium</v>
      </c>
    </row>
    <row r="300" spans="1:12" ht="15" customHeight="1" x14ac:dyDescent="0.25">
      <c r="A300" t="s">
        <v>318</v>
      </c>
      <c r="B300" t="s">
        <v>21</v>
      </c>
      <c r="C300">
        <v>56</v>
      </c>
      <c r="D300" s="19">
        <v>15832</v>
      </c>
      <c r="E300">
        <v>11</v>
      </c>
      <c r="F300">
        <v>2.1</v>
      </c>
      <c r="G300">
        <v>4</v>
      </c>
      <c r="H300">
        <v>17</v>
      </c>
      <c r="I300">
        <v>8</v>
      </c>
      <c r="J300">
        <v>1</v>
      </c>
      <c r="K300" t="s">
        <v>14</v>
      </c>
      <c r="L300" t="str">
        <f t="shared" si="4"/>
        <v>Medium</v>
      </c>
    </row>
    <row r="301" spans="1:12" ht="15" customHeight="1" x14ac:dyDescent="0.25">
      <c r="A301" t="s">
        <v>319</v>
      </c>
      <c r="B301" t="s">
        <v>16</v>
      </c>
      <c r="C301">
        <v>31</v>
      </c>
      <c r="D301" s="19">
        <v>23825</v>
      </c>
      <c r="E301">
        <v>1</v>
      </c>
      <c r="F301">
        <v>4.3</v>
      </c>
      <c r="G301">
        <v>17</v>
      </c>
      <c r="H301">
        <v>33</v>
      </c>
      <c r="I301">
        <v>6</v>
      </c>
      <c r="J301">
        <v>4.9000000000000004</v>
      </c>
      <c r="K301" t="s">
        <v>14</v>
      </c>
      <c r="L301" t="str">
        <f t="shared" si="4"/>
        <v>Medium</v>
      </c>
    </row>
    <row r="302" spans="1:12" ht="15" customHeight="1" x14ac:dyDescent="0.25">
      <c r="A302" t="s">
        <v>320</v>
      </c>
      <c r="B302" t="s">
        <v>16</v>
      </c>
      <c r="C302">
        <v>35</v>
      </c>
      <c r="D302" s="19">
        <v>31644</v>
      </c>
      <c r="E302">
        <v>1</v>
      </c>
      <c r="F302">
        <v>2.7</v>
      </c>
      <c r="G302">
        <v>44</v>
      </c>
      <c r="H302">
        <v>10</v>
      </c>
      <c r="I302">
        <v>7</v>
      </c>
      <c r="J302">
        <v>2.9</v>
      </c>
      <c r="K302" t="s">
        <v>14</v>
      </c>
      <c r="L302" t="str">
        <f t="shared" si="4"/>
        <v>Medium</v>
      </c>
    </row>
    <row r="303" spans="1:12" ht="15" customHeight="1" x14ac:dyDescent="0.25">
      <c r="A303" t="s">
        <v>321</v>
      </c>
      <c r="B303" t="s">
        <v>16</v>
      </c>
      <c r="C303">
        <v>29</v>
      </c>
      <c r="D303" s="19">
        <v>37267</v>
      </c>
      <c r="E303">
        <v>10</v>
      </c>
      <c r="F303">
        <v>3.9</v>
      </c>
      <c r="G303">
        <v>20</v>
      </c>
      <c r="H303">
        <v>23</v>
      </c>
      <c r="I303">
        <v>9</v>
      </c>
      <c r="J303">
        <v>1</v>
      </c>
      <c r="K303" t="s">
        <v>26</v>
      </c>
      <c r="L303" t="str">
        <f t="shared" si="4"/>
        <v>High</v>
      </c>
    </row>
    <row r="304" spans="1:12" ht="15" customHeight="1" x14ac:dyDescent="0.25">
      <c r="A304" t="s">
        <v>322</v>
      </c>
      <c r="B304" t="s">
        <v>18</v>
      </c>
      <c r="C304">
        <v>48</v>
      </c>
      <c r="D304" s="19">
        <v>22338</v>
      </c>
      <c r="E304">
        <v>10</v>
      </c>
      <c r="F304">
        <v>3.3</v>
      </c>
      <c r="G304">
        <v>8</v>
      </c>
      <c r="H304">
        <v>7</v>
      </c>
      <c r="I304">
        <v>0</v>
      </c>
      <c r="J304">
        <v>3.8</v>
      </c>
      <c r="K304" t="s">
        <v>14</v>
      </c>
      <c r="L304" t="str">
        <f t="shared" si="4"/>
        <v>Low</v>
      </c>
    </row>
    <row r="305" spans="1:12" ht="15" customHeight="1" x14ac:dyDescent="0.25">
      <c r="A305" t="s">
        <v>323</v>
      </c>
      <c r="B305" t="s">
        <v>21</v>
      </c>
      <c r="C305">
        <v>39</v>
      </c>
      <c r="D305" s="19">
        <v>24176</v>
      </c>
      <c r="E305">
        <v>14</v>
      </c>
      <c r="F305">
        <v>3.8</v>
      </c>
      <c r="G305">
        <v>32</v>
      </c>
      <c r="H305">
        <v>25</v>
      </c>
      <c r="I305">
        <v>6</v>
      </c>
      <c r="J305">
        <v>2.7</v>
      </c>
      <c r="K305" t="s">
        <v>14</v>
      </c>
      <c r="L305" t="str">
        <f t="shared" si="4"/>
        <v>Medium</v>
      </c>
    </row>
    <row r="306" spans="1:12" ht="15" customHeight="1" x14ac:dyDescent="0.25">
      <c r="A306" t="s">
        <v>324</v>
      </c>
      <c r="B306" t="s">
        <v>31</v>
      </c>
      <c r="C306">
        <v>31</v>
      </c>
      <c r="D306" s="19">
        <v>21094</v>
      </c>
      <c r="E306">
        <v>12</v>
      </c>
      <c r="F306">
        <v>2.8</v>
      </c>
      <c r="G306">
        <v>34</v>
      </c>
      <c r="H306">
        <v>22</v>
      </c>
      <c r="I306">
        <v>0</v>
      </c>
      <c r="J306">
        <v>3.1</v>
      </c>
      <c r="K306" t="s">
        <v>26</v>
      </c>
      <c r="L306" t="str">
        <f t="shared" si="4"/>
        <v>High</v>
      </c>
    </row>
    <row r="307" spans="1:12" ht="15" customHeight="1" x14ac:dyDescent="0.25">
      <c r="A307" t="s">
        <v>325</v>
      </c>
      <c r="B307" t="s">
        <v>18</v>
      </c>
      <c r="C307">
        <v>59</v>
      </c>
      <c r="D307" s="19">
        <v>26682</v>
      </c>
      <c r="E307">
        <v>6</v>
      </c>
      <c r="F307">
        <v>2.2999999999999998</v>
      </c>
      <c r="G307">
        <v>6</v>
      </c>
      <c r="H307">
        <v>24</v>
      </c>
      <c r="I307">
        <v>0</v>
      </c>
      <c r="J307">
        <v>2.4</v>
      </c>
      <c r="K307" t="s">
        <v>26</v>
      </c>
      <c r="L307" t="str">
        <f t="shared" si="4"/>
        <v>High</v>
      </c>
    </row>
    <row r="308" spans="1:12" ht="15" customHeight="1" x14ac:dyDescent="0.25">
      <c r="A308" t="s">
        <v>326</v>
      </c>
      <c r="B308" t="s">
        <v>31</v>
      </c>
      <c r="C308">
        <v>55</v>
      </c>
      <c r="D308" s="19">
        <v>15759</v>
      </c>
      <c r="E308">
        <v>10</v>
      </c>
      <c r="F308">
        <v>4.4000000000000004</v>
      </c>
      <c r="G308">
        <v>4</v>
      </c>
      <c r="H308">
        <v>2</v>
      </c>
      <c r="I308">
        <v>0</v>
      </c>
      <c r="J308">
        <v>4.5</v>
      </c>
      <c r="K308" t="s">
        <v>14</v>
      </c>
      <c r="L308" t="str">
        <f t="shared" si="4"/>
        <v>Low</v>
      </c>
    </row>
    <row r="309" spans="1:12" ht="15" customHeight="1" x14ac:dyDescent="0.25">
      <c r="A309" t="s">
        <v>327</v>
      </c>
      <c r="B309" t="s">
        <v>31</v>
      </c>
      <c r="C309">
        <v>27</v>
      </c>
      <c r="D309" s="19">
        <v>20276</v>
      </c>
      <c r="E309">
        <v>9</v>
      </c>
      <c r="F309">
        <v>2.2000000000000002</v>
      </c>
      <c r="G309">
        <v>36</v>
      </c>
      <c r="H309">
        <v>4</v>
      </c>
      <c r="I309">
        <v>8</v>
      </c>
      <c r="J309">
        <v>2.7</v>
      </c>
      <c r="K309" t="s">
        <v>26</v>
      </c>
      <c r="L309" t="str">
        <f t="shared" si="4"/>
        <v>High</v>
      </c>
    </row>
    <row r="310" spans="1:12" ht="15" customHeight="1" x14ac:dyDescent="0.25">
      <c r="A310" t="s">
        <v>328</v>
      </c>
      <c r="B310" t="s">
        <v>16</v>
      </c>
      <c r="C310">
        <v>37</v>
      </c>
      <c r="D310" s="19">
        <v>27581</v>
      </c>
      <c r="E310">
        <v>6</v>
      </c>
      <c r="F310">
        <v>4.0999999999999996</v>
      </c>
      <c r="G310">
        <v>48</v>
      </c>
      <c r="H310">
        <v>4</v>
      </c>
      <c r="I310">
        <v>0</v>
      </c>
      <c r="J310">
        <v>2.2000000000000002</v>
      </c>
      <c r="K310" t="s">
        <v>14</v>
      </c>
      <c r="L310" t="str">
        <f t="shared" si="4"/>
        <v>Medium</v>
      </c>
    </row>
    <row r="311" spans="1:12" ht="15" customHeight="1" x14ac:dyDescent="0.25">
      <c r="A311" t="s">
        <v>329</v>
      </c>
      <c r="B311" t="s">
        <v>39</v>
      </c>
      <c r="C311">
        <v>27</v>
      </c>
      <c r="D311" s="19">
        <v>25545</v>
      </c>
      <c r="E311">
        <v>3</v>
      </c>
      <c r="F311">
        <v>3.6</v>
      </c>
      <c r="G311">
        <v>13</v>
      </c>
      <c r="H311">
        <v>34</v>
      </c>
      <c r="I311">
        <v>1</v>
      </c>
      <c r="J311">
        <v>3.7</v>
      </c>
      <c r="K311" t="s">
        <v>14</v>
      </c>
      <c r="L311" t="str">
        <f t="shared" si="4"/>
        <v>Medium</v>
      </c>
    </row>
    <row r="312" spans="1:12" ht="15" customHeight="1" x14ac:dyDescent="0.25">
      <c r="A312" t="s">
        <v>330</v>
      </c>
      <c r="B312" t="s">
        <v>39</v>
      </c>
      <c r="C312">
        <v>45</v>
      </c>
      <c r="D312" s="19">
        <v>27720</v>
      </c>
      <c r="E312">
        <v>1</v>
      </c>
      <c r="F312">
        <v>2.6</v>
      </c>
      <c r="G312">
        <v>34</v>
      </c>
      <c r="H312">
        <v>8</v>
      </c>
      <c r="I312">
        <v>17</v>
      </c>
      <c r="J312">
        <v>3.6</v>
      </c>
      <c r="K312" t="s">
        <v>14</v>
      </c>
      <c r="L312" t="str">
        <f t="shared" si="4"/>
        <v>Medium</v>
      </c>
    </row>
    <row r="313" spans="1:12" ht="15" customHeight="1" x14ac:dyDescent="0.25">
      <c r="A313" t="s">
        <v>331</v>
      </c>
      <c r="B313" t="s">
        <v>31</v>
      </c>
      <c r="C313">
        <v>29</v>
      </c>
      <c r="D313" s="19">
        <v>13467</v>
      </c>
      <c r="E313">
        <v>12</v>
      </c>
      <c r="F313">
        <v>3.1</v>
      </c>
      <c r="G313">
        <v>49</v>
      </c>
      <c r="H313">
        <v>16</v>
      </c>
      <c r="I313">
        <v>7</v>
      </c>
      <c r="J313">
        <v>3.8</v>
      </c>
      <c r="K313" t="s">
        <v>14</v>
      </c>
      <c r="L313" t="str">
        <f t="shared" si="4"/>
        <v>Low</v>
      </c>
    </row>
    <row r="314" spans="1:12" ht="15" customHeight="1" x14ac:dyDescent="0.25">
      <c r="A314" t="s">
        <v>332</v>
      </c>
      <c r="B314" t="s">
        <v>39</v>
      </c>
      <c r="C314">
        <v>35</v>
      </c>
      <c r="D314" s="19">
        <v>18903</v>
      </c>
      <c r="E314">
        <v>3</v>
      </c>
      <c r="F314">
        <v>3.6</v>
      </c>
      <c r="G314">
        <v>45</v>
      </c>
      <c r="H314">
        <v>35</v>
      </c>
      <c r="I314">
        <v>8</v>
      </c>
      <c r="J314">
        <v>2.5</v>
      </c>
      <c r="K314" t="s">
        <v>14</v>
      </c>
      <c r="L314" t="str">
        <f t="shared" si="4"/>
        <v>Medium</v>
      </c>
    </row>
    <row r="315" spans="1:12" ht="15" customHeight="1" x14ac:dyDescent="0.25">
      <c r="A315" t="s">
        <v>333</v>
      </c>
      <c r="B315" t="s">
        <v>39</v>
      </c>
      <c r="C315">
        <v>34</v>
      </c>
      <c r="D315" s="19">
        <v>26660</v>
      </c>
      <c r="E315">
        <v>6</v>
      </c>
      <c r="F315">
        <v>3.4</v>
      </c>
      <c r="G315">
        <v>14</v>
      </c>
      <c r="H315">
        <v>9</v>
      </c>
      <c r="I315">
        <v>11</v>
      </c>
      <c r="J315">
        <v>4.5</v>
      </c>
      <c r="K315" t="s">
        <v>26</v>
      </c>
      <c r="L315" t="str">
        <f t="shared" si="4"/>
        <v>High</v>
      </c>
    </row>
    <row r="316" spans="1:12" ht="15" customHeight="1" x14ac:dyDescent="0.25">
      <c r="A316" t="s">
        <v>334</v>
      </c>
      <c r="B316" t="s">
        <v>13</v>
      </c>
      <c r="C316">
        <v>32</v>
      </c>
      <c r="D316" s="19">
        <v>18533</v>
      </c>
      <c r="E316">
        <v>14</v>
      </c>
      <c r="F316">
        <v>3</v>
      </c>
      <c r="G316">
        <v>5</v>
      </c>
      <c r="H316">
        <v>32</v>
      </c>
      <c r="I316">
        <v>7</v>
      </c>
      <c r="J316">
        <v>4.0999999999999996</v>
      </c>
      <c r="K316" t="s">
        <v>14</v>
      </c>
      <c r="L316" t="str">
        <f t="shared" si="4"/>
        <v>Medium</v>
      </c>
    </row>
    <row r="317" spans="1:12" ht="15" customHeight="1" x14ac:dyDescent="0.25">
      <c r="A317" t="s">
        <v>335</v>
      </c>
      <c r="B317" t="s">
        <v>31</v>
      </c>
      <c r="C317">
        <v>51</v>
      </c>
      <c r="D317" s="19">
        <v>16841</v>
      </c>
      <c r="E317">
        <v>6</v>
      </c>
      <c r="F317">
        <v>2.5</v>
      </c>
      <c r="G317">
        <v>27</v>
      </c>
      <c r="H317">
        <v>24</v>
      </c>
      <c r="I317">
        <v>7</v>
      </c>
      <c r="J317">
        <v>2.7</v>
      </c>
      <c r="K317" t="s">
        <v>14</v>
      </c>
      <c r="L317" t="str">
        <f t="shared" si="4"/>
        <v>Medium</v>
      </c>
    </row>
    <row r="318" spans="1:12" ht="15" customHeight="1" x14ac:dyDescent="0.25">
      <c r="A318" t="s">
        <v>336</v>
      </c>
      <c r="B318" t="s">
        <v>13</v>
      </c>
      <c r="C318">
        <v>56</v>
      </c>
      <c r="D318" s="19">
        <v>28463</v>
      </c>
      <c r="E318">
        <v>1</v>
      </c>
      <c r="F318">
        <v>3.5</v>
      </c>
      <c r="G318">
        <v>39</v>
      </c>
      <c r="H318">
        <v>8</v>
      </c>
      <c r="I318">
        <v>3</v>
      </c>
      <c r="J318">
        <v>3.7</v>
      </c>
      <c r="K318" t="s">
        <v>14</v>
      </c>
      <c r="L318" t="str">
        <f t="shared" si="4"/>
        <v>Medium</v>
      </c>
    </row>
    <row r="319" spans="1:12" ht="15" customHeight="1" x14ac:dyDescent="0.25">
      <c r="A319" t="s">
        <v>337</v>
      </c>
      <c r="B319" t="s">
        <v>39</v>
      </c>
      <c r="C319">
        <v>41</v>
      </c>
      <c r="D319" s="19">
        <v>27014</v>
      </c>
      <c r="E319">
        <v>14</v>
      </c>
      <c r="F319">
        <v>4</v>
      </c>
      <c r="G319">
        <v>29</v>
      </c>
      <c r="H319">
        <v>11</v>
      </c>
      <c r="I319">
        <v>13</v>
      </c>
      <c r="J319">
        <v>3.4</v>
      </c>
      <c r="K319" t="s">
        <v>14</v>
      </c>
      <c r="L319" t="str">
        <f t="shared" si="4"/>
        <v>Low</v>
      </c>
    </row>
    <row r="320" spans="1:12" ht="15" customHeight="1" x14ac:dyDescent="0.25">
      <c r="A320" t="s">
        <v>338</v>
      </c>
      <c r="B320" t="s">
        <v>16</v>
      </c>
      <c r="C320">
        <v>58</v>
      </c>
      <c r="D320" s="19">
        <v>21442</v>
      </c>
      <c r="E320">
        <v>1</v>
      </c>
      <c r="F320">
        <v>1.4</v>
      </c>
      <c r="G320">
        <v>46</v>
      </c>
      <c r="H320">
        <v>24</v>
      </c>
      <c r="I320">
        <v>10</v>
      </c>
      <c r="J320">
        <v>3.1</v>
      </c>
      <c r="K320" t="s">
        <v>26</v>
      </c>
      <c r="L320" t="str">
        <f t="shared" si="4"/>
        <v>High</v>
      </c>
    </row>
    <row r="321" spans="1:12" ht="15" customHeight="1" x14ac:dyDescent="0.25">
      <c r="A321" t="s">
        <v>339</v>
      </c>
      <c r="B321" t="s">
        <v>31</v>
      </c>
      <c r="C321">
        <v>46</v>
      </c>
      <c r="D321" s="19">
        <v>23535</v>
      </c>
      <c r="E321">
        <v>7</v>
      </c>
      <c r="F321">
        <v>3.6</v>
      </c>
      <c r="G321">
        <v>22</v>
      </c>
      <c r="H321">
        <v>0</v>
      </c>
      <c r="I321">
        <v>8</v>
      </c>
      <c r="J321">
        <v>2.2999999999999998</v>
      </c>
      <c r="K321" t="s">
        <v>26</v>
      </c>
      <c r="L321" t="str">
        <f t="shared" si="4"/>
        <v>High</v>
      </c>
    </row>
    <row r="322" spans="1:12" ht="15" customHeight="1" x14ac:dyDescent="0.25">
      <c r="A322" t="s">
        <v>340</v>
      </c>
      <c r="B322" t="s">
        <v>39</v>
      </c>
      <c r="C322">
        <v>58</v>
      </c>
      <c r="D322" s="19">
        <v>23565</v>
      </c>
      <c r="E322">
        <v>0</v>
      </c>
      <c r="F322">
        <v>2.7</v>
      </c>
      <c r="G322">
        <v>16</v>
      </c>
      <c r="H322">
        <v>27</v>
      </c>
      <c r="I322">
        <v>10</v>
      </c>
      <c r="J322">
        <v>2.9</v>
      </c>
      <c r="K322" t="s">
        <v>14</v>
      </c>
      <c r="L322" t="str">
        <f t="shared" ref="L322:L385" si="5">IF(K322="Yes","High",IF(OR(J322&lt;3,H322&gt;20,E322&lt;2),"Medium","Low"))</f>
        <v>Medium</v>
      </c>
    </row>
    <row r="323" spans="1:12" ht="15" customHeight="1" x14ac:dyDescent="0.25">
      <c r="A323" t="s">
        <v>341</v>
      </c>
      <c r="B323" t="s">
        <v>21</v>
      </c>
      <c r="C323">
        <v>55</v>
      </c>
      <c r="D323" s="19">
        <v>22943</v>
      </c>
      <c r="E323">
        <v>7</v>
      </c>
      <c r="F323">
        <v>3.7</v>
      </c>
      <c r="G323">
        <v>38</v>
      </c>
      <c r="H323">
        <v>27</v>
      </c>
      <c r="I323">
        <v>1</v>
      </c>
      <c r="J323">
        <v>3</v>
      </c>
      <c r="K323" t="s">
        <v>14</v>
      </c>
      <c r="L323" t="str">
        <f t="shared" si="5"/>
        <v>Medium</v>
      </c>
    </row>
    <row r="324" spans="1:12" ht="15" customHeight="1" x14ac:dyDescent="0.25">
      <c r="A324" t="s">
        <v>342</v>
      </c>
      <c r="B324" t="s">
        <v>18</v>
      </c>
      <c r="C324">
        <v>51</v>
      </c>
      <c r="D324" s="19">
        <v>31338</v>
      </c>
      <c r="E324">
        <v>11</v>
      </c>
      <c r="F324">
        <v>4.8</v>
      </c>
      <c r="G324">
        <v>31</v>
      </c>
      <c r="H324">
        <v>11</v>
      </c>
      <c r="I324">
        <v>7</v>
      </c>
      <c r="J324">
        <v>2.2999999999999998</v>
      </c>
      <c r="K324" t="s">
        <v>14</v>
      </c>
      <c r="L324" t="str">
        <f t="shared" si="5"/>
        <v>Medium</v>
      </c>
    </row>
    <row r="325" spans="1:12" ht="15" customHeight="1" x14ac:dyDescent="0.25">
      <c r="A325" t="s">
        <v>343</v>
      </c>
      <c r="B325" t="s">
        <v>21</v>
      </c>
      <c r="C325">
        <v>22</v>
      </c>
      <c r="D325" s="19">
        <v>14425</v>
      </c>
      <c r="E325">
        <v>11</v>
      </c>
      <c r="F325">
        <v>4.5999999999999996</v>
      </c>
      <c r="G325">
        <v>33</v>
      </c>
      <c r="H325">
        <v>33</v>
      </c>
      <c r="I325">
        <v>0</v>
      </c>
      <c r="J325">
        <v>2.6</v>
      </c>
      <c r="K325" t="s">
        <v>26</v>
      </c>
      <c r="L325" t="str">
        <f t="shared" si="5"/>
        <v>High</v>
      </c>
    </row>
    <row r="326" spans="1:12" ht="15" customHeight="1" x14ac:dyDescent="0.25">
      <c r="A326" t="s">
        <v>344</v>
      </c>
      <c r="B326" t="s">
        <v>18</v>
      </c>
      <c r="C326">
        <v>40</v>
      </c>
      <c r="D326" s="19">
        <v>16577</v>
      </c>
      <c r="E326">
        <v>11</v>
      </c>
      <c r="F326">
        <v>5</v>
      </c>
      <c r="G326">
        <v>33</v>
      </c>
      <c r="H326">
        <v>23</v>
      </c>
      <c r="I326">
        <v>2</v>
      </c>
      <c r="J326">
        <v>3</v>
      </c>
      <c r="K326" t="s">
        <v>14</v>
      </c>
      <c r="L326" t="str">
        <f t="shared" si="5"/>
        <v>Medium</v>
      </c>
    </row>
    <row r="327" spans="1:12" ht="15" customHeight="1" x14ac:dyDescent="0.25">
      <c r="A327" t="s">
        <v>345</v>
      </c>
      <c r="B327" t="s">
        <v>21</v>
      </c>
      <c r="C327">
        <v>52</v>
      </c>
      <c r="D327" s="19">
        <v>23993</v>
      </c>
      <c r="E327">
        <v>15</v>
      </c>
      <c r="F327">
        <v>4</v>
      </c>
      <c r="G327">
        <v>22</v>
      </c>
      <c r="H327">
        <v>24</v>
      </c>
      <c r="I327">
        <v>0</v>
      </c>
      <c r="J327">
        <v>2.5</v>
      </c>
      <c r="K327" t="s">
        <v>26</v>
      </c>
      <c r="L327" t="str">
        <f t="shared" si="5"/>
        <v>High</v>
      </c>
    </row>
    <row r="328" spans="1:12" ht="15" customHeight="1" x14ac:dyDescent="0.25">
      <c r="A328" t="s">
        <v>346</v>
      </c>
      <c r="B328" t="s">
        <v>31</v>
      </c>
      <c r="C328">
        <v>56</v>
      </c>
      <c r="D328" s="19">
        <v>21702</v>
      </c>
      <c r="E328">
        <v>12</v>
      </c>
      <c r="F328">
        <v>4.2</v>
      </c>
      <c r="G328">
        <v>15</v>
      </c>
      <c r="H328">
        <v>10</v>
      </c>
      <c r="I328">
        <v>4</v>
      </c>
      <c r="J328">
        <v>4.8</v>
      </c>
      <c r="K328" t="s">
        <v>14</v>
      </c>
      <c r="L328" t="str">
        <f t="shared" si="5"/>
        <v>Low</v>
      </c>
    </row>
    <row r="329" spans="1:12" ht="15" customHeight="1" x14ac:dyDescent="0.25">
      <c r="A329" t="s">
        <v>347</v>
      </c>
      <c r="B329" t="s">
        <v>39</v>
      </c>
      <c r="C329">
        <v>25</v>
      </c>
      <c r="D329" s="19">
        <v>26983</v>
      </c>
      <c r="E329">
        <v>8</v>
      </c>
      <c r="F329">
        <v>4.9000000000000004</v>
      </c>
      <c r="G329">
        <v>12</v>
      </c>
      <c r="H329">
        <v>6</v>
      </c>
      <c r="I329">
        <v>8</v>
      </c>
      <c r="J329">
        <v>2.7</v>
      </c>
      <c r="K329" t="s">
        <v>14</v>
      </c>
      <c r="L329" t="str">
        <f t="shared" si="5"/>
        <v>Medium</v>
      </c>
    </row>
    <row r="330" spans="1:12" ht="15" customHeight="1" x14ac:dyDescent="0.25">
      <c r="A330" t="s">
        <v>348</v>
      </c>
      <c r="B330" t="s">
        <v>21</v>
      </c>
      <c r="C330">
        <v>23</v>
      </c>
      <c r="D330" s="19">
        <v>15071</v>
      </c>
      <c r="E330">
        <v>4</v>
      </c>
      <c r="F330">
        <v>4.5</v>
      </c>
      <c r="G330">
        <v>35</v>
      </c>
      <c r="H330">
        <v>0</v>
      </c>
      <c r="I330">
        <v>12</v>
      </c>
      <c r="J330">
        <v>3.4</v>
      </c>
      <c r="K330" t="s">
        <v>14</v>
      </c>
      <c r="L330" t="str">
        <f t="shared" si="5"/>
        <v>Low</v>
      </c>
    </row>
    <row r="331" spans="1:12" ht="15" customHeight="1" x14ac:dyDescent="0.25">
      <c r="A331" t="s">
        <v>349</v>
      </c>
      <c r="B331" t="s">
        <v>18</v>
      </c>
      <c r="C331">
        <v>46</v>
      </c>
      <c r="D331" s="19">
        <v>21194</v>
      </c>
      <c r="E331">
        <v>14</v>
      </c>
      <c r="F331">
        <v>3.3</v>
      </c>
      <c r="G331">
        <v>14</v>
      </c>
      <c r="H331">
        <v>13</v>
      </c>
      <c r="I331">
        <v>8</v>
      </c>
      <c r="J331">
        <v>2.8</v>
      </c>
      <c r="K331" t="s">
        <v>14</v>
      </c>
      <c r="L331" t="str">
        <f t="shared" si="5"/>
        <v>Medium</v>
      </c>
    </row>
    <row r="332" spans="1:12" ht="15" customHeight="1" x14ac:dyDescent="0.25">
      <c r="A332" t="s">
        <v>350</v>
      </c>
      <c r="B332" t="s">
        <v>13</v>
      </c>
      <c r="C332">
        <v>53</v>
      </c>
      <c r="D332" s="19">
        <v>36349</v>
      </c>
      <c r="E332">
        <v>0</v>
      </c>
      <c r="F332">
        <v>4.3</v>
      </c>
      <c r="G332">
        <v>45</v>
      </c>
      <c r="H332">
        <v>33</v>
      </c>
      <c r="I332">
        <v>8</v>
      </c>
      <c r="J332">
        <v>4</v>
      </c>
      <c r="K332" t="s">
        <v>14</v>
      </c>
      <c r="L332" t="str">
        <f t="shared" si="5"/>
        <v>Medium</v>
      </c>
    </row>
    <row r="333" spans="1:12" ht="15" customHeight="1" x14ac:dyDescent="0.25">
      <c r="A333" t="s">
        <v>351</v>
      </c>
      <c r="B333" t="s">
        <v>13</v>
      </c>
      <c r="C333">
        <v>26</v>
      </c>
      <c r="D333" s="19">
        <v>31752</v>
      </c>
      <c r="E333">
        <v>0</v>
      </c>
      <c r="F333">
        <v>4.5</v>
      </c>
      <c r="G333">
        <v>34</v>
      </c>
      <c r="H333">
        <v>4</v>
      </c>
      <c r="I333">
        <v>9</v>
      </c>
      <c r="J333">
        <v>3.7</v>
      </c>
      <c r="K333" t="s">
        <v>14</v>
      </c>
      <c r="L333" t="str">
        <f t="shared" si="5"/>
        <v>Medium</v>
      </c>
    </row>
    <row r="334" spans="1:12" ht="15" customHeight="1" x14ac:dyDescent="0.25">
      <c r="A334" t="s">
        <v>352</v>
      </c>
      <c r="B334" t="s">
        <v>31</v>
      </c>
      <c r="C334">
        <v>24</v>
      </c>
      <c r="D334" s="19">
        <v>22001</v>
      </c>
      <c r="E334">
        <v>5</v>
      </c>
      <c r="F334">
        <v>4.3</v>
      </c>
      <c r="G334">
        <v>10</v>
      </c>
      <c r="H334">
        <v>5</v>
      </c>
      <c r="I334">
        <v>0</v>
      </c>
      <c r="J334">
        <v>3</v>
      </c>
      <c r="K334" t="s">
        <v>14</v>
      </c>
      <c r="L334" t="str">
        <f t="shared" si="5"/>
        <v>Low</v>
      </c>
    </row>
    <row r="335" spans="1:12" ht="15" customHeight="1" x14ac:dyDescent="0.25">
      <c r="A335" t="s">
        <v>353</v>
      </c>
      <c r="B335" t="s">
        <v>18</v>
      </c>
      <c r="C335">
        <v>44</v>
      </c>
      <c r="D335" s="19">
        <v>21451</v>
      </c>
      <c r="E335">
        <v>6</v>
      </c>
      <c r="F335">
        <v>4.2</v>
      </c>
      <c r="G335">
        <v>6</v>
      </c>
      <c r="H335">
        <v>2</v>
      </c>
      <c r="I335">
        <v>0</v>
      </c>
      <c r="J335">
        <v>3.8</v>
      </c>
      <c r="K335" t="s">
        <v>14</v>
      </c>
      <c r="L335" t="str">
        <f t="shared" si="5"/>
        <v>Low</v>
      </c>
    </row>
    <row r="336" spans="1:12" ht="15" customHeight="1" x14ac:dyDescent="0.25">
      <c r="A336" t="s">
        <v>354</v>
      </c>
      <c r="B336" t="s">
        <v>31</v>
      </c>
      <c r="C336">
        <v>21</v>
      </c>
      <c r="D336" s="19">
        <v>22709</v>
      </c>
      <c r="E336">
        <v>2</v>
      </c>
      <c r="F336">
        <v>4.0999999999999996</v>
      </c>
      <c r="G336">
        <v>23</v>
      </c>
      <c r="H336">
        <v>35</v>
      </c>
      <c r="I336">
        <v>2</v>
      </c>
      <c r="J336">
        <v>3.1</v>
      </c>
      <c r="K336" t="s">
        <v>14</v>
      </c>
      <c r="L336" t="str">
        <f t="shared" si="5"/>
        <v>Medium</v>
      </c>
    </row>
    <row r="337" spans="1:12" ht="15" customHeight="1" x14ac:dyDescent="0.25">
      <c r="A337" t="s">
        <v>355</v>
      </c>
      <c r="B337" t="s">
        <v>31</v>
      </c>
      <c r="C337">
        <v>30</v>
      </c>
      <c r="D337" s="19">
        <v>21389</v>
      </c>
      <c r="E337">
        <v>6</v>
      </c>
      <c r="F337">
        <v>2.2000000000000002</v>
      </c>
      <c r="G337">
        <v>30</v>
      </c>
      <c r="H337">
        <v>22</v>
      </c>
      <c r="I337">
        <v>8</v>
      </c>
      <c r="J337">
        <v>3.9</v>
      </c>
      <c r="K337" t="s">
        <v>14</v>
      </c>
      <c r="L337" t="str">
        <f t="shared" si="5"/>
        <v>Medium</v>
      </c>
    </row>
    <row r="338" spans="1:12" ht="15" customHeight="1" x14ac:dyDescent="0.25">
      <c r="A338" t="s">
        <v>356</v>
      </c>
      <c r="B338" t="s">
        <v>18</v>
      </c>
      <c r="C338">
        <v>47</v>
      </c>
      <c r="D338" s="19">
        <v>16886</v>
      </c>
      <c r="E338">
        <v>9</v>
      </c>
      <c r="F338">
        <v>3.5</v>
      </c>
      <c r="G338">
        <v>50</v>
      </c>
      <c r="H338">
        <v>4</v>
      </c>
      <c r="I338">
        <v>4</v>
      </c>
      <c r="J338">
        <v>4.2</v>
      </c>
      <c r="K338" t="s">
        <v>14</v>
      </c>
      <c r="L338" t="str">
        <f t="shared" si="5"/>
        <v>Low</v>
      </c>
    </row>
    <row r="339" spans="1:12" ht="15" customHeight="1" x14ac:dyDescent="0.25">
      <c r="A339" t="s">
        <v>357</v>
      </c>
      <c r="B339" t="s">
        <v>39</v>
      </c>
      <c r="C339">
        <v>60</v>
      </c>
      <c r="D339" s="19">
        <v>22672</v>
      </c>
      <c r="E339">
        <v>6</v>
      </c>
      <c r="F339">
        <v>3.6</v>
      </c>
      <c r="G339">
        <v>50</v>
      </c>
      <c r="H339">
        <v>23</v>
      </c>
      <c r="I339">
        <v>1</v>
      </c>
      <c r="J339">
        <v>3.8</v>
      </c>
      <c r="K339" t="s">
        <v>14</v>
      </c>
      <c r="L339" t="str">
        <f t="shared" si="5"/>
        <v>Medium</v>
      </c>
    </row>
    <row r="340" spans="1:12" ht="15" customHeight="1" x14ac:dyDescent="0.25">
      <c r="A340" t="s">
        <v>358</v>
      </c>
      <c r="B340" t="s">
        <v>13</v>
      </c>
      <c r="C340">
        <v>42</v>
      </c>
      <c r="D340" s="19">
        <v>31784</v>
      </c>
      <c r="E340">
        <v>13</v>
      </c>
      <c r="F340">
        <v>4.2</v>
      </c>
      <c r="G340">
        <v>16</v>
      </c>
      <c r="H340">
        <v>35</v>
      </c>
      <c r="I340">
        <v>7</v>
      </c>
      <c r="J340">
        <v>3.7</v>
      </c>
      <c r="K340" t="s">
        <v>14</v>
      </c>
      <c r="L340" t="str">
        <f t="shared" si="5"/>
        <v>Medium</v>
      </c>
    </row>
    <row r="341" spans="1:12" ht="15" customHeight="1" x14ac:dyDescent="0.25">
      <c r="A341" t="s">
        <v>359</v>
      </c>
      <c r="B341" t="s">
        <v>16</v>
      </c>
      <c r="C341">
        <v>55</v>
      </c>
      <c r="D341" s="19">
        <v>36929</v>
      </c>
      <c r="E341">
        <v>7</v>
      </c>
      <c r="F341">
        <v>4.5999999999999996</v>
      </c>
      <c r="G341">
        <v>28</v>
      </c>
      <c r="H341">
        <v>19</v>
      </c>
      <c r="I341">
        <v>4</v>
      </c>
      <c r="J341">
        <v>3.7</v>
      </c>
      <c r="K341" t="s">
        <v>26</v>
      </c>
      <c r="L341" t="str">
        <f t="shared" si="5"/>
        <v>High</v>
      </c>
    </row>
    <row r="342" spans="1:12" ht="15" customHeight="1" x14ac:dyDescent="0.25">
      <c r="A342" t="s">
        <v>360</v>
      </c>
      <c r="B342" t="s">
        <v>16</v>
      </c>
      <c r="C342">
        <v>24</v>
      </c>
      <c r="D342" s="19">
        <v>28066</v>
      </c>
      <c r="E342">
        <v>11</v>
      </c>
      <c r="F342">
        <v>2.7</v>
      </c>
      <c r="G342">
        <v>9</v>
      </c>
      <c r="H342">
        <v>23</v>
      </c>
      <c r="I342">
        <v>7</v>
      </c>
      <c r="J342">
        <v>3.9</v>
      </c>
      <c r="K342" t="s">
        <v>14</v>
      </c>
      <c r="L342" t="str">
        <f t="shared" si="5"/>
        <v>Medium</v>
      </c>
    </row>
    <row r="343" spans="1:12" ht="15" customHeight="1" x14ac:dyDescent="0.25">
      <c r="A343" t="s">
        <v>361</v>
      </c>
      <c r="B343" t="s">
        <v>31</v>
      </c>
      <c r="C343">
        <v>21</v>
      </c>
      <c r="D343" s="19">
        <v>17317</v>
      </c>
      <c r="E343">
        <v>3</v>
      </c>
      <c r="F343">
        <v>3.3</v>
      </c>
      <c r="G343">
        <v>6</v>
      </c>
      <c r="H343">
        <v>31</v>
      </c>
      <c r="I343">
        <v>4</v>
      </c>
      <c r="J343">
        <v>2.8</v>
      </c>
      <c r="K343" t="s">
        <v>26</v>
      </c>
      <c r="L343" t="str">
        <f t="shared" si="5"/>
        <v>High</v>
      </c>
    </row>
    <row r="344" spans="1:12" ht="15" customHeight="1" x14ac:dyDescent="0.25">
      <c r="A344" t="s">
        <v>362</v>
      </c>
      <c r="B344" t="s">
        <v>39</v>
      </c>
      <c r="C344">
        <v>27</v>
      </c>
      <c r="D344" s="19">
        <v>22580</v>
      </c>
      <c r="E344">
        <v>12</v>
      </c>
      <c r="F344">
        <v>5</v>
      </c>
      <c r="G344">
        <v>5</v>
      </c>
      <c r="H344">
        <v>9</v>
      </c>
      <c r="I344">
        <v>13</v>
      </c>
      <c r="J344">
        <v>3</v>
      </c>
      <c r="K344" t="s">
        <v>14</v>
      </c>
      <c r="L344" t="str">
        <f t="shared" si="5"/>
        <v>Low</v>
      </c>
    </row>
    <row r="345" spans="1:12" ht="15" customHeight="1" x14ac:dyDescent="0.25">
      <c r="A345" t="s">
        <v>363</v>
      </c>
      <c r="B345" t="s">
        <v>31</v>
      </c>
      <c r="C345">
        <v>45</v>
      </c>
      <c r="D345" s="19">
        <v>12389</v>
      </c>
      <c r="E345">
        <v>12</v>
      </c>
      <c r="F345">
        <v>4</v>
      </c>
      <c r="G345">
        <v>49</v>
      </c>
      <c r="H345">
        <v>23</v>
      </c>
      <c r="I345">
        <v>9</v>
      </c>
      <c r="J345">
        <v>3</v>
      </c>
      <c r="K345" t="s">
        <v>14</v>
      </c>
      <c r="L345" t="str">
        <f t="shared" si="5"/>
        <v>Medium</v>
      </c>
    </row>
    <row r="346" spans="1:12" ht="15" customHeight="1" x14ac:dyDescent="0.25">
      <c r="A346" t="s">
        <v>364</v>
      </c>
      <c r="B346" t="s">
        <v>16</v>
      </c>
      <c r="C346">
        <v>26</v>
      </c>
      <c r="D346" s="19">
        <v>21709</v>
      </c>
      <c r="E346">
        <v>14</v>
      </c>
      <c r="F346">
        <v>4.5</v>
      </c>
      <c r="G346">
        <v>40</v>
      </c>
      <c r="H346">
        <v>22</v>
      </c>
      <c r="I346">
        <v>2</v>
      </c>
      <c r="J346">
        <v>3.6</v>
      </c>
      <c r="K346" t="s">
        <v>14</v>
      </c>
      <c r="L346" t="str">
        <f t="shared" si="5"/>
        <v>Medium</v>
      </c>
    </row>
    <row r="347" spans="1:12" ht="15" customHeight="1" x14ac:dyDescent="0.25">
      <c r="A347" t="s">
        <v>365</v>
      </c>
      <c r="B347" t="s">
        <v>21</v>
      </c>
      <c r="C347">
        <v>24</v>
      </c>
      <c r="D347" s="19">
        <v>18525</v>
      </c>
      <c r="E347">
        <v>5</v>
      </c>
      <c r="F347">
        <v>3.2</v>
      </c>
      <c r="G347">
        <v>26</v>
      </c>
      <c r="H347">
        <v>16</v>
      </c>
      <c r="I347">
        <v>0</v>
      </c>
      <c r="J347">
        <v>4.0999999999999996</v>
      </c>
      <c r="K347" t="s">
        <v>14</v>
      </c>
      <c r="L347" t="str">
        <f t="shared" si="5"/>
        <v>Low</v>
      </c>
    </row>
    <row r="348" spans="1:12" ht="15" customHeight="1" x14ac:dyDescent="0.25">
      <c r="A348" t="s">
        <v>366</v>
      </c>
      <c r="B348" t="s">
        <v>21</v>
      </c>
      <c r="C348">
        <v>39</v>
      </c>
      <c r="D348" s="19">
        <v>25533</v>
      </c>
      <c r="E348">
        <v>6</v>
      </c>
      <c r="F348">
        <v>3.9</v>
      </c>
      <c r="G348">
        <v>39</v>
      </c>
      <c r="H348">
        <v>3</v>
      </c>
      <c r="I348">
        <v>2</v>
      </c>
      <c r="J348">
        <v>4.7</v>
      </c>
      <c r="K348" t="s">
        <v>14</v>
      </c>
      <c r="L348" t="str">
        <f t="shared" si="5"/>
        <v>Low</v>
      </c>
    </row>
    <row r="349" spans="1:12" ht="15" customHeight="1" x14ac:dyDescent="0.25">
      <c r="A349" t="s">
        <v>367</v>
      </c>
      <c r="B349" t="s">
        <v>16</v>
      </c>
      <c r="C349">
        <v>22</v>
      </c>
      <c r="D349" s="19">
        <v>21154</v>
      </c>
      <c r="E349">
        <v>9</v>
      </c>
      <c r="F349">
        <v>2.9</v>
      </c>
      <c r="G349">
        <v>47</v>
      </c>
      <c r="H349">
        <v>13</v>
      </c>
      <c r="I349">
        <v>13</v>
      </c>
      <c r="J349">
        <v>3.1</v>
      </c>
      <c r="K349" t="s">
        <v>26</v>
      </c>
      <c r="L349" t="str">
        <f t="shared" si="5"/>
        <v>High</v>
      </c>
    </row>
    <row r="350" spans="1:12" ht="15" customHeight="1" x14ac:dyDescent="0.25">
      <c r="A350" t="s">
        <v>368</v>
      </c>
      <c r="B350" t="s">
        <v>31</v>
      </c>
      <c r="C350">
        <v>58</v>
      </c>
      <c r="D350" s="19">
        <v>12514</v>
      </c>
      <c r="E350">
        <v>6</v>
      </c>
      <c r="F350">
        <v>2.5</v>
      </c>
      <c r="G350">
        <v>48</v>
      </c>
      <c r="H350">
        <v>18</v>
      </c>
      <c r="I350">
        <v>8</v>
      </c>
      <c r="J350">
        <v>4.4000000000000004</v>
      </c>
      <c r="K350" t="s">
        <v>14</v>
      </c>
      <c r="L350" t="str">
        <f t="shared" si="5"/>
        <v>Low</v>
      </c>
    </row>
    <row r="351" spans="1:12" ht="15" customHeight="1" x14ac:dyDescent="0.25">
      <c r="A351" t="s">
        <v>369</v>
      </c>
      <c r="B351" t="s">
        <v>18</v>
      </c>
      <c r="C351">
        <v>35</v>
      </c>
      <c r="D351" s="19">
        <v>25036</v>
      </c>
      <c r="E351">
        <v>7</v>
      </c>
      <c r="F351">
        <v>3.8</v>
      </c>
      <c r="G351">
        <v>27</v>
      </c>
      <c r="H351">
        <v>21</v>
      </c>
      <c r="I351">
        <v>8</v>
      </c>
      <c r="J351">
        <v>4.0999999999999996</v>
      </c>
      <c r="K351" t="s">
        <v>26</v>
      </c>
      <c r="L351" t="str">
        <f t="shared" si="5"/>
        <v>High</v>
      </c>
    </row>
    <row r="352" spans="1:12" ht="15" customHeight="1" x14ac:dyDescent="0.25">
      <c r="A352" t="s">
        <v>370</v>
      </c>
      <c r="B352" t="s">
        <v>18</v>
      </c>
      <c r="C352">
        <v>47</v>
      </c>
      <c r="D352" s="19">
        <v>29954</v>
      </c>
      <c r="E352">
        <v>12</v>
      </c>
      <c r="F352">
        <v>1.7</v>
      </c>
      <c r="G352">
        <v>39</v>
      </c>
      <c r="H352">
        <v>3</v>
      </c>
      <c r="I352">
        <v>2</v>
      </c>
      <c r="J352">
        <v>4.2</v>
      </c>
      <c r="K352" t="s">
        <v>14</v>
      </c>
      <c r="L352" t="str">
        <f t="shared" si="5"/>
        <v>Low</v>
      </c>
    </row>
    <row r="353" spans="1:12" ht="15" customHeight="1" x14ac:dyDescent="0.25">
      <c r="A353" t="s">
        <v>371</v>
      </c>
      <c r="B353" t="s">
        <v>16</v>
      </c>
      <c r="C353">
        <v>23</v>
      </c>
      <c r="D353" s="19">
        <v>35415</v>
      </c>
      <c r="E353">
        <v>4</v>
      </c>
      <c r="F353">
        <v>3.8</v>
      </c>
      <c r="G353">
        <v>49</v>
      </c>
      <c r="H353">
        <v>13</v>
      </c>
      <c r="I353">
        <v>3</v>
      </c>
      <c r="J353">
        <v>2.4</v>
      </c>
      <c r="K353" t="s">
        <v>14</v>
      </c>
      <c r="L353" t="str">
        <f t="shared" si="5"/>
        <v>Medium</v>
      </c>
    </row>
    <row r="354" spans="1:12" ht="15" customHeight="1" x14ac:dyDescent="0.25">
      <c r="A354" t="s">
        <v>372</v>
      </c>
      <c r="B354" t="s">
        <v>39</v>
      </c>
      <c r="C354">
        <v>44</v>
      </c>
      <c r="D354" s="19">
        <v>23040</v>
      </c>
      <c r="E354">
        <v>12</v>
      </c>
      <c r="F354">
        <v>3.5</v>
      </c>
      <c r="G354">
        <v>25</v>
      </c>
      <c r="H354">
        <v>20</v>
      </c>
      <c r="I354">
        <v>0</v>
      </c>
      <c r="J354">
        <v>3.9</v>
      </c>
      <c r="K354" t="s">
        <v>14</v>
      </c>
      <c r="L354" t="str">
        <f t="shared" si="5"/>
        <v>Low</v>
      </c>
    </row>
    <row r="355" spans="1:12" ht="15" customHeight="1" x14ac:dyDescent="0.25">
      <c r="A355" t="s">
        <v>373</v>
      </c>
      <c r="B355" t="s">
        <v>18</v>
      </c>
      <c r="C355">
        <v>25</v>
      </c>
      <c r="D355" s="19">
        <v>30162</v>
      </c>
      <c r="E355">
        <v>12</v>
      </c>
      <c r="F355">
        <v>3.4</v>
      </c>
      <c r="G355">
        <v>15</v>
      </c>
      <c r="H355">
        <v>18</v>
      </c>
      <c r="I355">
        <v>10</v>
      </c>
      <c r="J355">
        <v>4.0999999999999996</v>
      </c>
      <c r="K355" t="s">
        <v>14</v>
      </c>
      <c r="L355" t="str">
        <f t="shared" si="5"/>
        <v>Low</v>
      </c>
    </row>
    <row r="356" spans="1:12" ht="15" customHeight="1" x14ac:dyDescent="0.25">
      <c r="A356" t="s">
        <v>374</v>
      </c>
      <c r="B356" t="s">
        <v>18</v>
      </c>
      <c r="C356">
        <v>32</v>
      </c>
      <c r="D356" s="19">
        <v>18897</v>
      </c>
      <c r="E356">
        <v>2</v>
      </c>
      <c r="F356">
        <v>4.8</v>
      </c>
      <c r="G356">
        <v>40</v>
      </c>
      <c r="H356">
        <v>2</v>
      </c>
      <c r="I356">
        <v>7</v>
      </c>
      <c r="J356">
        <v>2.2000000000000002</v>
      </c>
      <c r="K356" t="s">
        <v>14</v>
      </c>
      <c r="L356" t="str">
        <f t="shared" si="5"/>
        <v>Medium</v>
      </c>
    </row>
    <row r="357" spans="1:12" ht="15" customHeight="1" x14ac:dyDescent="0.25">
      <c r="A357" t="s">
        <v>375</v>
      </c>
      <c r="B357" t="s">
        <v>18</v>
      </c>
      <c r="C357">
        <v>43</v>
      </c>
      <c r="D357" s="19">
        <v>22004</v>
      </c>
      <c r="E357">
        <v>8</v>
      </c>
      <c r="F357">
        <v>2.1</v>
      </c>
      <c r="G357">
        <v>19</v>
      </c>
      <c r="H357">
        <v>0</v>
      </c>
      <c r="I357">
        <v>11</v>
      </c>
      <c r="J357">
        <v>5</v>
      </c>
      <c r="K357" t="s">
        <v>14</v>
      </c>
      <c r="L357" t="str">
        <f t="shared" si="5"/>
        <v>Low</v>
      </c>
    </row>
    <row r="358" spans="1:12" ht="15" customHeight="1" x14ac:dyDescent="0.25">
      <c r="A358" t="s">
        <v>376</v>
      </c>
      <c r="B358" t="s">
        <v>21</v>
      </c>
      <c r="C358">
        <v>49</v>
      </c>
      <c r="D358" s="19">
        <v>17613</v>
      </c>
      <c r="E358">
        <v>10</v>
      </c>
      <c r="F358">
        <v>5</v>
      </c>
      <c r="G358">
        <v>33</v>
      </c>
      <c r="H358">
        <v>21</v>
      </c>
      <c r="I358">
        <v>4</v>
      </c>
      <c r="J358">
        <v>3.5</v>
      </c>
      <c r="K358" t="s">
        <v>14</v>
      </c>
      <c r="L358" t="str">
        <f t="shared" si="5"/>
        <v>Medium</v>
      </c>
    </row>
    <row r="359" spans="1:12" ht="15" customHeight="1" x14ac:dyDescent="0.25">
      <c r="A359" t="s">
        <v>377</v>
      </c>
      <c r="B359" t="s">
        <v>39</v>
      </c>
      <c r="C359">
        <v>49</v>
      </c>
      <c r="D359" s="19">
        <v>17801</v>
      </c>
      <c r="E359">
        <v>13</v>
      </c>
      <c r="F359">
        <v>1</v>
      </c>
      <c r="G359">
        <v>23</v>
      </c>
      <c r="H359">
        <v>10</v>
      </c>
      <c r="I359">
        <v>4</v>
      </c>
      <c r="J359">
        <v>3.8</v>
      </c>
      <c r="K359" t="s">
        <v>14</v>
      </c>
      <c r="L359" t="str">
        <f t="shared" si="5"/>
        <v>Low</v>
      </c>
    </row>
    <row r="360" spans="1:12" ht="15" customHeight="1" x14ac:dyDescent="0.25">
      <c r="A360" t="s">
        <v>378</v>
      </c>
      <c r="B360" t="s">
        <v>21</v>
      </c>
      <c r="C360">
        <v>32</v>
      </c>
      <c r="D360" s="19">
        <v>20496</v>
      </c>
      <c r="E360">
        <v>5</v>
      </c>
      <c r="F360">
        <v>4.2</v>
      </c>
      <c r="G360">
        <v>33</v>
      </c>
      <c r="H360">
        <v>1</v>
      </c>
      <c r="I360">
        <v>8</v>
      </c>
      <c r="J360">
        <v>3.2</v>
      </c>
      <c r="K360" t="s">
        <v>14</v>
      </c>
      <c r="L360" t="str">
        <f t="shared" si="5"/>
        <v>Low</v>
      </c>
    </row>
    <row r="361" spans="1:12" ht="15" customHeight="1" x14ac:dyDescent="0.25">
      <c r="A361" t="s">
        <v>379</v>
      </c>
      <c r="B361" t="s">
        <v>18</v>
      </c>
      <c r="C361">
        <v>26</v>
      </c>
      <c r="D361" s="19">
        <v>25280</v>
      </c>
      <c r="E361">
        <v>0</v>
      </c>
      <c r="F361">
        <v>3</v>
      </c>
      <c r="G361">
        <v>15</v>
      </c>
      <c r="H361">
        <v>12</v>
      </c>
      <c r="I361">
        <v>0</v>
      </c>
      <c r="J361">
        <v>4.3</v>
      </c>
      <c r="K361" t="s">
        <v>26</v>
      </c>
      <c r="L361" t="str">
        <f t="shared" si="5"/>
        <v>High</v>
      </c>
    </row>
    <row r="362" spans="1:12" ht="15" customHeight="1" x14ac:dyDescent="0.25">
      <c r="A362" t="s">
        <v>380</v>
      </c>
      <c r="B362" t="s">
        <v>39</v>
      </c>
      <c r="C362">
        <v>31</v>
      </c>
      <c r="D362" s="19">
        <v>17039</v>
      </c>
      <c r="E362">
        <v>15</v>
      </c>
      <c r="F362">
        <v>3.2</v>
      </c>
      <c r="G362">
        <v>40</v>
      </c>
      <c r="H362">
        <v>6</v>
      </c>
      <c r="I362">
        <v>0</v>
      </c>
      <c r="J362">
        <v>2</v>
      </c>
      <c r="K362" t="s">
        <v>14</v>
      </c>
      <c r="L362" t="str">
        <f t="shared" si="5"/>
        <v>Medium</v>
      </c>
    </row>
    <row r="363" spans="1:12" ht="15" customHeight="1" x14ac:dyDescent="0.25">
      <c r="A363" t="s">
        <v>381</v>
      </c>
      <c r="B363" t="s">
        <v>13</v>
      </c>
      <c r="C363">
        <v>55</v>
      </c>
      <c r="D363" s="19">
        <v>28889</v>
      </c>
      <c r="E363">
        <v>10</v>
      </c>
      <c r="F363">
        <v>4</v>
      </c>
      <c r="G363">
        <v>40</v>
      </c>
      <c r="H363">
        <v>29</v>
      </c>
      <c r="I363">
        <v>4</v>
      </c>
      <c r="J363">
        <v>2.5</v>
      </c>
      <c r="K363" t="s">
        <v>14</v>
      </c>
      <c r="L363" t="str">
        <f t="shared" si="5"/>
        <v>Medium</v>
      </c>
    </row>
    <row r="364" spans="1:12" ht="15" customHeight="1" x14ac:dyDescent="0.25">
      <c r="A364" t="s">
        <v>382</v>
      </c>
      <c r="B364" t="s">
        <v>18</v>
      </c>
      <c r="C364">
        <v>45</v>
      </c>
      <c r="D364" s="19">
        <v>30933</v>
      </c>
      <c r="E364">
        <v>7</v>
      </c>
      <c r="F364">
        <v>2</v>
      </c>
      <c r="G364">
        <v>48</v>
      </c>
      <c r="H364">
        <v>13</v>
      </c>
      <c r="I364">
        <v>7</v>
      </c>
      <c r="J364">
        <v>5</v>
      </c>
      <c r="K364" t="s">
        <v>14</v>
      </c>
      <c r="L364" t="str">
        <f t="shared" si="5"/>
        <v>Low</v>
      </c>
    </row>
    <row r="365" spans="1:12" ht="15" customHeight="1" x14ac:dyDescent="0.25">
      <c r="A365" t="s">
        <v>383</v>
      </c>
      <c r="B365" t="s">
        <v>13</v>
      </c>
      <c r="C365">
        <v>53</v>
      </c>
      <c r="D365" s="19">
        <v>23648</v>
      </c>
      <c r="E365">
        <v>1</v>
      </c>
      <c r="F365">
        <v>4.3</v>
      </c>
      <c r="G365">
        <v>46</v>
      </c>
      <c r="H365">
        <v>6</v>
      </c>
      <c r="I365">
        <v>8</v>
      </c>
      <c r="J365">
        <v>3.4</v>
      </c>
      <c r="K365" t="s">
        <v>14</v>
      </c>
      <c r="L365" t="str">
        <f t="shared" si="5"/>
        <v>Medium</v>
      </c>
    </row>
    <row r="366" spans="1:12" ht="15" customHeight="1" x14ac:dyDescent="0.25">
      <c r="A366" t="s">
        <v>384</v>
      </c>
      <c r="B366" t="s">
        <v>21</v>
      </c>
      <c r="C366">
        <v>31</v>
      </c>
      <c r="D366" s="19">
        <v>22030</v>
      </c>
      <c r="E366">
        <v>9</v>
      </c>
      <c r="F366">
        <v>2.2999999999999998</v>
      </c>
      <c r="G366">
        <v>18</v>
      </c>
      <c r="H366">
        <v>8</v>
      </c>
      <c r="I366">
        <v>5</v>
      </c>
      <c r="J366">
        <v>3.1</v>
      </c>
      <c r="K366" t="s">
        <v>14</v>
      </c>
      <c r="L366" t="str">
        <f t="shared" si="5"/>
        <v>Low</v>
      </c>
    </row>
    <row r="367" spans="1:12" ht="15" customHeight="1" x14ac:dyDescent="0.25">
      <c r="A367" t="s">
        <v>385</v>
      </c>
      <c r="B367" t="s">
        <v>16</v>
      </c>
      <c r="C367">
        <v>38</v>
      </c>
      <c r="D367" s="19">
        <v>25927</v>
      </c>
      <c r="E367">
        <v>3</v>
      </c>
      <c r="F367">
        <v>3</v>
      </c>
      <c r="G367">
        <v>8</v>
      </c>
      <c r="H367">
        <v>26</v>
      </c>
      <c r="I367">
        <v>16</v>
      </c>
      <c r="J367">
        <v>3</v>
      </c>
      <c r="K367" t="s">
        <v>14</v>
      </c>
      <c r="L367" t="str">
        <f t="shared" si="5"/>
        <v>Medium</v>
      </c>
    </row>
    <row r="368" spans="1:12" ht="15" customHeight="1" x14ac:dyDescent="0.25">
      <c r="A368" t="s">
        <v>386</v>
      </c>
      <c r="B368" t="s">
        <v>31</v>
      </c>
      <c r="C368">
        <v>33</v>
      </c>
      <c r="D368" s="19">
        <v>12213</v>
      </c>
      <c r="E368">
        <v>4</v>
      </c>
      <c r="F368">
        <v>3.9</v>
      </c>
      <c r="G368">
        <v>7</v>
      </c>
      <c r="H368">
        <v>17</v>
      </c>
      <c r="I368">
        <v>7</v>
      </c>
      <c r="J368">
        <v>4.7</v>
      </c>
      <c r="K368" t="s">
        <v>14</v>
      </c>
      <c r="L368" t="str">
        <f t="shared" si="5"/>
        <v>Low</v>
      </c>
    </row>
    <row r="369" spans="1:12" ht="15" customHeight="1" x14ac:dyDescent="0.25">
      <c r="A369" t="s">
        <v>387</v>
      </c>
      <c r="B369" t="s">
        <v>13</v>
      </c>
      <c r="C369">
        <v>29</v>
      </c>
      <c r="D369" s="19">
        <v>34319</v>
      </c>
      <c r="E369">
        <v>3</v>
      </c>
      <c r="F369">
        <v>2.9</v>
      </c>
      <c r="G369">
        <v>19</v>
      </c>
      <c r="H369">
        <v>23</v>
      </c>
      <c r="I369">
        <v>6</v>
      </c>
      <c r="J369">
        <v>3.1</v>
      </c>
      <c r="K369" t="s">
        <v>14</v>
      </c>
      <c r="L369" t="str">
        <f t="shared" si="5"/>
        <v>Medium</v>
      </c>
    </row>
    <row r="370" spans="1:12" ht="15" customHeight="1" x14ac:dyDescent="0.25">
      <c r="A370" t="s">
        <v>388</v>
      </c>
      <c r="B370" t="s">
        <v>13</v>
      </c>
      <c r="C370">
        <v>53</v>
      </c>
      <c r="D370" s="19">
        <v>31694</v>
      </c>
      <c r="E370">
        <v>8</v>
      </c>
      <c r="F370">
        <v>3.4</v>
      </c>
      <c r="G370">
        <v>7</v>
      </c>
      <c r="H370">
        <v>22</v>
      </c>
      <c r="I370">
        <v>6</v>
      </c>
      <c r="J370">
        <v>3.1</v>
      </c>
      <c r="K370" t="s">
        <v>14</v>
      </c>
      <c r="L370" t="str">
        <f t="shared" si="5"/>
        <v>Medium</v>
      </c>
    </row>
    <row r="371" spans="1:12" ht="15" customHeight="1" x14ac:dyDescent="0.25">
      <c r="A371" t="s">
        <v>389</v>
      </c>
      <c r="B371" t="s">
        <v>21</v>
      </c>
      <c r="C371">
        <v>50</v>
      </c>
      <c r="D371" s="19">
        <v>27796</v>
      </c>
      <c r="E371">
        <v>7</v>
      </c>
      <c r="F371">
        <v>2.4</v>
      </c>
      <c r="G371">
        <v>12</v>
      </c>
      <c r="H371">
        <v>4</v>
      </c>
      <c r="I371">
        <v>4</v>
      </c>
      <c r="J371">
        <v>2.2000000000000002</v>
      </c>
      <c r="K371" t="s">
        <v>14</v>
      </c>
      <c r="L371" t="str">
        <f t="shared" si="5"/>
        <v>Medium</v>
      </c>
    </row>
    <row r="372" spans="1:12" ht="15" customHeight="1" x14ac:dyDescent="0.25">
      <c r="A372" t="s">
        <v>390</v>
      </c>
      <c r="B372" t="s">
        <v>18</v>
      </c>
      <c r="C372">
        <v>47</v>
      </c>
      <c r="D372" s="19">
        <v>16425</v>
      </c>
      <c r="E372">
        <v>1</v>
      </c>
      <c r="F372">
        <v>3.7</v>
      </c>
      <c r="G372">
        <v>37</v>
      </c>
      <c r="H372">
        <v>13</v>
      </c>
      <c r="I372">
        <v>4</v>
      </c>
      <c r="J372">
        <v>4.5999999999999996</v>
      </c>
      <c r="K372" t="s">
        <v>14</v>
      </c>
      <c r="L372" t="str">
        <f t="shared" si="5"/>
        <v>Medium</v>
      </c>
    </row>
    <row r="373" spans="1:12" ht="15" customHeight="1" x14ac:dyDescent="0.25">
      <c r="A373" t="s">
        <v>391</v>
      </c>
      <c r="B373" t="s">
        <v>31</v>
      </c>
      <c r="C373">
        <v>55</v>
      </c>
      <c r="D373" s="19">
        <v>14471</v>
      </c>
      <c r="E373">
        <v>2</v>
      </c>
      <c r="F373">
        <v>4.4000000000000004</v>
      </c>
      <c r="G373">
        <v>16</v>
      </c>
      <c r="H373">
        <v>7</v>
      </c>
      <c r="I373">
        <v>5</v>
      </c>
      <c r="J373">
        <v>3.5</v>
      </c>
      <c r="K373" t="s">
        <v>26</v>
      </c>
      <c r="L373" t="str">
        <f t="shared" si="5"/>
        <v>High</v>
      </c>
    </row>
    <row r="374" spans="1:12" ht="15" customHeight="1" x14ac:dyDescent="0.25">
      <c r="A374" t="s">
        <v>392</v>
      </c>
      <c r="B374" t="s">
        <v>21</v>
      </c>
      <c r="C374">
        <v>56</v>
      </c>
      <c r="D374" s="19">
        <v>20544</v>
      </c>
      <c r="E374">
        <v>12</v>
      </c>
      <c r="F374">
        <v>3.5</v>
      </c>
      <c r="G374">
        <v>13</v>
      </c>
      <c r="H374">
        <v>5</v>
      </c>
      <c r="I374">
        <v>10</v>
      </c>
      <c r="J374">
        <v>1.9</v>
      </c>
      <c r="K374" t="s">
        <v>14</v>
      </c>
      <c r="L374" t="str">
        <f t="shared" si="5"/>
        <v>Medium</v>
      </c>
    </row>
    <row r="375" spans="1:12" ht="15" customHeight="1" x14ac:dyDescent="0.25">
      <c r="A375" t="s">
        <v>393</v>
      </c>
      <c r="B375" t="s">
        <v>18</v>
      </c>
      <c r="C375">
        <v>40</v>
      </c>
      <c r="D375" s="19">
        <v>23402</v>
      </c>
      <c r="E375">
        <v>13</v>
      </c>
      <c r="F375">
        <v>2.8</v>
      </c>
      <c r="G375">
        <v>29</v>
      </c>
      <c r="H375">
        <v>12</v>
      </c>
      <c r="I375">
        <v>4</v>
      </c>
      <c r="J375">
        <v>2.2999999999999998</v>
      </c>
      <c r="K375" t="s">
        <v>26</v>
      </c>
      <c r="L375" t="str">
        <f t="shared" si="5"/>
        <v>High</v>
      </c>
    </row>
    <row r="376" spans="1:12" ht="15" customHeight="1" x14ac:dyDescent="0.25">
      <c r="A376" t="s">
        <v>394</v>
      </c>
      <c r="B376" t="s">
        <v>13</v>
      </c>
      <c r="C376">
        <v>57</v>
      </c>
      <c r="D376" s="19">
        <v>29265</v>
      </c>
      <c r="E376">
        <v>12</v>
      </c>
      <c r="F376">
        <v>3.7</v>
      </c>
      <c r="G376">
        <v>14</v>
      </c>
      <c r="H376">
        <v>24</v>
      </c>
      <c r="I376">
        <v>8</v>
      </c>
      <c r="J376">
        <v>4.5999999999999996</v>
      </c>
      <c r="K376" t="s">
        <v>26</v>
      </c>
      <c r="L376" t="str">
        <f t="shared" si="5"/>
        <v>High</v>
      </c>
    </row>
    <row r="377" spans="1:12" ht="15" customHeight="1" x14ac:dyDescent="0.25">
      <c r="A377" t="s">
        <v>395</v>
      </c>
      <c r="B377" t="s">
        <v>16</v>
      </c>
      <c r="C377">
        <v>30</v>
      </c>
      <c r="D377" s="19">
        <v>32465</v>
      </c>
      <c r="E377">
        <v>10</v>
      </c>
      <c r="F377">
        <v>4.5999999999999996</v>
      </c>
      <c r="G377">
        <v>21</v>
      </c>
      <c r="H377">
        <v>9</v>
      </c>
      <c r="I377">
        <v>10</v>
      </c>
      <c r="J377">
        <v>4</v>
      </c>
      <c r="K377" t="s">
        <v>14</v>
      </c>
      <c r="L377" t="str">
        <f t="shared" si="5"/>
        <v>Low</v>
      </c>
    </row>
    <row r="378" spans="1:12" ht="15" customHeight="1" x14ac:dyDescent="0.25">
      <c r="A378" t="s">
        <v>396</v>
      </c>
      <c r="B378" t="s">
        <v>18</v>
      </c>
      <c r="C378">
        <v>55</v>
      </c>
      <c r="D378" s="19">
        <v>30154</v>
      </c>
      <c r="E378">
        <v>4</v>
      </c>
      <c r="F378">
        <v>2.6</v>
      </c>
      <c r="G378">
        <v>49</v>
      </c>
      <c r="H378">
        <v>5</v>
      </c>
      <c r="I378">
        <v>1</v>
      </c>
      <c r="J378">
        <v>2.8</v>
      </c>
      <c r="K378" t="s">
        <v>14</v>
      </c>
      <c r="L378" t="str">
        <f t="shared" si="5"/>
        <v>Medium</v>
      </c>
    </row>
    <row r="379" spans="1:12" ht="15" customHeight="1" x14ac:dyDescent="0.25">
      <c r="A379" t="s">
        <v>397</v>
      </c>
      <c r="B379" t="s">
        <v>13</v>
      </c>
      <c r="C379">
        <v>33</v>
      </c>
      <c r="D379" s="19">
        <v>25845</v>
      </c>
      <c r="E379">
        <v>5</v>
      </c>
      <c r="F379">
        <v>2.5</v>
      </c>
      <c r="G379">
        <v>27</v>
      </c>
      <c r="H379">
        <v>3</v>
      </c>
      <c r="I379">
        <v>4</v>
      </c>
      <c r="J379">
        <v>3.9</v>
      </c>
      <c r="K379" t="s">
        <v>14</v>
      </c>
      <c r="L379" t="str">
        <f t="shared" si="5"/>
        <v>Low</v>
      </c>
    </row>
    <row r="380" spans="1:12" ht="15" customHeight="1" x14ac:dyDescent="0.25">
      <c r="A380" t="s">
        <v>398</v>
      </c>
      <c r="B380" t="s">
        <v>13</v>
      </c>
      <c r="C380">
        <v>23</v>
      </c>
      <c r="D380" s="19">
        <v>20541</v>
      </c>
      <c r="E380">
        <v>15</v>
      </c>
      <c r="F380">
        <v>2.8</v>
      </c>
      <c r="G380">
        <v>50</v>
      </c>
      <c r="H380">
        <v>17</v>
      </c>
      <c r="I380">
        <v>8</v>
      </c>
      <c r="J380">
        <v>2.7</v>
      </c>
      <c r="K380" t="s">
        <v>14</v>
      </c>
      <c r="L380" t="str">
        <f t="shared" si="5"/>
        <v>Medium</v>
      </c>
    </row>
    <row r="381" spans="1:12" ht="15" customHeight="1" x14ac:dyDescent="0.25">
      <c r="A381" t="s">
        <v>399</v>
      </c>
      <c r="B381" t="s">
        <v>31</v>
      </c>
      <c r="C381">
        <v>57</v>
      </c>
      <c r="D381" s="19">
        <v>18576</v>
      </c>
      <c r="E381">
        <v>8</v>
      </c>
      <c r="F381">
        <v>4.0999999999999996</v>
      </c>
      <c r="G381">
        <v>50</v>
      </c>
      <c r="H381">
        <v>21</v>
      </c>
      <c r="I381">
        <v>10</v>
      </c>
      <c r="J381">
        <v>3.1</v>
      </c>
      <c r="K381" t="s">
        <v>14</v>
      </c>
      <c r="L381" t="str">
        <f t="shared" si="5"/>
        <v>Medium</v>
      </c>
    </row>
    <row r="382" spans="1:12" ht="15" customHeight="1" x14ac:dyDescent="0.25">
      <c r="A382" t="s">
        <v>400</v>
      </c>
      <c r="B382" t="s">
        <v>16</v>
      </c>
      <c r="C382">
        <v>57</v>
      </c>
      <c r="D382" s="19">
        <v>31878</v>
      </c>
      <c r="E382">
        <v>12</v>
      </c>
      <c r="F382">
        <v>3.7</v>
      </c>
      <c r="G382">
        <v>17</v>
      </c>
      <c r="H382">
        <v>17</v>
      </c>
      <c r="I382">
        <v>6</v>
      </c>
      <c r="J382">
        <v>3.8</v>
      </c>
      <c r="K382" t="s">
        <v>14</v>
      </c>
      <c r="L382" t="str">
        <f t="shared" si="5"/>
        <v>Low</v>
      </c>
    </row>
    <row r="383" spans="1:12" ht="15" customHeight="1" x14ac:dyDescent="0.25">
      <c r="A383" t="s">
        <v>401</v>
      </c>
      <c r="B383" t="s">
        <v>18</v>
      </c>
      <c r="C383">
        <v>55</v>
      </c>
      <c r="D383" s="19">
        <v>14259</v>
      </c>
      <c r="E383">
        <v>2</v>
      </c>
      <c r="F383">
        <v>3.8</v>
      </c>
      <c r="G383">
        <v>25</v>
      </c>
      <c r="H383">
        <v>11</v>
      </c>
      <c r="I383">
        <v>6</v>
      </c>
      <c r="J383">
        <v>2.2000000000000002</v>
      </c>
      <c r="K383" t="s">
        <v>14</v>
      </c>
      <c r="L383" t="str">
        <f t="shared" si="5"/>
        <v>Medium</v>
      </c>
    </row>
    <row r="384" spans="1:12" ht="15" customHeight="1" x14ac:dyDescent="0.25">
      <c r="A384" t="s">
        <v>402</v>
      </c>
      <c r="B384" t="s">
        <v>16</v>
      </c>
      <c r="C384">
        <v>57</v>
      </c>
      <c r="D384" s="19">
        <v>28898</v>
      </c>
      <c r="E384">
        <v>3</v>
      </c>
      <c r="F384">
        <v>3.8</v>
      </c>
      <c r="G384">
        <v>33</v>
      </c>
      <c r="H384">
        <v>17</v>
      </c>
      <c r="I384">
        <v>4</v>
      </c>
      <c r="J384">
        <v>4</v>
      </c>
      <c r="K384" t="s">
        <v>14</v>
      </c>
      <c r="L384" t="str">
        <f t="shared" si="5"/>
        <v>Low</v>
      </c>
    </row>
    <row r="385" spans="1:12" ht="15" customHeight="1" x14ac:dyDescent="0.25">
      <c r="A385" t="s">
        <v>403</v>
      </c>
      <c r="B385" t="s">
        <v>18</v>
      </c>
      <c r="C385">
        <v>38</v>
      </c>
      <c r="D385" s="19">
        <v>19950</v>
      </c>
      <c r="E385">
        <v>8</v>
      </c>
      <c r="F385">
        <v>4</v>
      </c>
      <c r="G385">
        <v>45</v>
      </c>
      <c r="H385">
        <v>34</v>
      </c>
      <c r="I385">
        <v>3</v>
      </c>
      <c r="J385">
        <v>3.1</v>
      </c>
      <c r="K385" t="s">
        <v>14</v>
      </c>
      <c r="L385" t="str">
        <f t="shared" si="5"/>
        <v>Medium</v>
      </c>
    </row>
    <row r="386" spans="1:12" ht="15" customHeight="1" x14ac:dyDescent="0.25">
      <c r="A386" t="s">
        <v>404</v>
      </c>
      <c r="B386" t="s">
        <v>21</v>
      </c>
      <c r="C386">
        <v>28</v>
      </c>
      <c r="D386" s="19">
        <v>16497</v>
      </c>
      <c r="E386">
        <v>14</v>
      </c>
      <c r="F386">
        <v>2.9</v>
      </c>
      <c r="G386">
        <v>33</v>
      </c>
      <c r="H386">
        <v>14</v>
      </c>
      <c r="I386">
        <v>5</v>
      </c>
      <c r="J386">
        <v>5</v>
      </c>
      <c r="K386" t="s">
        <v>14</v>
      </c>
      <c r="L386" t="str">
        <f t="shared" ref="L386:L449" si="6">IF(K386="Yes","High",IF(OR(J386&lt;3,H386&gt;20,E386&lt;2),"Medium","Low"))</f>
        <v>Low</v>
      </c>
    </row>
    <row r="387" spans="1:12" ht="15" customHeight="1" x14ac:dyDescent="0.25">
      <c r="A387" t="s">
        <v>405</v>
      </c>
      <c r="B387" t="s">
        <v>18</v>
      </c>
      <c r="C387">
        <v>55</v>
      </c>
      <c r="D387" s="19">
        <v>17997</v>
      </c>
      <c r="E387">
        <v>4</v>
      </c>
      <c r="F387">
        <v>4.5</v>
      </c>
      <c r="G387">
        <v>11</v>
      </c>
      <c r="H387">
        <v>5</v>
      </c>
      <c r="I387">
        <v>3</v>
      </c>
      <c r="J387">
        <v>4.2</v>
      </c>
      <c r="K387" t="s">
        <v>14</v>
      </c>
      <c r="L387" t="str">
        <f t="shared" si="6"/>
        <v>Low</v>
      </c>
    </row>
    <row r="388" spans="1:12" ht="15" customHeight="1" x14ac:dyDescent="0.25">
      <c r="A388" t="s">
        <v>406</v>
      </c>
      <c r="B388" t="s">
        <v>39</v>
      </c>
      <c r="C388">
        <v>38</v>
      </c>
      <c r="D388" s="19">
        <v>28363</v>
      </c>
      <c r="E388">
        <v>8</v>
      </c>
      <c r="F388">
        <v>3.4</v>
      </c>
      <c r="G388">
        <v>36</v>
      </c>
      <c r="H388">
        <v>29</v>
      </c>
      <c r="I388">
        <v>4</v>
      </c>
      <c r="J388">
        <v>3.3</v>
      </c>
      <c r="K388" t="s">
        <v>14</v>
      </c>
      <c r="L388" t="str">
        <f t="shared" si="6"/>
        <v>Medium</v>
      </c>
    </row>
    <row r="389" spans="1:12" ht="15" customHeight="1" x14ac:dyDescent="0.25">
      <c r="A389" t="s">
        <v>407</v>
      </c>
      <c r="B389" t="s">
        <v>31</v>
      </c>
      <c r="C389">
        <v>52</v>
      </c>
      <c r="D389" s="19">
        <v>14680</v>
      </c>
      <c r="E389">
        <v>0</v>
      </c>
      <c r="F389">
        <v>4.9000000000000004</v>
      </c>
      <c r="G389">
        <v>48</v>
      </c>
      <c r="H389">
        <v>33</v>
      </c>
      <c r="I389">
        <v>3</v>
      </c>
      <c r="J389">
        <v>3.8</v>
      </c>
      <c r="K389" t="s">
        <v>14</v>
      </c>
      <c r="L389" t="str">
        <f t="shared" si="6"/>
        <v>Medium</v>
      </c>
    </row>
    <row r="390" spans="1:12" ht="15" customHeight="1" x14ac:dyDescent="0.25">
      <c r="A390" t="s">
        <v>408</v>
      </c>
      <c r="B390" t="s">
        <v>13</v>
      </c>
      <c r="C390">
        <v>35</v>
      </c>
      <c r="D390" s="19">
        <v>33165</v>
      </c>
      <c r="E390">
        <v>12</v>
      </c>
      <c r="F390">
        <v>3.1</v>
      </c>
      <c r="G390">
        <v>16</v>
      </c>
      <c r="H390">
        <v>29</v>
      </c>
      <c r="I390">
        <v>2</v>
      </c>
      <c r="J390">
        <v>4.0999999999999996</v>
      </c>
      <c r="K390" t="s">
        <v>26</v>
      </c>
      <c r="L390" t="str">
        <f t="shared" si="6"/>
        <v>High</v>
      </c>
    </row>
    <row r="391" spans="1:12" ht="15" customHeight="1" x14ac:dyDescent="0.25">
      <c r="A391" t="s">
        <v>409</v>
      </c>
      <c r="B391" t="s">
        <v>18</v>
      </c>
      <c r="C391">
        <v>43</v>
      </c>
      <c r="D391" s="19">
        <v>18997</v>
      </c>
      <c r="E391">
        <v>10</v>
      </c>
      <c r="F391">
        <v>3.4</v>
      </c>
      <c r="G391">
        <v>45</v>
      </c>
      <c r="H391">
        <v>33</v>
      </c>
      <c r="I391">
        <v>5</v>
      </c>
      <c r="J391">
        <v>3.2</v>
      </c>
      <c r="K391" t="s">
        <v>26</v>
      </c>
      <c r="L391" t="str">
        <f t="shared" si="6"/>
        <v>High</v>
      </c>
    </row>
    <row r="392" spans="1:12" ht="15" customHeight="1" x14ac:dyDescent="0.25">
      <c r="A392" t="s">
        <v>410</v>
      </c>
      <c r="B392" t="s">
        <v>13</v>
      </c>
      <c r="C392">
        <v>51</v>
      </c>
      <c r="D392" s="19">
        <v>41903</v>
      </c>
      <c r="E392">
        <v>10</v>
      </c>
      <c r="F392">
        <v>1.9</v>
      </c>
      <c r="G392">
        <v>16</v>
      </c>
      <c r="H392">
        <v>7</v>
      </c>
      <c r="I392">
        <v>8</v>
      </c>
      <c r="J392">
        <v>2.2999999999999998</v>
      </c>
      <c r="K392" t="s">
        <v>14</v>
      </c>
      <c r="L392" t="str">
        <f t="shared" si="6"/>
        <v>Medium</v>
      </c>
    </row>
    <row r="393" spans="1:12" ht="15" customHeight="1" x14ac:dyDescent="0.25">
      <c r="A393" t="s">
        <v>411</v>
      </c>
      <c r="B393" t="s">
        <v>39</v>
      </c>
      <c r="C393">
        <v>28</v>
      </c>
      <c r="D393" s="19">
        <v>25281</v>
      </c>
      <c r="E393">
        <v>2</v>
      </c>
      <c r="F393">
        <v>3.9</v>
      </c>
      <c r="G393">
        <v>35</v>
      </c>
      <c r="H393">
        <v>10</v>
      </c>
      <c r="I393">
        <v>8</v>
      </c>
      <c r="J393">
        <v>3.1</v>
      </c>
      <c r="K393" t="s">
        <v>14</v>
      </c>
      <c r="L393" t="str">
        <f t="shared" si="6"/>
        <v>Low</v>
      </c>
    </row>
    <row r="394" spans="1:12" ht="15" customHeight="1" x14ac:dyDescent="0.25">
      <c r="A394" t="s">
        <v>412</v>
      </c>
      <c r="B394" t="s">
        <v>39</v>
      </c>
      <c r="C394">
        <v>43</v>
      </c>
      <c r="D394" s="19">
        <v>27706</v>
      </c>
      <c r="E394">
        <v>5</v>
      </c>
      <c r="F394">
        <v>3.6</v>
      </c>
      <c r="G394">
        <v>45</v>
      </c>
      <c r="H394">
        <v>11</v>
      </c>
      <c r="I394">
        <v>5</v>
      </c>
      <c r="J394">
        <v>2.2999999999999998</v>
      </c>
      <c r="K394" t="s">
        <v>14</v>
      </c>
      <c r="L394" t="str">
        <f t="shared" si="6"/>
        <v>Medium</v>
      </c>
    </row>
    <row r="395" spans="1:12" ht="15" customHeight="1" x14ac:dyDescent="0.25">
      <c r="A395" t="s">
        <v>413</v>
      </c>
      <c r="B395" t="s">
        <v>13</v>
      </c>
      <c r="C395">
        <v>43</v>
      </c>
      <c r="D395" s="19">
        <v>41564</v>
      </c>
      <c r="E395">
        <v>6</v>
      </c>
      <c r="F395">
        <v>2.9</v>
      </c>
      <c r="G395">
        <v>19</v>
      </c>
      <c r="H395">
        <v>9</v>
      </c>
      <c r="I395">
        <v>9</v>
      </c>
      <c r="J395">
        <v>4.5</v>
      </c>
      <c r="K395" t="s">
        <v>14</v>
      </c>
      <c r="L395" t="str">
        <f t="shared" si="6"/>
        <v>Low</v>
      </c>
    </row>
    <row r="396" spans="1:12" ht="15" customHeight="1" x14ac:dyDescent="0.25">
      <c r="A396" t="s">
        <v>414</v>
      </c>
      <c r="B396" t="s">
        <v>21</v>
      </c>
      <c r="C396">
        <v>35</v>
      </c>
      <c r="D396" s="19">
        <v>13023</v>
      </c>
      <c r="E396">
        <v>15</v>
      </c>
      <c r="F396">
        <v>2.9</v>
      </c>
      <c r="G396">
        <v>18</v>
      </c>
      <c r="H396">
        <v>22</v>
      </c>
      <c r="I396">
        <v>0</v>
      </c>
      <c r="J396">
        <v>3.5</v>
      </c>
      <c r="K396" t="s">
        <v>14</v>
      </c>
      <c r="L396" t="str">
        <f t="shared" si="6"/>
        <v>Medium</v>
      </c>
    </row>
    <row r="397" spans="1:12" ht="15" customHeight="1" x14ac:dyDescent="0.25">
      <c r="A397" t="s">
        <v>415</v>
      </c>
      <c r="B397" t="s">
        <v>39</v>
      </c>
      <c r="C397">
        <v>43</v>
      </c>
      <c r="D397" s="19">
        <v>29866</v>
      </c>
      <c r="E397">
        <v>14</v>
      </c>
      <c r="F397">
        <v>4</v>
      </c>
      <c r="G397">
        <v>6</v>
      </c>
      <c r="H397">
        <v>32</v>
      </c>
      <c r="I397">
        <v>8</v>
      </c>
      <c r="J397">
        <v>4.5</v>
      </c>
      <c r="K397" t="s">
        <v>14</v>
      </c>
      <c r="L397" t="str">
        <f t="shared" si="6"/>
        <v>Medium</v>
      </c>
    </row>
    <row r="398" spans="1:12" ht="15" customHeight="1" x14ac:dyDescent="0.25">
      <c r="A398" t="s">
        <v>416</v>
      </c>
      <c r="B398" t="s">
        <v>18</v>
      </c>
      <c r="C398">
        <v>53</v>
      </c>
      <c r="D398" s="19">
        <v>19190</v>
      </c>
      <c r="E398">
        <v>15</v>
      </c>
      <c r="F398">
        <v>4</v>
      </c>
      <c r="G398">
        <v>26</v>
      </c>
      <c r="H398">
        <v>35</v>
      </c>
      <c r="I398">
        <v>9</v>
      </c>
      <c r="J398">
        <v>3.8</v>
      </c>
      <c r="K398" t="s">
        <v>14</v>
      </c>
      <c r="L398" t="str">
        <f t="shared" si="6"/>
        <v>Medium</v>
      </c>
    </row>
    <row r="399" spans="1:12" ht="15" customHeight="1" x14ac:dyDescent="0.25">
      <c r="A399" t="s">
        <v>417</v>
      </c>
      <c r="B399" t="s">
        <v>31</v>
      </c>
      <c r="C399">
        <v>32</v>
      </c>
      <c r="D399" s="19">
        <v>16294</v>
      </c>
      <c r="E399">
        <v>8</v>
      </c>
      <c r="F399">
        <v>5</v>
      </c>
      <c r="G399">
        <v>29</v>
      </c>
      <c r="H399">
        <v>30</v>
      </c>
      <c r="I399">
        <v>7</v>
      </c>
      <c r="J399">
        <v>4.3</v>
      </c>
      <c r="K399" t="s">
        <v>14</v>
      </c>
      <c r="L399" t="str">
        <f t="shared" si="6"/>
        <v>Medium</v>
      </c>
    </row>
    <row r="400" spans="1:12" ht="15" customHeight="1" x14ac:dyDescent="0.25">
      <c r="A400" t="s">
        <v>418</v>
      </c>
      <c r="B400" t="s">
        <v>13</v>
      </c>
      <c r="C400">
        <v>34</v>
      </c>
      <c r="D400" s="19">
        <v>40637</v>
      </c>
      <c r="E400">
        <v>0</v>
      </c>
      <c r="F400">
        <v>2.5</v>
      </c>
      <c r="G400">
        <v>22</v>
      </c>
      <c r="H400">
        <v>16</v>
      </c>
      <c r="I400">
        <v>1</v>
      </c>
      <c r="J400">
        <v>4.2</v>
      </c>
      <c r="K400" t="s">
        <v>14</v>
      </c>
      <c r="L400" t="str">
        <f t="shared" si="6"/>
        <v>Medium</v>
      </c>
    </row>
    <row r="401" spans="1:12" ht="15" customHeight="1" x14ac:dyDescent="0.25">
      <c r="A401" t="s">
        <v>419</v>
      </c>
      <c r="B401" t="s">
        <v>31</v>
      </c>
      <c r="C401">
        <v>57</v>
      </c>
      <c r="D401" s="19">
        <v>17795</v>
      </c>
      <c r="E401">
        <v>12</v>
      </c>
      <c r="F401">
        <v>3.4</v>
      </c>
      <c r="G401">
        <v>7</v>
      </c>
      <c r="H401">
        <v>24</v>
      </c>
      <c r="I401">
        <v>9</v>
      </c>
      <c r="J401">
        <v>5</v>
      </c>
      <c r="K401" t="s">
        <v>14</v>
      </c>
      <c r="L401" t="str">
        <f t="shared" si="6"/>
        <v>Medium</v>
      </c>
    </row>
    <row r="402" spans="1:12" ht="15" customHeight="1" x14ac:dyDescent="0.25">
      <c r="A402" t="s">
        <v>420</v>
      </c>
      <c r="B402" t="s">
        <v>16</v>
      </c>
      <c r="C402">
        <v>34</v>
      </c>
      <c r="D402" s="19">
        <v>20615</v>
      </c>
      <c r="E402">
        <v>15</v>
      </c>
      <c r="F402">
        <v>3.8</v>
      </c>
      <c r="G402">
        <v>45</v>
      </c>
      <c r="H402">
        <v>7</v>
      </c>
      <c r="I402">
        <v>4</v>
      </c>
      <c r="J402">
        <v>2.7</v>
      </c>
      <c r="K402" t="s">
        <v>14</v>
      </c>
      <c r="L402" t="str">
        <f t="shared" si="6"/>
        <v>Medium</v>
      </c>
    </row>
    <row r="403" spans="1:12" ht="15" customHeight="1" x14ac:dyDescent="0.25">
      <c r="A403" t="s">
        <v>421</v>
      </c>
      <c r="B403" t="s">
        <v>21</v>
      </c>
      <c r="C403">
        <v>38</v>
      </c>
      <c r="D403" s="19">
        <v>20955</v>
      </c>
      <c r="E403">
        <v>7</v>
      </c>
      <c r="F403">
        <v>3.3</v>
      </c>
      <c r="G403">
        <v>39</v>
      </c>
      <c r="H403">
        <v>19</v>
      </c>
      <c r="I403">
        <v>7</v>
      </c>
      <c r="J403">
        <v>2.1</v>
      </c>
      <c r="K403" t="s">
        <v>14</v>
      </c>
      <c r="L403" t="str">
        <f t="shared" si="6"/>
        <v>Medium</v>
      </c>
    </row>
    <row r="404" spans="1:12" ht="15" customHeight="1" x14ac:dyDescent="0.25">
      <c r="A404" t="s">
        <v>422</v>
      </c>
      <c r="B404" t="s">
        <v>18</v>
      </c>
      <c r="C404">
        <v>25</v>
      </c>
      <c r="D404" s="19">
        <v>21200</v>
      </c>
      <c r="E404">
        <v>9</v>
      </c>
      <c r="F404">
        <v>3.1</v>
      </c>
      <c r="G404">
        <v>50</v>
      </c>
      <c r="H404">
        <v>30</v>
      </c>
      <c r="I404">
        <v>4</v>
      </c>
      <c r="J404">
        <v>2.9</v>
      </c>
      <c r="K404" t="s">
        <v>14</v>
      </c>
      <c r="L404" t="str">
        <f t="shared" si="6"/>
        <v>Medium</v>
      </c>
    </row>
    <row r="405" spans="1:12" ht="15" customHeight="1" x14ac:dyDescent="0.25">
      <c r="A405" t="s">
        <v>423</v>
      </c>
      <c r="B405" t="s">
        <v>16</v>
      </c>
      <c r="C405">
        <v>51</v>
      </c>
      <c r="D405" s="19">
        <v>29434</v>
      </c>
      <c r="E405">
        <v>5</v>
      </c>
      <c r="F405">
        <v>2.7</v>
      </c>
      <c r="G405">
        <v>44</v>
      </c>
      <c r="H405">
        <v>4</v>
      </c>
      <c r="I405">
        <v>3</v>
      </c>
      <c r="J405">
        <v>4.0999999999999996</v>
      </c>
      <c r="K405" t="s">
        <v>14</v>
      </c>
      <c r="L405" t="str">
        <f t="shared" si="6"/>
        <v>Low</v>
      </c>
    </row>
    <row r="406" spans="1:12" ht="15" customHeight="1" x14ac:dyDescent="0.25">
      <c r="A406" t="s">
        <v>424</v>
      </c>
      <c r="B406" t="s">
        <v>18</v>
      </c>
      <c r="C406">
        <v>25</v>
      </c>
      <c r="D406" s="19">
        <v>25213</v>
      </c>
      <c r="E406">
        <v>2</v>
      </c>
      <c r="F406">
        <v>2.7</v>
      </c>
      <c r="G406">
        <v>17</v>
      </c>
      <c r="H406">
        <v>20</v>
      </c>
      <c r="I406">
        <v>4</v>
      </c>
      <c r="J406">
        <v>2.4</v>
      </c>
      <c r="K406" t="s">
        <v>14</v>
      </c>
      <c r="L406" t="str">
        <f t="shared" si="6"/>
        <v>Medium</v>
      </c>
    </row>
    <row r="407" spans="1:12" ht="15" customHeight="1" x14ac:dyDescent="0.25">
      <c r="A407" t="s">
        <v>425</v>
      </c>
      <c r="B407" t="s">
        <v>18</v>
      </c>
      <c r="C407">
        <v>51</v>
      </c>
      <c r="D407" s="19">
        <v>14017</v>
      </c>
      <c r="E407">
        <v>5</v>
      </c>
      <c r="F407">
        <v>3.7</v>
      </c>
      <c r="G407">
        <v>46</v>
      </c>
      <c r="H407">
        <v>0</v>
      </c>
      <c r="I407">
        <v>13</v>
      </c>
      <c r="J407">
        <v>4.2</v>
      </c>
      <c r="K407" t="s">
        <v>14</v>
      </c>
      <c r="L407" t="str">
        <f t="shared" si="6"/>
        <v>Low</v>
      </c>
    </row>
    <row r="408" spans="1:12" ht="15" customHeight="1" x14ac:dyDescent="0.25">
      <c r="A408" t="s">
        <v>426</v>
      </c>
      <c r="B408" t="s">
        <v>13</v>
      </c>
      <c r="C408">
        <v>26</v>
      </c>
      <c r="D408" s="19">
        <v>28075</v>
      </c>
      <c r="E408">
        <v>13</v>
      </c>
      <c r="F408">
        <v>4.3</v>
      </c>
      <c r="G408">
        <v>33</v>
      </c>
      <c r="H408">
        <v>34</v>
      </c>
      <c r="I408">
        <v>3</v>
      </c>
      <c r="J408">
        <v>2.5</v>
      </c>
      <c r="K408" t="s">
        <v>26</v>
      </c>
      <c r="L408" t="str">
        <f t="shared" si="6"/>
        <v>High</v>
      </c>
    </row>
    <row r="409" spans="1:12" ht="15" customHeight="1" x14ac:dyDescent="0.25">
      <c r="A409" t="s">
        <v>427</v>
      </c>
      <c r="B409" t="s">
        <v>39</v>
      </c>
      <c r="C409">
        <v>51</v>
      </c>
      <c r="D409" s="19">
        <v>23037</v>
      </c>
      <c r="E409">
        <v>7</v>
      </c>
      <c r="F409">
        <v>3</v>
      </c>
      <c r="G409">
        <v>9</v>
      </c>
      <c r="H409">
        <v>11</v>
      </c>
      <c r="I409">
        <v>10</v>
      </c>
      <c r="J409">
        <v>4.4000000000000004</v>
      </c>
      <c r="K409" t="s">
        <v>14</v>
      </c>
      <c r="L409" t="str">
        <f t="shared" si="6"/>
        <v>Low</v>
      </c>
    </row>
    <row r="410" spans="1:12" ht="15" customHeight="1" x14ac:dyDescent="0.25">
      <c r="A410" t="s">
        <v>428</v>
      </c>
      <c r="B410" t="s">
        <v>18</v>
      </c>
      <c r="C410">
        <v>50</v>
      </c>
      <c r="D410" s="19">
        <v>25112</v>
      </c>
      <c r="E410">
        <v>15</v>
      </c>
      <c r="F410">
        <v>2.9</v>
      </c>
      <c r="G410">
        <v>19</v>
      </c>
      <c r="H410">
        <v>13</v>
      </c>
      <c r="I410">
        <v>3</v>
      </c>
      <c r="J410">
        <v>4.7</v>
      </c>
      <c r="K410" t="s">
        <v>14</v>
      </c>
      <c r="L410" t="str">
        <f t="shared" si="6"/>
        <v>Low</v>
      </c>
    </row>
    <row r="411" spans="1:12" ht="15" customHeight="1" x14ac:dyDescent="0.25">
      <c r="A411" t="s">
        <v>429</v>
      </c>
      <c r="B411" t="s">
        <v>31</v>
      </c>
      <c r="C411">
        <v>40</v>
      </c>
      <c r="D411" s="19">
        <v>18262</v>
      </c>
      <c r="E411">
        <v>10</v>
      </c>
      <c r="F411">
        <v>3</v>
      </c>
      <c r="G411">
        <v>23</v>
      </c>
      <c r="H411">
        <v>12</v>
      </c>
      <c r="I411">
        <v>11</v>
      </c>
      <c r="J411">
        <v>3.6</v>
      </c>
      <c r="K411" t="s">
        <v>14</v>
      </c>
      <c r="L411" t="str">
        <f t="shared" si="6"/>
        <v>Low</v>
      </c>
    </row>
    <row r="412" spans="1:12" ht="15" customHeight="1" x14ac:dyDescent="0.25">
      <c r="A412" t="s">
        <v>430</v>
      </c>
      <c r="B412" t="s">
        <v>39</v>
      </c>
      <c r="C412">
        <v>42</v>
      </c>
      <c r="D412" s="19">
        <v>15748</v>
      </c>
      <c r="E412">
        <v>3</v>
      </c>
      <c r="F412">
        <v>2.8</v>
      </c>
      <c r="G412">
        <v>5</v>
      </c>
      <c r="H412">
        <v>22</v>
      </c>
      <c r="I412">
        <v>4</v>
      </c>
      <c r="J412">
        <v>2.5</v>
      </c>
      <c r="K412" t="s">
        <v>14</v>
      </c>
      <c r="L412" t="str">
        <f t="shared" si="6"/>
        <v>Medium</v>
      </c>
    </row>
    <row r="413" spans="1:12" ht="15" customHeight="1" x14ac:dyDescent="0.25">
      <c r="A413" t="s">
        <v>431</v>
      </c>
      <c r="B413" t="s">
        <v>39</v>
      </c>
      <c r="C413">
        <v>50</v>
      </c>
      <c r="D413" s="19">
        <v>15818</v>
      </c>
      <c r="E413">
        <v>4</v>
      </c>
      <c r="F413">
        <v>3.5</v>
      </c>
      <c r="G413">
        <v>30</v>
      </c>
      <c r="H413">
        <v>35</v>
      </c>
      <c r="I413">
        <v>3</v>
      </c>
      <c r="J413">
        <v>3.6</v>
      </c>
      <c r="K413" t="s">
        <v>14</v>
      </c>
      <c r="L413" t="str">
        <f t="shared" si="6"/>
        <v>Medium</v>
      </c>
    </row>
    <row r="414" spans="1:12" ht="15" customHeight="1" x14ac:dyDescent="0.25">
      <c r="A414" t="s">
        <v>432</v>
      </c>
      <c r="B414" t="s">
        <v>21</v>
      </c>
      <c r="C414">
        <v>52</v>
      </c>
      <c r="D414" s="19">
        <v>20337</v>
      </c>
      <c r="E414">
        <v>9</v>
      </c>
      <c r="F414">
        <v>3.7</v>
      </c>
      <c r="G414">
        <v>16</v>
      </c>
      <c r="H414">
        <v>24</v>
      </c>
      <c r="I414">
        <v>5</v>
      </c>
      <c r="J414">
        <v>4.0999999999999996</v>
      </c>
      <c r="K414" t="s">
        <v>14</v>
      </c>
      <c r="L414" t="str">
        <f t="shared" si="6"/>
        <v>Medium</v>
      </c>
    </row>
    <row r="415" spans="1:12" ht="15" customHeight="1" x14ac:dyDescent="0.25">
      <c r="A415" t="s">
        <v>433</v>
      </c>
      <c r="B415" t="s">
        <v>16</v>
      </c>
      <c r="C415">
        <v>42</v>
      </c>
      <c r="D415" s="19">
        <v>32326</v>
      </c>
      <c r="E415">
        <v>7</v>
      </c>
      <c r="F415">
        <v>2.9</v>
      </c>
      <c r="G415">
        <v>34</v>
      </c>
      <c r="H415">
        <v>12</v>
      </c>
      <c r="I415">
        <v>12</v>
      </c>
      <c r="J415">
        <v>3.7</v>
      </c>
      <c r="K415" t="s">
        <v>14</v>
      </c>
      <c r="L415" t="str">
        <f t="shared" si="6"/>
        <v>Low</v>
      </c>
    </row>
    <row r="416" spans="1:12" ht="15" customHeight="1" x14ac:dyDescent="0.25">
      <c r="A416" t="s">
        <v>434</v>
      </c>
      <c r="B416" t="s">
        <v>39</v>
      </c>
      <c r="C416">
        <v>48</v>
      </c>
      <c r="D416" s="19">
        <v>16800</v>
      </c>
      <c r="E416">
        <v>11</v>
      </c>
      <c r="F416">
        <v>4.2</v>
      </c>
      <c r="G416">
        <v>18</v>
      </c>
      <c r="H416">
        <v>20</v>
      </c>
      <c r="I416">
        <v>11</v>
      </c>
      <c r="J416">
        <v>3.8</v>
      </c>
      <c r="K416" t="s">
        <v>14</v>
      </c>
      <c r="L416" t="str">
        <f t="shared" si="6"/>
        <v>Low</v>
      </c>
    </row>
    <row r="417" spans="1:12" ht="15" customHeight="1" x14ac:dyDescent="0.25">
      <c r="A417" t="s">
        <v>435</v>
      </c>
      <c r="B417" t="s">
        <v>31</v>
      </c>
      <c r="C417">
        <v>21</v>
      </c>
      <c r="D417" s="19">
        <v>20667</v>
      </c>
      <c r="E417">
        <v>5</v>
      </c>
      <c r="F417">
        <v>4.5999999999999996</v>
      </c>
      <c r="G417">
        <v>33</v>
      </c>
      <c r="H417">
        <v>26</v>
      </c>
      <c r="I417">
        <v>4</v>
      </c>
      <c r="J417">
        <v>2.6</v>
      </c>
      <c r="K417" t="s">
        <v>26</v>
      </c>
      <c r="L417" t="str">
        <f t="shared" si="6"/>
        <v>High</v>
      </c>
    </row>
    <row r="418" spans="1:12" ht="15" customHeight="1" x14ac:dyDescent="0.25">
      <c r="A418" t="s">
        <v>436</v>
      </c>
      <c r="B418" t="s">
        <v>18</v>
      </c>
      <c r="C418">
        <v>41</v>
      </c>
      <c r="D418" s="19">
        <v>23502</v>
      </c>
      <c r="E418">
        <v>12</v>
      </c>
      <c r="F418">
        <v>3</v>
      </c>
      <c r="G418">
        <v>46</v>
      </c>
      <c r="H418">
        <v>27</v>
      </c>
      <c r="I418">
        <v>9</v>
      </c>
      <c r="J418">
        <v>3.4</v>
      </c>
      <c r="K418" t="s">
        <v>14</v>
      </c>
      <c r="L418" t="str">
        <f t="shared" si="6"/>
        <v>Medium</v>
      </c>
    </row>
    <row r="419" spans="1:12" ht="15" customHeight="1" x14ac:dyDescent="0.25">
      <c r="A419" t="s">
        <v>437</v>
      </c>
      <c r="B419" t="s">
        <v>16</v>
      </c>
      <c r="C419">
        <v>35</v>
      </c>
      <c r="D419" s="19">
        <v>27434</v>
      </c>
      <c r="E419">
        <v>3</v>
      </c>
      <c r="F419">
        <v>5</v>
      </c>
      <c r="G419">
        <v>29</v>
      </c>
      <c r="H419">
        <v>15</v>
      </c>
      <c r="I419">
        <v>6</v>
      </c>
      <c r="J419">
        <v>2.7</v>
      </c>
      <c r="K419" t="s">
        <v>14</v>
      </c>
      <c r="L419" t="str">
        <f t="shared" si="6"/>
        <v>Medium</v>
      </c>
    </row>
    <row r="420" spans="1:12" ht="15" customHeight="1" x14ac:dyDescent="0.25">
      <c r="A420" t="s">
        <v>438</v>
      </c>
      <c r="B420" t="s">
        <v>16</v>
      </c>
      <c r="C420">
        <v>38</v>
      </c>
      <c r="D420" s="19">
        <v>26419</v>
      </c>
      <c r="E420">
        <v>13</v>
      </c>
      <c r="F420">
        <v>3.3</v>
      </c>
      <c r="G420">
        <v>47</v>
      </c>
      <c r="H420">
        <v>35</v>
      </c>
      <c r="I420">
        <v>11</v>
      </c>
      <c r="J420">
        <v>3.7</v>
      </c>
      <c r="K420" t="s">
        <v>14</v>
      </c>
      <c r="L420" t="str">
        <f t="shared" si="6"/>
        <v>Medium</v>
      </c>
    </row>
    <row r="421" spans="1:12" ht="15" customHeight="1" x14ac:dyDescent="0.25">
      <c r="A421" t="s">
        <v>439</v>
      </c>
      <c r="B421" t="s">
        <v>39</v>
      </c>
      <c r="C421">
        <v>47</v>
      </c>
      <c r="D421" s="19">
        <v>18580</v>
      </c>
      <c r="E421">
        <v>8</v>
      </c>
      <c r="F421">
        <v>3.9</v>
      </c>
      <c r="G421">
        <v>10</v>
      </c>
      <c r="H421">
        <v>15</v>
      </c>
      <c r="I421">
        <v>12</v>
      </c>
      <c r="J421">
        <v>5</v>
      </c>
      <c r="K421" t="s">
        <v>14</v>
      </c>
      <c r="L421" t="str">
        <f t="shared" si="6"/>
        <v>Low</v>
      </c>
    </row>
    <row r="422" spans="1:12" ht="15" customHeight="1" x14ac:dyDescent="0.25">
      <c r="A422" t="s">
        <v>440</v>
      </c>
      <c r="B422" t="s">
        <v>39</v>
      </c>
      <c r="C422">
        <v>49</v>
      </c>
      <c r="D422" s="19">
        <v>29097</v>
      </c>
      <c r="E422">
        <v>1</v>
      </c>
      <c r="F422">
        <v>2.7</v>
      </c>
      <c r="G422">
        <v>37</v>
      </c>
      <c r="H422">
        <v>22</v>
      </c>
      <c r="I422">
        <v>6</v>
      </c>
      <c r="J422">
        <v>3.8</v>
      </c>
      <c r="K422" t="s">
        <v>14</v>
      </c>
      <c r="L422" t="str">
        <f t="shared" si="6"/>
        <v>Medium</v>
      </c>
    </row>
    <row r="423" spans="1:12" ht="15" customHeight="1" x14ac:dyDescent="0.25">
      <c r="A423" t="s">
        <v>441</v>
      </c>
      <c r="B423" t="s">
        <v>16</v>
      </c>
      <c r="C423">
        <v>42</v>
      </c>
      <c r="D423" s="19">
        <v>23322</v>
      </c>
      <c r="E423">
        <v>1</v>
      </c>
      <c r="F423">
        <v>4.5</v>
      </c>
      <c r="G423">
        <v>19</v>
      </c>
      <c r="H423">
        <v>0</v>
      </c>
      <c r="I423">
        <v>9</v>
      </c>
      <c r="J423">
        <v>3.6</v>
      </c>
      <c r="K423" t="s">
        <v>14</v>
      </c>
      <c r="L423" t="str">
        <f t="shared" si="6"/>
        <v>Medium</v>
      </c>
    </row>
    <row r="424" spans="1:12" ht="15" customHeight="1" x14ac:dyDescent="0.25">
      <c r="A424" t="s">
        <v>442</v>
      </c>
      <c r="B424" t="s">
        <v>16</v>
      </c>
      <c r="C424">
        <v>45</v>
      </c>
      <c r="D424" s="19">
        <v>26321</v>
      </c>
      <c r="E424">
        <v>4</v>
      </c>
      <c r="F424">
        <v>4.7</v>
      </c>
      <c r="G424">
        <v>10</v>
      </c>
      <c r="H424">
        <v>8</v>
      </c>
      <c r="I424">
        <v>1</v>
      </c>
      <c r="J424">
        <v>3.5</v>
      </c>
      <c r="K424" t="s">
        <v>14</v>
      </c>
      <c r="L424" t="str">
        <f t="shared" si="6"/>
        <v>Low</v>
      </c>
    </row>
    <row r="425" spans="1:12" ht="15" customHeight="1" x14ac:dyDescent="0.25">
      <c r="A425" t="s">
        <v>443</v>
      </c>
      <c r="B425" t="s">
        <v>16</v>
      </c>
      <c r="C425">
        <v>46</v>
      </c>
      <c r="D425" s="19">
        <v>31832</v>
      </c>
      <c r="E425">
        <v>10</v>
      </c>
      <c r="F425">
        <v>2.9</v>
      </c>
      <c r="G425">
        <v>44</v>
      </c>
      <c r="H425">
        <v>30</v>
      </c>
      <c r="I425">
        <v>11</v>
      </c>
      <c r="J425">
        <v>3.1</v>
      </c>
      <c r="K425" t="s">
        <v>14</v>
      </c>
      <c r="L425" t="str">
        <f t="shared" si="6"/>
        <v>Medium</v>
      </c>
    </row>
    <row r="426" spans="1:12" ht="15" customHeight="1" x14ac:dyDescent="0.25">
      <c r="A426" t="s">
        <v>444</v>
      </c>
      <c r="B426" t="s">
        <v>18</v>
      </c>
      <c r="C426">
        <v>57</v>
      </c>
      <c r="D426" s="19">
        <v>21156</v>
      </c>
      <c r="E426">
        <v>9</v>
      </c>
      <c r="F426">
        <v>3.9</v>
      </c>
      <c r="G426">
        <v>29</v>
      </c>
      <c r="H426">
        <v>24</v>
      </c>
      <c r="I426">
        <v>12</v>
      </c>
      <c r="J426">
        <v>3.5</v>
      </c>
      <c r="K426" t="s">
        <v>14</v>
      </c>
      <c r="L426" t="str">
        <f t="shared" si="6"/>
        <v>Medium</v>
      </c>
    </row>
    <row r="427" spans="1:12" ht="15" customHeight="1" x14ac:dyDescent="0.25">
      <c r="A427" t="s">
        <v>445</v>
      </c>
      <c r="B427" t="s">
        <v>39</v>
      </c>
      <c r="C427">
        <v>44</v>
      </c>
      <c r="D427" s="19">
        <v>18007</v>
      </c>
      <c r="E427">
        <v>13</v>
      </c>
      <c r="F427">
        <v>3.7</v>
      </c>
      <c r="G427">
        <v>14</v>
      </c>
      <c r="H427">
        <v>8</v>
      </c>
      <c r="I427">
        <v>9</v>
      </c>
      <c r="J427">
        <v>3.5</v>
      </c>
      <c r="K427" t="s">
        <v>14</v>
      </c>
      <c r="L427" t="str">
        <f t="shared" si="6"/>
        <v>Low</v>
      </c>
    </row>
    <row r="428" spans="1:12" ht="15" customHeight="1" x14ac:dyDescent="0.25">
      <c r="A428" t="s">
        <v>446</v>
      </c>
      <c r="B428" t="s">
        <v>16</v>
      </c>
      <c r="C428">
        <v>32</v>
      </c>
      <c r="D428" s="19">
        <v>25812</v>
      </c>
      <c r="E428">
        <v>9</v>
      </c>
      <c r="F428">
        <v>3.5</v>
      </c>
      <c r="G428">
        <v>41</v>
      </c>
      <c r="H428">
        <v>26</v>
      </c>
      <c r="I428">
        <v>10</v>
      </c>
      <c r="J428">
        <v>2</v>
      </c>
      <c r="K428" t="s">
        <v>14</v>
      </c>
      <c r="L428" t="str">
        <f t="shared" si="6"/>
        <v>Medium</v>
      </c>
    </row>
    <row r="429" spans="1:12" ht="15" customHeight="1" x14ac:dyDescent="0.25">
      <c r="A429" t="s">
        <v>447</v>
      </c>
      <c r="B429" t="s">
        <v>21</v>
      </c>
      <c r="C429">
        <v>55</v>
      </c>
      <c r="D429" s="19">
        <v>25967</v>
      </c>
      <c r="E429">
        <v>10</v>
      </c>
      <c r="F429">
        <v>3.4</v>
      </c>
      <c r="G429">
        <v>49</v>
      </c>
      <c r="H429">
        <v>9</v>
      </c>
      <c r="I429">
        <v>3</v>
      </c>
      <c r="J429">
        <v>3.1</v>
      </c>
      <c r="K429" t="s">
        <v>14</v>
      </c>
      <c r="L429" t="str">
        <f t="shared" si="6"/>
        <v>Low</v>
      </c>
    </row>
    <row r="430" spans="1:12" ht="15" customHeight="1" x14ac:dyDescent="0.25">
      <c r="A430" t="s">
        <v>448</v>
      </c>
      <c r="B430" t="s">
        <v>18</v>
      </c>
      <c r="C430">
        <v>30</v>
      </c>
      <c r="D430" s="19">
        <v>16938</v>
      </c>
      <c r="E430">
        <v>2</v>
      </c>
      <c r="F430">
        <v>2.9</v>
      </c>
      <c r="G430">
        <v>6</v>
      </c>
      <c r="H430">
        <v>19</v>
      </c>
      <c r="I430">
        <v>7</v>
      </c>
      <c r="J430">
        <v>3.6</v>
      </c>
      <c r="K430" t="s">
        <v>14</v>
      </c>
      <c r="L430" t="str">
        <f t="shared" si="6"/>
        <v>Low</v>
      </c>
    </row>
    <row r="431" spans="1:12" ht="15" customHeight="1" x14ac:dyDescent="0.25">
      <c r="A431" t="s">
        <v>449</v>
      </c>
      <c r="B431" t="s">
        <v>39</v>
      </c>
      <c r="C431">
        <v>44</v>
      </c>
      <c r="D431" s="19">
        <v>24160</v>
      </c>
      <c r="E431">
        <v>8</v>
      </c>
      <c r="F431">
        <v>4.0999999999999996</v>
      </c>
      <c r="G431">
        <v>31</v>
      </c>
      <c r="H431">
        <v>25</v>
      </c>
      <c r="I431">
        <v>4</v>
      </c>
      <c r="J431">
        <v>4.2</v>
      </c>
      <c r="K431" t="s">
        <v>14</v>
      </c>
      <c r="L431" t="str">
        <f t="shared" si="6"/>
        <v>Medium</v>
      </c>
    </row>
    <row r="432" spans="1:12" ht="15" customHeight="1" x14ac:dyDescent="0.25">
      <c r="A432" t="s">
        <v>450</v>
      </c>
      <c r="B432" t="s">
        <v>13</v>
      </c>
      <c r="C432">
        <v>33</v>
      </c>
      <c r="D432" s="19">
        <v>22373</v>
      </c>
      <c r="E432">
        <v>0</v>
      </c>
      <c r="F432">
        <v>3.7</v>
      </c>
      <c r="G432">
        <v>29</v>
      </c>
      <c r="H432">
        <v>6</v>
      </c>
      <c r="I432">
        <v>8</v>
      </c>
      <c r="J432">
        <v>3.8</v>
      </c>
      <c r="K432" t="s">
        <v>14</v>
      </c>
      <c r="L432" t="str">
        <f t="shared" si="6"/>
        <v>Medium</v>
      </c>
    </row>
    <row r="433" spans="1:12" ht="15" customHeight="1" x14ac:dyDescent="0.25">
      <c r="A433" t="s">
        <v>451</v>
      </c>
      <c r="B433" t="s">
        <v>13</v>
      </c>
      <c r="C433">
        <v>33</v>
      </c>
      <c r="D433" s="19">
        <v>31378</v>
      </c>
      <c r="E433">
        <v>3</v>
      </c>
      <c r="F433">
        <v>5</v>
      </c>
      <c r="G433">
        <v>46</v>
      </c>
      <c r="H433">
        <v>27</v>
      </c>
      <c r="I433">
        <v>7</v>
      </c>
      <c r="J433">
        <v>2.6</v>
      </c>
      <c r="K433" t="s">
        <v>14</v>
      </c>
      <c r="L433" t="str">
        <f t="shared" si="6"/>
        <v>Medium</v>
      </c>
    </row>
    <row r="434" spans="1:12" ht="15" customHeight="1" x14ac:dyDescent="0.25">
      <c r="A434" t="s">
        <v>452</v>
      </c>
      <c r="B434" t="s">
        <v>21</v>
      </c>
      <c r="C434">
        <v>48</v>
      </c>
      <c r="D434" s="19">
        <v>25302</v>
      </c>
      <c r="E434">
        <v>7</v>
      </c>
      <c r="F434">
        <v>3.6</v>
      </c>
      <c r="G434">
        <v>21</v>
      </c>
      <c r="H434">
        <v>23</v>
      </c>
      <c r="I434">
        <v>5</v>
      </c>
      <c r="J434">
        <v>3.5</v>
      </c>
      <c r="K434" t="s">
        <v>14</v>
      </c>
      <c r="L434" t="str">
        <f t="shared" si="6"/>
        <v>Medium</v>
      </c>
    </row>
    <row r="435" spans="1:12" ht="15" customHeight="1" x14ac:dyDescent="0.25">
      <c r="A435" t="s">
        <v>453</v>
      </c>
      <c r="B435" t="s">
        <v>13</v>
      </c>
      <c r="C435">
        <v>58</v>
      </c>
      <c r="D435" s="19">
        <v>33978</v>
      </c>
      <c r="E435">
        <v>8</v>
      </c>
      <c r="F435">
        <v>3.7</v>
      </c>
      <c r="G435">
        <v>49</v>
      </c>
      <c r="H435">
        <v>8</v>
      </c>
      <c r="I435">
        <v>11</v>
      </c>
      <c r="J435">
        <v>3.7</v>
      </c>
      <c r="K435" t="s">
        <v>14</v>
      </c>
      <c r="L435" t="str">
        <f t="shared" si="6"/>
        <v>Low</v>
      </c>
    </row>
    <row r="436" spans="1:12" ht="15" customHeight="1" x14ac:dyDescent="0.25">
      <c r="A436" t="s">
        <v>454</v>
      </c>
      <c r="B436" t="s">
        <v>39</v>
      </c>
      <c r="C436">
        <v>22</v>
      </c>
      <c r="D436" s="19">
        <v>25844</v>
      </c>
      <c r="E436">
        <v>9</v>
      </c>
      <c r="F436">
        <v>4.0999999999999996</v>
      </c>
      <c r="G436">
        <v>32</v>
      </c>
      <c r="H436">
        <v>26</v>
      </c>
      <c r="I436">
        <v>7</v>
      </c>
      <c r="J436">
        <v>4</v>
      </c>
      <c r="K436" t="s">
        <v>14</v>
      </c>
      <c r="L436" t="str">
        <f t="shared" si="6"/>
        <v>Medium</v>
      </c>
    </row>
    <row r="437" spans="1:12" ht="15" customHeight="1" x14ac:dyDescent="0.25">
      <c r="A437" t="s">
        <v>455</v>
      </c>
      <c r="B437" t="s">
        <v>21</v>
      </c>
      <c r="C437">
        <v>27</v>
      </c>
      <c r="D437" s="19">
        <v>18261</v>
      </c>
      <c r="E437">
        <v>13</v>
      </c>
      <c r="F437">
        <v>3.1</v>
      </c>
      <c r="G437">
        <v>10</v>
      </c>
      <c r="H437">
        <v>11</v>
      </c>
      <c r="I437">
        <v>7</v>
      </c>
      <c r="J437">
        <v>3.3</v>
      </c>
      <c r="K437" t="s">
        <v>14</v>
      </c>
      <c r="L437" t="str">
        <f t="shared" si="6"/>
        <v>Low</v>
      </c>
    </row>
    <row r="438" spans="1:12" ht="15" customHeight="1" x14ac:dyDescent="0.25">
      <c r="A438" t="s">
        <v>456</v>
      </c>
      <c r="B438" t="s">
        <v>39</v>
      </c>
      <c r="C438">
        <v>35</v>
      </c>
      <c r="D438" s="19">
        <v>26102</v>
      </c>
      <c r="E438">
        <v>4</v>
      </c>
      <c r="F438">
        <v>2.5</v>
      </c>
      <c r="G438">
        <v>8</v>
      </c>
      <c r="H438">
        <v>11</v>
      </c>
      <c r="I438">
        <v>13</v>
      </c>
      <c r="J438">
        <v>4.0999999999999996</v>
      </c>
      <c r="K438" t="s">
        <v>14</v>
      </c>
      <c r="L438" t="str">
        <f t="shared" si="6"/>
        <v>Low</v>
      </c>
    </row>
    <row r="439" spans="1:12" ht="15" customHeight="1" x14ac:dyDescent="0.25">
      <c r="A439" t="s">
        <v>457</v>
      </c>
      <c r="B439" t="s">
        <v>39</v>
      </c>
      <c r="C439">
        <v>42</v>
      </c>
      <c r="D439" s="19">
        <v>26675</v>
      </c>
      <c r="E439">
        <v>4</v>
      </c>
      <c r="F439">
        <v>4.3</v>
      </c>
      <c r="G439">
        <v>19</v>
      </c>
      <c r="H439">
        <v>31</v>
      </c>
      <c r="I439">
        <v>6</v>
      </c>
      <c r="J439">
        <v>4</v>
      </c>
      <c r="K439" t="s">
        <v>14</v>
      </c>
      <c r="L439" t="str">
        <f t="shared" si="6"/>
        <v>Medium</v>
      </c>
    </row>
    <row r="440" spans="1:12" ht="15" customHeight="1" x14ac:dyDescent="0.25">
      <c r="A440" t="s">
        <v>458</v>
      </c>
      <c r="B440" t="s">
        <v>18</v>
      </c>
      <c r="C440">
        <v>32</v>
      </c>
      <c r="D440" s="19">
        <v>17267</v>
      </c>
      <c r="E440">
        <v>14</v>
      </c>
      <c r="F440">
        <v>3.6</v>
      </c>
      <c r="G440">
        <v>48</v>
      </c>
      <c r="H440">
        <v>22</v>
      </c>
      <c r="I440">
        <v>6</v>
      </c>
      <c r="J440">
        <v>4.5</v>
      </c>
      <c r="K440" t="s">
        <v>14</v>
      </c>
      <c r="L440" t="str">
        <f t="shared" si="6"/>
        <v>Medium</v>
      </c>
    </row>
    <row r="441" spans="1:12" ht="15" customHeight="1" x14ac:dyDescent="0.25">
      <c r="A441" t="s">
        <v>459</v>
      </c>
      <c r="B441" t="s">
        <v>31</v>
      </c>
      <c r="C441">
        <v>60</v>
      </c>
      <c r="D441" s="19">
        <v>12810</v>
      </c>
      <c r="E441">
        <v>15</v>
      </c>
      <c r="F441">
        <v>3.3</v>
      </c>
      <c r="G441">
        <v>22</v>
      </c>
      <c r="H441">
        <v>2</v>
      </c>
      <c r="I441">
        <v>9</v>
      </c>
      <c r="J441">
        <v>1.4</v>
      </c>
      <c r="K441" t="s">
        <v>14</v>
      </c>
      <c r="L441" t="str">
        <f t="shared" si="6"/>
        <v>Medium</v>
      </c>
    </row>
    <row r="442" spans="1:12" ht="15" customHeight="1" x14ac:dyDescent="0.25">
      <c r="A442" t="s">
        <v>460</v>
      </c>
      <c r="B442" t="s">
        <v>16</v>
      </c>
      <c r="C442">
        <v>27</v>
      </c>
      <c r="D442" s="19">
        <v>30631</v>
      </c>
      <c r="E442">
        <v>3</v>
      </c>
      <c r="F442">
        <v>2.9</v>
      </c>
      <c r="G442">
        <v>13</v>
      </c>
      <c r="H442">
        <v>31</v>
      </c>
      <c r="I442">
        <v>6</v>
      </c>
      <c r="J442">
        <v>4.8</v>
      </c>
      <c r="K442" t="s">
        <v>14</v>
      </c>
      <c r="L442" t="str">
        <f t="shared" si="6"/>
        <v>Medium</v>
      </c>
    </row>
    <row r="443" spans="1:12" ht="15" customHeight="1" x14ac:dyDescent="0.25">
      <c r="A443" t="s">
        <v>461</v>
      </c>
      <c r="B443" t="s">
        <v>39</v>
      </c>
      <c r="C443">
        <v>50</v>
      </c>
      <c r="D443" s="19">
        <v>29043</v>
      </c>
      <c r="E443">
        <v>4</v>
      </c>
      <c r="F443">
        <v>3</v>
      </c>
      <c r="G443">
        <v>13</v>
      </c>
      <c r="H443">
        <v>7</v>
      </c>
      <c r="I443">
        <v>3</v>
      </c>
      <c r="J443">
        <v>4</v>
      </c>
      <c r="K443" t="s">
        <v>14</v>
      </c>
      <c r="L443" t="str">
        <f t="shared" si="6"/>
        <v>Low</v>
      </c>
    </row>
    <row r="444" spans="1:12" ht="15" customHeight="1" x14ac:dyDescent="0.25">
      <c r="A444" t="s">
        <v>462</v>
      </c>
      <c r="B444" t="s">
        <v>16</v>
      </c>
      <c r="C444">
        <v>58</v>
      </c>
      <c r="D444" s="19">
        <v>25399</v>
      </c>
      <c r="E444">
        <v>6</v>
      </c>
      <c r="F444">
        <v>3.6</v>
      </c>
      <c r="G444">
        <v>23</v>
      </c>
      <c r="H444">
        <v>28</v>
      </c>
      <c r="I444">
        <v>9</v>
      </c>
      <c r="J444">
        <v>4.5999999999999996</v>
      </c>
      <c r="K444" t="s">
        <v>14</v>
      </c>
      <c r="L444" t="str">
        <f t="shared" si="6"/>
        <v>Medium</v>
      </c>
    </row>
    <row r="445" spans="1:12" ht="15" customHeight="1" x14ac:dyDescent="0.25">
      <c r="A445" t="s">
        <v>463</v>
      </c>
      <c r="B445" t="s">
        <v>39</v>
      </c>
      <c r="C445">
        <v>52</v>
      </c>
      <c r="D445" s="19">
        <v>19439</v>
      </c>
      <c r="E445">
        <v>0</v>
      </c>
      <c r="F445">
        <v>2.2999999999999998</v>
      </c>
      <c r="G445">
        <v>14</v>
      </c>
      <c r="H445">
        <v>0</v>
      </c>
      <c r="I445">
        <v>10</v>
      </c>
      <c r="J445">
        <v>2.4</v>
      </c>
      <c r="K445" t="s">
        <v>14</v>
      </c>
      <c r="L445" t="str">
        <f t="shared" si="6"/>
        <v>Medium</v>
      </c>
    </row>
    <row r="446" spans="1:12" ht="15" customHeight="1" x14ac:dyDescent="0.25">
      <c r="A446" t="s">
        <v>464</v>
      </c>
      <c r="B446" t="s">
        <v>39</v>
      </c>
      <c r="C446">
        <v>43</v>
      </c>
      <c r="D446" s="19">
        <v>27910</v>
      </c>
      <c r="E446">
        <v>14</v>
      </c>
      <c r="F446">
        <v>2.2999999999999998</v>
      </c>
      <c r="G446">
        <v>15</v>
      </c>
      <c r="H446">
        <v>25</v>
      </c>
      <c r="I446">
        <v>6</v>
      </c>
      <c r="J446">
        <v>2.2000000000000002</v>
      </c>
      <c r="K446" t="s">
        <v>26</v>
      </c>
      <c r="L446" t="str">
        <f t="shared" si="6"/>
        <v>High</v>
      </c>
    </row>
    <row r="447" spans="1:12" ht="15" customHeight="1" x14ac:dyDescent="0.25">
      <c r="A447" t="s">
        <v>465</v>
      </c>
      <c r="B447" t="s">
        <v>39</v>
      </c>
      <c r="C447">
        <v>41</v>
      </c>
      <c r="D447" s="19">
        <v>22411</v>
      </c>
      <c r="E447">
        <v>15</v>
      </c>
      <c r="F447">
        <v>3.9</v>
      </c>
      <c r="G447">
        <v>24</v>
      </c>
      <c r="H447">
        <v>10</v>
      </c>
      <c r="I447">
        <v>8</v>
      </c>
      <c r="J447">
        <v>4.0999999999999996</v>
      </c>
      <c r="K447" t="s">
        <v>14</v>
      </c>
      <c r="L447" t="str">
        <f t="shared" si="6"/>
        <v>Low</v>
      </c>
    </row>
    <row r="448" spans="1:12" ht="15" customHeight="1" x14ac:dyDescent="0.25">
      <c r="A448" t="s">
        <v>466</v>
      </c>
      <c r="B448" t="s">
        <v>21</v>
      </c>
      <c r="C448">
        <v>26</v>
      </c>
      <c r="D448" s="19">
        <v>14371</v>
      </c>
      <c r="E448">
        <v>4</v>
      </c>
      <c r="F448">
        <v>4.2</v>
      </c>
      <c r="G448">
        <v>50</v>
      </c>
      <c r="H448">
        <v>10</v>
      </c>
      <c r="I448">
        <v>7</v>
      </c>
      <c r="J448">
        <v>3.8</v>
      </c>
      <c r="K448" t="s">
        <v>26</v>
      </c>
      <c r="L448" t="str">
        <f t="shared" si="6"/>
        <v>High</v>
      </c>
    </row>
    <row r="449" spans="1:12" ht="15" customHeight="1" x14ac:dyDescent="0.25">
      <c r="A449" t="s">
        <v>467</v>
      </c>
      <c r="B449" t="s">
        <v>21</v>
      </c>
      <c r="C449">
        <v>34</v>
      </c>
      <c r="D449" s="19">
        <v>18174</v>
      </c>
      <c r="E449">
        <v>12</v>
      </c>
      <c r="F449">
        <v>3.9</v>
      </c>
      <c r="G449">
        <v>18</v>
      </c>
      <c r="H449">
        <v>27</v>
      </c>
      <c r="I449">
        <v>6</v>
      </c>
      <c r="J449">
        <v>4.7</v>
      </c>
      <c r="K449" t="s">
        <v>14</v>
      </c>
      <c r="L449" t="str">
        <f t="shared" si="6"/>
        <v>Medium</v>
      </c>
    </row>
    <row r="450" spans="1:12" ht="15" customHeight="1" x14ac:dyDescent="0.25">
      <c r="A450" t="s">
        <v>468</v>
      </c>
      <c r="B450" t="s">
        <v>31</v>
      </c>
      <c r="C450">
        <v>47</v>
      </c>
      <c r="D450" s="19">
        <v>14947</v>
      </c>
      <c r="E450">
        <v>1</v>
      </c>
      <c r="F450">
        <v>3.1</v>
      </c>
      <c r="G450">
        <v>46</v>
      </c>
      <c r="H450">
        <v>16</v>
      </c>
      <c r="I450">
        <v>7</v>
      </c>
      <c r="J450">
        <v>3.2</v>
      </c>
      <c r="K450" t="s">
        <v>14</v>
      </c>
      <c r="L450" t="str">
        <f t="shared" ref="L450:L513" si="7">IF(K450="Yes","High",IF(OR(J450&lt;3,H450&gt;20,E450&lt;2),"Medium","Low"))</f>
        <v>Medium</v>
      </c>
    </row>
    <row r="451" spans="1:12" ht="15" customHeight="1" x14ac:dyDescent="0.25">
      <c r="A451" t="s">
        <v>469</v>
      </c>
      <c r="B451" t="s">
        <v>16</v>
      </c>
      <c r="C451">
        <v>27</v>
      </c>
      <c r="D451" s="19">
        <v>22505</v>
      </c>
      <c r="E451">
        <v>1</v>
      </c>
      <c r="F451">
        <v>3.3</v>
      </c>
      <c r="G451">
        <v>6</v>
      </c>
      <c r="H451">
        <v>17</v>
      </c>
      <c r="I451">
        <v>0</v>
      </c>
      <c r="J451">
        <v>2.6</v>
      </c>
      <c r="K451" t="s">
        <v>26</v>
      </c>
      <c r="L451" t="str">
        <f t="shared" si="7"/>
        <v>High</v>
      </c>
    </row>
    <row r="452" spans="1:12" ht="15" customHeight="1" x14ac:dyDescent="0.25">
      <c r="A452" t="s">
        <v>470</v>
      </c>
      <c r="B452" t="s">
        <v>13</v>
      </c>
      <c r="C452">
        <v>25</v>
      </c>
      <c r="D452" s="19">
        <v>23792</v>
      </c>
      <c r="E452">
        <v>2</v>
      </c>
      <c r="F452">
        <v>2.9</v>
      </c>
      <c r="G452">
        <v>46</v>
      </c>
      <c r="H452">
        <v>7</v>
      </c>
      <c r="I452">
        <v>8</v>
      </c>
      <c r="J452">
        <v>3.1</v>
      </c>
      <c r="K452" t="s">
        <v>14</v>
      </c>
      <c r="L452" t="str">
        <f t="shared" si="7"/>
        <v>Low</v>
      </c>
    </row>
    <row r="453" spans="1:12" ht="15" customHeight="1" x14ac:dyDescent="0.25">
      <c r="A453" t="s">
        <v>471</v>
      </c>
      <c r="B453" t="s">
        <v>39</v>
      </c>
      <c r="C453">
        <v>47</v>
      </c>
      <c r="D453" s="19">
        <v>29641</v>
      </c>
      <c r="E453">
        <v>3</v>
      </c>
      <c r="F453">
        <v>2.4</v>
      </c>
      <c r="G453">
        <v>41</v>
      </c>
      <c r="H453">
        <v>7</v>
      </c>
      <c r="I453">
        <v>3</v>
      </c>
      <c r="J453">
        <v>3.3</v>
      </c>
      <c r="K453" t="s">
        <v>14</v>
      </c>
      <c r="L453" t="str">
        <f t="shared" si="7"/>
        <v>Low</v>
      </c>
    </row>
    <row r="454" spans="1:12" ht="15" customHeight="1" x14ac:dyDescent="0.25">
      <c r="A454" t="s">
        <v>472</v>
      </c>
      <c r="B454" t="s">
        <v>21</v>
      </c>
      <c r="C454">
        <v>40</v>
      </c>
      <c r="D454" s="19">
        <v>13697</v>
      </c>
      <c r="E454">
        <v>5</v>
      </c>
      <c r="F454">
        <v>2.5</v>
      </c>
      <c r="G454">
        <v>35</v>
      </c>
      <c r="H454">
        <v>28</v>
      </c>
      <c r="I454">
        <v>4</v>
      </c>
      <c r="J454">
        <v>2.7</v>
      </c>
      <c r="K454" t="s">
        <v>14</v>
      </c>
      <c r="L454" t="str">
        <f t="shared" si="7"/>
        <v>Medium</v>
      </c>
    </row>
    <row r="455" spans="1:12" ht="15" customHeight="1" x14ac:dyDescent="0.25">
      <c r="A455" t="s">
        <v>473</v>
      </c>
      <c r="B455" t="s">
        <v>39</v>
      </c>
      <c r="C455">
        <v>41</v>
      </c>
      <c r="D455" s="19">
        <v>29257</v>
      </c>
      <c r="E455">
        <v>9</v>
      </c>
      <c r="F455">
        <v>2.7</v>
      </c>
      <c r="G455">
        <v>11</v>
      </c>
      <c r="H455">
        <v>27</v>
      </c>
      <c r="I455">
        <v>6</v>
      </c>
      <c r="J455">
        <v>2.8</v>
      </c>
      <c r="K455" t="s">
        <v>14</v>
      </c>
      <c r="L455" t="str">
        <f t="shared" si="7"/>
        <v>Medium</v>
      </c>
    </row>
    <row r="456" spans="1:12" ht="15" customHeight="1" x14ac:dyDescent="0.25">
      <c r="A456" t="s">
        <v>474</v>
      </c>
      <c r="B456" t="s">
        <v>18</v>
      </c>
      <c r="C456">
        <v>60</v>
      </c>
      <c r="D456" s="19">
        <v>18617</v>
      </c>
      <c r="E456">
        <v>2</v>
      </c>
      <c r="F456">
        <v>3.5</v>
      </c>
      <c r="G456">
        <v>48</v>
      </c>
      <c r="H456">
        <v>4</v>
      </c>
      <c r="I456">
        <v>7</v>
      </c>
      <c r="J456">
        <v>3.9</v>
      </c>
      <c r="K456" t="s">
        <v>14</v>
      </c>
      <c r="L456" t="str">
        <f t="shared" si="7"/>
        <v>Low</v>
      </c>
    </row>
    <row r="457" spans="1:12" ht="15" customHeight="1" x14ac:dyDescent="0.25">
      <c r="A457" t="s">
        <v>475</v>
      </c>
      <c r="B457" t="s">
        <v>13</v>
      </c>
      <c r="C457">
        <v>28</v>
      </c>
      <c r="D457" s="19">
        <v>33912</v>
      </c>
      <c r="E457">
        <v>3</v>
      </c>
      <c r="F457">
        <v>3.5</v>
      </c>
      <c r="G457">
        <v>9</v>
      </c>
      <c r="H457">
        <v>30</v>
      </c>
      <c r="I457">
        <v>9</v>
      </c>
      <c r="J457">
        <v>2.7</v>
      </c>
      <c r="K457" t="s">
        <v>14</v>
      </c>
      <c r="L457" t="str">
        <f t="shared" si="7"/>
        <v>Medium</v>
      </c>
    </row>
    <row r="458" spans="1:12" ht="15" customHeight="1" x14ac:dyDescent="0.25">
      <c r="A458" t="s">
        <v>476</v>
      </c>
      <c r="B458" t="s">
        <v>21</v>
      </c>
      <c r="C458">
        <v>58</v>
      </c>
      <c r="D458" s="19">
        <v>14581</v>
      </c>
      <c r="E458">
        <v>6</v>
      </c>
      <c r="F458">
        <v>4.2</v>
      </c>
      <c r="G458">
        <v>7</v>
      </c>
      <c r="H458">
        <v>14</v>
      </c>
      <c r="I458">
        <v>9</v>
      </c>
      <c r="J458">
        <v>4.0999999999999996</v>
      </c>
      <c r="K458" t="s">
        <v>26</v>
      </c>
      <c r="L458" t="str">
        <f t="shared" si="7"/>
        <v>High</v>
      </c>
    </row>
    <row r="459" spans="1:12" ht="15" customHeight="1" x14ac:dyDescent="0.25">
      <c r="A459" t="s">
        <v>477</v>
      </c>
      <c r="B459" t="s">
        <v>31</v>
      </c>
      <c r="C459">
        <v>31</v>
      </c>
      <c r="D459" s="19">
        <v>14642</v>
      </c>
      <c r="E459">
        <v>10</v>
      </c>
      <c r="F459">
        <v>2.8</v>
      </c>
      <c r="G459">
        <v>16</v>
      </c>
      <c r="H459">
        <v>34</v>
      </c>
      <c r="I459">
        <v>0</v>
      </c>
      <c r="J459">
        <v>4.5</v>
      </c>
      <c r="K459" t="s">
        <v>26</v>
      </c>
      <c r="L459" t="str">
        <f t="shared" si="7"/>
        <v>High</v>
      </c>
    </row>
    <row r="460" spans="1:12" ht="15" customHeight="1" x14ac:dyDescent="0.25">
      <c r="A460" t="s">
        <v>478</v>
      </c>
      <c r="B460" t="s">
        <v>31</v>
      </c>
      <c r="C460">
        <v>23</v>
      </c>
      <c r="D460" s="19">
        <v>20674</v>
      </c>
      <c r="E460">
        <v>7</v>
      </c>
      <c r="F460">
        <v>3.4</v>
      </c>
      <c r="G460">
        <v>26</v>
      </c>
      <c r="H460">
        <v>35</v>
      </c>
      <c r="I460">
        <v>6</v>
      </c>
      <c r="J460">
        <v>2.6</v>
      </c>
      <c r="K460" t="s">
        <v>14</v>
      </c>
      <c r="L460" t="str">
        <f t="shared" si="7"/>
        <v>Medium</v>
      </c>
    </row>
    <row r="461" spans="1:12" ht="15" customHeight="1" x14ac:dyDescent="0.25">
      <c r="A461" t="s">
        <v>479</v>
      </c>
      <c r="B461" t="s">
        <v>39</v>
      </c>
      <c r="C461">
        <v>31</v>
      </c>
      <c r="D461" s="19">
        <v>23748</v>
      </c>
      <c r="E461">
        <v>13</v>
      </c>
      <c r="F461">
        <v>1.7</v>
      </c>
      <c r="G461">
        <v>14</v>
      </c>
      <c r="H461">
        <v>29</v>
      </c>
      <c r="I461">
        <v>6</v>
      </c>
      <c r="J461">
        <v>1.3</v>
      </c>
      <c r="K461" t="s">
        <v>14</v>
      </c>
      <c r="L461" t="str">
        <f t="shared" si="7"/>
        <v>Medium</v>
      </c>
    </row>
    <row r="462" spans="1:12" ht="15" customHeight="1" x14ac:dyDescent="0.25">
      <c r="A462" t="s">
        <v>480</v>
      </c>
      <c r="B462" t="s">
        <v>13</v>
      </c>
      <c r="C462">
        <v>56</v>
      </c>
      <c r="D462" s="19">
        <v>34436</v>
      </c>
      <c r="E462">
        <v>6</v>
      </c>
      <c r="F462">
        <v>3.7</v>
      </c>
      <c r="G462">
        <v>9</v>
      </c>
      <c r="H462">
        <v>32</v>
      </c>
      <c r="I462">
        <v>2</v>
      </c>
      <c r="J462">
        <v>3.2</v>
      </c>
      <c r="K462" t="s">
        <v>14</v>
      </c>
      <c r="L462" t="str">
        <f t="shared" si="7"/>
        <v>Medium</v>
      </c>
    </row>
    <row r="463" spans="1:12" ht="15" customHeight="1" x14ac:dyDescent="0.25">
      <c r="A463" t="s">
        <v>481</v>
      </c>
      <c r="B463" t="s">
        <v>39</v>
      </c>
      <c r="C463">
        <v>46</v>
      </c>
      <c r="D463" s="19">
        <v>19060</v>
      </c>
      <c r="E463">
        <v>9</v>
      </c>
      <c r="F463">
        <v>3.7</v>
      </c>
      <c r="G463">
        <v>10</v>
      </c>
      <c r="H463">
        <v>0</v>
      </c>
      <c r="I463">
        <v>9</v>
      </c>
      <c r="J463">
        <v>3.3</v>
      </c>
      <c r="K463" t="s">
        <v>14</v>
      </c>
      <c r="L463" t="str">
        <f t="shared" si="7"/>
        <v>Low</v>
      </c>
    </row>
    <row r="464" spans="1:12" ht="15" customHeight="1" x14ac:dyDescent="0.25">
      <c r="A464" t="s">
        <v>482</v>
      </c>
      <c r="B464" t="s">
        <v>13</v>
      </c>
      <c r="C464">
        <v>33</v>
      </c>
      <c r="D464" s="19">
        <v>41491</v>
      </c>
      <c r="E464">
        <v>7</v>
      </c>
      <c r="F464">
        <v>3.1</v>
      </c>
      <c r="G464">
        <v>42</v>
      </c>
      <c r="H464">
        <v>4</v>
      </c>
      <c r="I464">
        <v>8</v>
      </c>
      <c r="J464">
        <v>2.6</v>
      </c>
      <c r="K464" t="s">
        <v>14</v>
      </c>
      <c r="L464" t="str">
        <f t="shared" si="7"/>
        <v>Medium</v>
      </c>
    </row>
    <row r="465" spans="1:12" ht="15" customHeight="1" x14ac:dyDescent="0.25">
      <c r="A465" t="s">
        <v>483</v>
      </c>
      <c r="B465" t="s">
        <v>31</v>
      </c>
      <c r="C465">
        <v>22</v>
      </c>
      <c r="D465" s="19">
        <v>22660</v>
      </c>
      <c r="E465">
        <v>1</v>
      </c>
      <c r="F465">
        <v>3.3</v>
      </c>
      <c r="G465">
        <v>31</v>
      </c>
      <c r="H465">
        <v>23</v>
      </c>
      <c r="I465">
        <v>7</v>
      </c>
      <c r="J465">
        <v>2.9</v>
      </c>
      <c r="K465" t="s">
        <v>14</v>
      </c>
      <c r="L465" t="str">
        <f t="shared" si="7"/>
        <v>Medium</v>
      </c>
    </row>
    <row r="466" spans="1:12" ht="15" customHeight="1" x14ac:dyDescent="0.25">
      <c r="A466" t="s">
        <v>484</v>
      </c>
      <c r="B466" t="s">
        <v>39</v>
      </c>
      <c r="C466">
        <v>54</v>
      </c>
      <c r="D466" s="19">
        <v>27620</v>
      </c>
      <c r="E466">
        <v>4</v>
      </c>
      <c r="F466">
        <v>2.6</v>
      </c>
      <c r="G466">
        <v>30</v>
      </c>
      <c r="H466">
        <v>7</v>
      </c>
      <c r="I466">
        <v>7</v>
      </c>
      <c r="J466">
        <v>2.4</v>
      </c>
      <c r="K466" t="s">
        <v>26</v>
      </c>
      <c r="L466" t="str">
        <f t="shared" si="7"/>
        <v>High</v>
      </c>
    </row>
    <row r="467" spans="1:12" ht="15" customHeight="1" x14ac:dyDescent="0.25">
      <c r="A467" t="s">
        <v>485</v>
      </c>
      <c r="B467" t="s">
        <v>39</v>
      </c>
      <c r="C467">
        <v>47</v>
      </c>
      <c r="D467" s="19">
        <v>26350</v>
      </c>
      <c r="E467">
        <v>11</v>
      </c>
      <c r="F467">
        <v>3.6</v>
      </c>
      <c r="G467">
        <v>46</v>
      </c>
      <c r="H467">
        <v>31</v>
      </c>
      <c r="I467">
        <v>9</v>
      </c>
      <c r="J467">
        <v>4.5999999999999996</v>
      </c>
      <c r="K467" t="s">
        <v>14</v>
      </c>
      <c r="L467" t="str">
        <f t="shared" si="7"/>
        <v>Medium</v>
      </c>
    </row>
    <row r="468" spans="1:12" ht="15" customHeight="1" x14ac:dyDescent="0.25">
      <c r="A468" t="s">
        <v>486</v>
      </c>
      <c r="B468" t="s">
        <v>31</v>
      </c>
      <c r="C468">
        <v>30</v>
      </c>
      <c r="D468" s="19">
        <v>18541</v>
      </c>
      <c r="E468">
        <v>12</v>
      </c>
      <c r="F468">
        <v>3.5</v>
      </c>
      <c r="G468">
        <v>26</v>
      </c>
      <c r="H468">
        <v>6</v>
      </c>
      <c r="I468">
        <v>1</v>
      </c>
      <c r="J468">
        <v>4</v>
      </c>
      <c r="K468" t="s">
        <v>14</v>
      </c>
      <c r="L468" t="str">
        <f t="shared" si="7"/>
        <v>Low</v>
      </c>
    </row>
    <row r="469" spans="1:12" ht="15" customHeight="1" x14ac:dyDescent="0.25">
      <c r="A469" t="s">
        <v>487</v>
      </c>
      <c r="B469" t="s">
        <v>39</v>
      </c>
      <c r="C469">
        <v>58</v>
      </c>
      <c r="D469" s="19">
        <v>24868</v>
      </c>
      <c r="E469">
        <v>13</v>
      </c>
      <c r="F469">
        <v>4.0999999999999996</v>
      </c>
      <c r="G469">
        <v>44</v>
      </c>
      <c r="H469">
        <v>0</v>
      </c>
      <c r="I469">
        <v>7</v>
      </c>
      <c r="J469">
        <v>1.9</v>
      </c>
      <c r="K469" t="s">
        <v>14</v>
      </c>
      <c r="L469" t="str">
        <f t="shared" si="7"/>
        <v>Medium</v>
      </c>
    </row>
    <row r="470" spans="1:12" ht="15" customHeight="1" x14ac:dyDescent="0.25">
      <c r="A470" t="s">
        <v>488</v>
      </c>
      <c r="B470" t="s">
        <v>39</v>
      </c>
      <c r="C470">
        <v>59</v>
      </c>
      <c r="D470" s="19">
        <v>22785</v>
      </c>
      <c r="E470">
        <v>13</v>
      </c>
      <c r="F470">
        <v>1.3</v>
      </c>
      <c r="G470">
        <v>23</v>
      </c>
      <c r="H470">
        <v>4</v>
      </c>
      <c r="I470">
        <v>12</v>
      </c>
      <c r="J470">
        <v>3.5</v>
      </c>
      <c r="K470" t="s">
        <v>14</v>
      </c>
      <c r="L470" t="str">
        <f t="shared" si="7"/>
        <v>Low</v>
      </c>
    </row>
    <row r="471" spans="1:12" ht="15" customHeight="1" x14ac:dyDescent="0.25">
      <c r="A471" t="s">
        <v>489</v>
      </c>
      <c r="B471" t="s">
        <v>18</v>
      </c>
      <c r="C471">
        <v>56</v>
      </c>
      <c r="D471" s="19">
        <v>14126</v>
      </c>
      <c r="E471">
        <v>15</v>
      </c>
      <c r="F471">
        <v>2.4</v>
      </c>
      <c r="G471">
        <v>20</v>
      </c>
      <c r="H471">
        <v>35</v>
      </c>
      <c r="I471">
        <v>3</v>
      </c>
      <c r="J471">
        <v>4.4000000000000004</v>
      </c>
      <c r="K471" t="s">
        <v>14</v>
      </c>
      <c r="L471" t="str">
        <f t="shared" si="7"/>
        <v>Medium</v>
      </c>
    </row>
    <row r="472" spans="1:12" ht="15" customHeight="1" x14ac:dyDescent="0.25">
      <c r="A472" t="s">
        <v>490</v>
      </c>
      <c r="B472" t="s">
        <v>21</v>
      </c>
      <c r="C472">
        <v>38</v>
      </c>
      <c r="D472" s="19">
        <v>26151</v>
      </c>
      <c r="E472">
        <v>9</v>
      </c>
      <c r="F472">
        <v>4.0999999999999996</v>
      </c>
      <c r="G472">
        <v>22</v>
      </c>
      <c r="H472">
        <v>29</v>
      </c>
      <c r="I472">
        <v>9</v>
      </c>
      <c r="J472">
        <v>2.1</v>
      </c>
      <c r="K472" t="s">
        <v>26</v>
      </c>
      <c r="L472" t="str">
        <f t="shared" si="7"/>
        <v>High</v>
      </c>
    </row>
    <row r="473" spans="1:12" ht="15" customHeight="1" x14ac:dyDescent="0.25">
      <c r="A473" t="s">
        <v>491</v>
      </c>
      <c r="B473" t="s">
        <v>31</v>
      </c>
      <c r="C473">
        <v>58</v>
      </c>
      <c r="D473" s="19">
        <v>21572</v>
      </c>
      <c r="E473">
        <v>0</v>
      </c>
      <c r="F473">
        <v>3.3</v>
      </c>
      <c r="G473">
        <v>20</v>
      </c>
      <c r="H473">
        <v>18</v>
      </c>
      <c r="I473">
        <v>3</v>
      </c>
      <c r="J473">
        <v>4.9000000000000004</v>
      </c>
      <c r="K473" t="s">
        <v>14</v>
      </c>
      <c r="L473" t="str">
        <f t="shared" si="7"/>
        <v>Medium</v>
      </c>
    </row>
    <row r="474" spans="1:12" ht="15" customHeight="1" x14ac:dyDescent="0.25">
      <c r="A474" t="s">
        <v>492</v>
      </c>
      <c r="B474" t="s">
        <v>31</v>
      </c>
      <c r="C474">
        <v>53</v>
      </c>
      <c r="D474" s="19">
        <v>12514</v>
      </c>
      <c r="E474">
        <v>5</v>
      </c>
      <c r="F474">
        <v>1.8</v>
      </c>
      <c r="G474">
        <v>6</v>
      </c>
      <c r="H474">
        <v>25</v>
      </c>
      <c r="I474">
        <v>12</v>
      </c>
      <c r="J474">
        <v>2.5</v>
      </c>
      <c r="K474" t="s">
        <v>14</v>
      </c>
      <c r="L474" t="str">
        <f t="shared" si="7"/>
        <v>Medium</v>
      </c>
    </row>
    <row r="475" spans="1:12" ht="15" customHeight="1" x14ac:dyDescent="0.25">
      <c r="A475" t="s">
        <v>493</v>
      </c>
      <c r="B475" t="s">
        <v>18</v>
      </c>
      <c r="C475">
        <v>55</v>
      </c>
      <c r="D475" s="19">
        <v>19870</v>
      </c>
      <c r="E475">
        <v>3</v>
      </c>
      <c r="F475">
        <v>4</v>
      </c>
      <c r="G475">
        <v>18</v>
      </c>
      <c r="H475">
        <v>0</v>
      </c>
      <c r="I475">
        <v>1</v>
      </c>
      <c r="J475">
        <v>3</v>
      </c>
      <c r="K475" t="s">
        <v>14</v>
      </c>
      <c r="L475" t="str">
        <f t="shared" si="7"/>
        <v>Low</v>
      </c>
    </row>
    <row r="476" spans="1:12" ht="15" customHeight="1" x14ac:dyDescent="0.25">
      <c r="A476" t="s">
        <v>494</v>
      </c>
      <c r="B476" t="s">
        <v>31</v>
      </c>
      <c r="C476">
        <v>23</v>
      </c>
      <c r="D476" s="19">
        <v>20861</v>
      </c>
      <c r="E476">
        <v>7</v>
      </c>
      <c r="F476">
        <v>2.4</v>
      </c>
      <c r="G476">
        <v>20</v>
      </c>
      <c r="H476">
        <v>6</v>
      </c>
      <c r="I476">
        <v>2</v>
      </c>
      <c r="J476">
        <v>2.5</v>
      </c>
      <c r="K476" t="s">
        <v>14</v>
      </c>
      <c r="L476" t="str">
        <f t="shared" si="7"/>
        <v>Medium</v>
      </c>
    </row>
    <row r="477" spans="1:12" ht="15" customHeight="1" x14ac:dyDescent="0.25">
      <c r="A477" t="s">
        <v>495</v>
      </c>
      <c r="B477" t="s">
        <v>18</v>
      </c>
      <c r="C477">
        <v>30</v>
      </c>
      <c r="D477" s="19">
        <v>28649</v>
      </c>
      <c r="E477">
        <v>1</v>
      </c>
      <c r="F477">
        <v>3.1</v>
      </c>
      <c r="G477">
        <v>47</v>
      </c>
      <c r="H477">
        <v>22</v>
      </c>
      <c r="I477">
        <v>5</v>
      </c>
      <c r="J477">
        <v>1.9</v>
      </c>
      <c r="K477" t="s">
        <v>14</v>
      </c>
      <c r="L477" t="str">
        <f t="shared" si="7"/>
        <v>Medium</v>
      </c>
    </row>
    <row r="478" spans="1:12" ht="15" customHeight="1" x14ac:dyDescent="0.25">
      <c r="A478" t="s">
        <v>496</v>
      </c>
      <c r="B478" t="s">
        <v>39</v>
      </c>
      <c r="C478">
        <v>59</v>
      </c>
      <c r="D478" s="19">
        <v>29928</v>
      </c>
      <c r="E478">
        <v>12</v>
      </c>
      <c r="F478">
        <v>3.1</v>
      </c>
      <c r="G478">
        <v>40</v>
      </c>
      <c r="H478">
        <v>12</v>
      </c>
      <c r="I478">
        <v>11</v>
      </c>
      <c r="J478">
        <v>4.5</v>
      </c>
      <c r="K478" t="s">
        <v>14</v>
      </c>
      <c r="L478" t="str">
        <f t="shared" si="7"/>
        <v>Low</v>
      </c>
    </row>
    <row r="479" spans="1:12" ht="15" customHeight="1" x14ac:dyDescent="0.25">
      <c r="A479" t="s">
        <v>497</v>
      </c>
      <c r="B479" t="s">
        <v>16</v>
      </c>
      <c r="C479">
        <v>48</v>
      </c>
      <c r="D479" s="19">
        <v>20696</v>
      </c>
      <c r="E479">
        <v>0</v>
      </c>
      <c r="F479">
        <v>1.4</v>
      </c>
      <c r="G479">
        <v>45</v>
      </c>
      <c r="H479">
        <v>7</v>
      </c>
      <c r="I479">
        <v>4</v>
      </c>
      <c r="J479">
        <v>3.3</v>
      </c>
      <c r="K479" t="s">
        <v>14</v>
      </c>
      <c r="L479" t="str">
        <f t="shared" si="7"/>
        <v>Medium</v>
      </c>
    </row>
    <row r="480" spans="1:12" ht="15" customHeight="1" x14ac:dyDescent="0.25">
      <c r="A480" t="s">
        <v>498</v>
      </c>
      <c r="B480" t="s">
        <v>18</v>
      </c>
      <c r="C480">
        <v>22</v>
      </c>
      <c r="D480" s="19">
        <v>17702</v>
      </c>
      <c r="E480">
        <v>3</v>
      </c>
      <c r="F480">
        <v>4</v>
      </c>
      <c r="G480">
        <v>22</v>
      </c>
      <c r="H480">
        <v>19</v>
      </c>
      <c r="I480">
        <v>7</v>
      </c>
      <c r="J480">
        <v>4.0999999999999996</v>
      </c>
      <c r="K480" t="s">
        <v>14</v>
      </c>
      <c r="L480" t="str">
        <f t="shared" si="7"/>
        <v>Low</v>
      </c>
    </row>
    <row r="481" spans="1:12" ht="15" customHeight="1" x14ac:dyDescent="0.25">
      <c r="A481" t="s">
        <v>499</v>
      </c>
      <c r="B481" t="s">
        <v>18</v>
      </c>
      <c r="C481">
        <v>46</v>
      </c>
      <c r="D481" s="19">
        <v>29858</v>
      </c>
      <c r="E481">
        <v>11</v>
      </c>
      <c r="F481">
        <v>3.2</v>
      </c>
      <c r="G481">
        <v>14</v>
      </c>
      <c r="H481">
        <v>19</v>
      </c>
      <c r="I481">
        <v>10</v>
      </c>
      <c r="J481">
        <v>3.1</v>
      </c>
      <c r="K481" t="s">
        <v>14</v>
      </c>
      <c r="L481" t="str">
        <f t="shared" si="7"/>
        <v>Low</v>
      </c>
    </row>
    <row r="482" spans="1:12" ht="15" customHeight="1" x14ac:dyDescent="0.25">
      <c r="A482" t="s">
        <v>500</v>
      </c>
      <c r="B482" t="s">
        <v>13</v>
      </c>
      <c r="C482">
        <v>28</v>
      </c>
      <c r="D482" s="19">
        <v>29278</v>
      </c>
      <c r="E482">
        <v>10</v>
      </c>
      <c r="F482">
        <v>4.5999999999999996</v>
      </c>
      <c r="G482">
        <v>15</v>
      </c>
      <c r="H482">
        <v>11</v>
      </c>
      <c r="I482">
        <v>3</v>
      </c>
      <c r="J482">
        <v>3.5</v>
      </c>
      <c r="K482" t="s">
        <v>14</v>
      </c>
      <c r="L482" t="str">
        <f t="shared" si="7"/>
        <v>Low</v>
      </c>
    </row>
    <row r="483" spans="1:12" ht="15" customHeight="1" x14ac:dyDescent="0.25">
      <c r="A483" t="s">
        <v>501</v>
      </c>
      <c r="B483" t="s">
        <v>31</v>
      </c>
      <c r="C483">
        <v>39</v>
      </c>
      <c r="D483" s="19">
        <v>19870</v>
      </c>
      <c r="E483">
        <v>12</v>
      </c>
      <c r="F483">
        <v>3.5</v>
      </c>
      <c r="G483">
        <v>23</v>
      </c>
      <c r="H483">
        <v>34</v>
      </c>
      <c r="I483">
        <v>4</v>
      </c>
      <c r="J483">
        <v>4.9000000000000004</v>
      </c>
      <c r="K483" t="s">
        <v>14</v>
      </c>
      <c r="L483" t="str">
        <f t="shared" si="7"/>
        <v>Medium</v>
      </c>
    </row>
    <row r="484" spans="1:12" ht="15" customHeight="1" x14ac:dyDescent="0.25">
      <c r="A484" t="s">
        <v>502</v>
      </c>
      <c r="B484" t="s">
        <v>13</v>
      </c>
      <c r="C484">
        <v>59</v>
      </c>
      <c r="D484" s="19">
        <v>28690</v>
      </c>
      <c r="E484">
        <v>7</v>
      </c>
      <c r="F484">
        <v>3</v>
      </c>
      <c r="G484">
        <v>9</v>
      </c>
      <c r="H484">
        <v>8</v>
      </c>
      <c r="I484">
        <v>10</v>
      </c>
      <c r="J484">
        <v>3.1</v>
      </c>
      <c r="K484" t="s">
        <v>14</v>
      </c>
      <c r="L484" t="str">
        <f t="shared" si="7"/>
        <v>Low</v>
      </c>
    </row>
    <row r="485" spans="1:12" ht="15" customHeight="1" x14ac:dyDescent="0.25">
      <c r="A485" t="s">
        <v>503</v>
      </c>
      <c r="B485" t="s">
        <v>13</v>
      </c>
      <c r="C485">
        <v>59</v>
      </c>
      <c r="D485" s="19">
        <v>18108</v>
      </c>
      <c r="E485">
        <v>5</v>
      </c>
      <c r="F485">
        <v>4.7</v>
      </c>
      <c r="G485">
        <v>9</v>
      </c>
      <c r="H485">
        <v>4</v>
      </c>
      <c r="I485">
        <v>12</v>
      </c>
      <c r="J485">
        <v>2.7</v>
      </c>
      <c r="K485" t="s">
        <v>14</v>
      </c>
      <c r="L485" t="str">
        <f t="shared" si="7"/>
        <v>Medium</v>
      </c>
    </row>
    <row r="486" spans="1:12" ht="15" customHeight="1" x14ac:dyDescent="0.25">
      <c r="A486" t="s">
        <v>504</v>
      </c>
      <c r="B486" t="s">
        <v>31</v>
      </c>
      <c r="C486">
        <v>30</v>
      </c>
      <c r="D486" s="19">
        <v>16435</v>
      </c>
      <c r="E486">
        <v>7</v>
      </c>
      <c r="F486">
        <v>2.6</v>
      </c>
      <c r="G486">
        <v>49</v>
      </c>
      <c r="H486">
        <v>20</v>
      </c>
      <c r="I486">
        <v>3</v>
      </c>
      <c r="J486">
        <v>2.9</v>
      </c>
      <c r="K486" t="s">
        <v>14</v>
      </c>
      <c r="L486" t="str">
        <f t="shared" si="7"/>
        <v>Medium</v>
      </c>
    </row>
    <row r="487" spans="1:12" ht="15" customHeight="1" x14ac:dyDescent="0.25">
      <c r="A487" t="s">
        <v>505</v>
      </c>
      <c r="B487" t="s">
        <v>16</v>
      </c>
      <c r="C487">
        <v>31</v>
      </c>
      <c r="D487" s="19">
        <v>29244</v>
      </c>
      <c r="E487">
        <v>10</v>
      </c>
      <c r="F487">
        <v>3.2</v>
      </c>
      <c r="G487">
        <v>35</v>
      </c>
      <c r="H487">
        <v>23</v>
      </c>
      <c r="I487">
        <v>3</v>
      </c>
      <c r="J487">
        <v>2.8</v>
      </c>
      <c r="K487" t="s">
        <v>26</v>
      </c>
      <c r="L487" t="str">
        <f t="shared" si="7"/>
        <v>High</v>
      </c>
    </row>
    <row r="488" spans="1:12" ht="15" customHeight="1" x14ac:dyDescent="0.25">
      <c r="A488" t="s">
        <v>506</v>
      </c>
      <c r="B488" t="s">
        <v>18</v>
      </c>
      <c r="C488">
        <v>54</v>
      </c>
      <c r="D488" s="19">
        <v>15545</v>
      </c>
      <c r="E488">
        <v>14</v>
      </c>
      <c r="F488">
        <v>2.8</v>
      </c>
      <c r="G488">
        <v>18</v>
      </c>
      <c r="H488">
        <v>23</v>
      </c>
      <c r="I488">
        <v>7</v>
      </c>
      <c r="J488">
        <v>2.9</v>
      </c>
      <c r="K488" t="s">
        <v>26</v>
      </c>
      <c r="L488" t="str">
        <f t="shared" si="7"/>
        <v>High</v>
      </c>
    </row>
    <row r="489" spans="1:12" ht="15" customHeight="1" x14ac:dyDescent="0.25">
      <c r="A489" t="s">
        <v>507</v>
      </c>
      <c r="B489" t="s">
        <v>21</v>
      </c>
      <c r="C489">
        <v>54</v>
      </c>
      <c r="D489" s="19">
        <v>14951</v>
      </c>
      <c r="E489">
        <v>9</v>
      </c>
      <c r="F489">
        <v>2.8</v>
      </c>
      <c r="G489">
        <v>48</v>
      </c>
      <c r="H489">
        <v>29</v>
      </c>
      <c r="I489">
        <v>7</v>
      </c>
      <c r="J489">
        <v>4.0999999999999996</v>
      </c>
      <c r="K489" t="s">
        <v>14</v>
      </c>
      <c r="L489" t="str">
        <f t="shared" si="7"/>
        <v>Medium</v>
      </c>
    </row>
    <row r="490" spans="1:12" ht="15" customHeight="1" x14ac:dyDescent="0.25">
      <c r="A490" t="s">
        <v>508</v>
      </c>
      <c r="B490" t="s">
        <v>13</v>
      </c>
      <c r="C490">
        <v>23</v>
      </c>
      <c r="D490" s="19">
        <v>25581</v>
      </c>
      <c r="E490">
        <v>7</v>
      </c>
      <c r="F490">
        <v>3.7</v>
      </c>
      <c r="G490">
        <v>30</v>
      </c>
      <c r="H490">
        <v>5</v>
      </c>
      <c r="I490">
        <v>11</v>
      </c>
      <c r="J490">
        <v>3.6</v>
      </c>
      <c r="K490" t="s">
        <v>14</v>
      </c>
      <c r="L490" t="str">
        <f t="shared" si="7"/>
        <v>Low</v>
      </c>
    </row>
    <row r="491" spans="1:12" ht="15" customHeight="1" x14ac:dyDescent="0.25">
      <c r="A491" t="s">
        <v>509</v>
      </c>
      <c r="B491" t="s">
        <v>31</v>
      </c>
      <c r="C491">
        <v>54</v>
      </c>
      <c r="D491" s="19">
        <v>20290</v>
      </c>
      <c r="E491">
        <v>5</v>
      </c>
      <c r="F491">
        <v>3.2</v>
      </c>
      <c r="G491">
        <v>39</v>
      </c>
      <c r="H491">
        <v>4</v>
      </c>
      <c r="I491">
        <v>5</v>
      </c>
      <c r="J491">
        <v>3.8</v>
      </c>
      <c r="K491" t="s">
        <v>14</v>
      </c>
      <c r="L491" t="str">
        <f t="shared" si="7"/>
        <v>Low</v>
      </c>
    </row>
    <row r="492" spans="1:12" ht="15" customHeight="1" x14ac:dyDescent="0.25">
      <c r="A492" t="s">
        <v>510</v>
      </c>
      <c r="B492" t="s">
        <v>13</v>
      </c>
      <c r="C492">
        <v>21</v>
      </c>
      <c r="D492" s="19">
        <v>36181</v>
      </c>
      <c r="E492">
        <v>2</v>
      </c>
      <c r="F492">
        <v>3.2</v>
      </c>
      <c r="G492">
        <v>48</v>
      </c>
      <c r="H492">
        <v>19</v>
      </c>
      <c r="I492">
        <v>8</v>
      </c>
      <c r="J492">
        <v>2</v>
      </c>
      <c r="K492" t="s">
        <v>14</v>
      </c>
      <c r="L492" t="str">
        <f t="shared" si="7"/>
        <v>Medium</v>
      </c>
    </row>
    <row r="493" spans="1:12" ht="15" customHeight="1" x14ac:dyDescent="0.25">
      <c r="A493" t="s">
        <v>511</v>
      </c>
      <c r="B493" t="s">
        <v>16</v>
      </c>
      <c r="C493">
        <v>35</v>
      </c>
      <c r="D493" s="19">
        <v>20638</v>
      </c>
      <c r="E493">
        <v>3</v>
      </c>
      <c r="F493">
        <v>4.2</v>
      </c>
      <c r="G493">
        <v>26</v>
      </c>
      <c r="H493">
        <v>27</v>
      </c>
      <c r="I493">
        <v>5</v>
      </c>
      <c r="J493">
        <v>2.9</v>
      </c>
      <c r="K493" t="s">
        <v>26</v>
      </c>
      <c r="L493" t="str">
        <f t="shared" si="7"/>
        <v>High</v>
      </c>
    </row>
    <row r="494" spans="1:12" ht="15" customHeight="1" x14ac:dyDescent="0.25">
      <c r="A494" t="s">
        <v>512</v>
      </c>
      <c r="B494" t="s">
        <v>21</v>
      </c>
      <c r="C494">
        <v>52</v>
      </c>
      <c r="D494" s="19">
        <v>25161</v>
      </c>
      <c r="E494">
        <v>12</v>
      </c>
      <c r="F494">
        <v>3.2</v>
      </c>
      <c r="G494">
        <v>23</v>
      </c>
      <c r="H494">
        <v>14</v>
      </c>
      <c r="I494">
        <v>5</v>
      </c>
      <c r="J494">
        <v>3.6</v>
      </c>
      <c r="K494" t="s">
        <v>14</v>
      </c>
      <c r="L494" t="str">
        <f t="shared" si="7"/>
        <v>Low</v>
      </c>
    </row>
    <row r="495" spans="1:12" ht="15" customHeight="1" x14ac:dyDescent="0.25">
      <c r="A495" t="s">
        <v>513</v>
      </c>
      <c r="B495" t="s">
        <v>39</v>
      </c>
      <c r="C495">
        <v>37</v>
      </c>
      <c r="D495" s="19">
        <v>29844</v>
      </c>
      <c r="E495">
        <v>1</v>
      </c>
      <c r="F495">
        <v>4.2</v>
      </c>
      <c r="G495">
        <v>43</v>
      </c>
      <c r="H495">
        <v>1</v>
      </c>
      <c r="I495">
        <v>5</v>
      </c>
      <c r="J495">
        <v>3</v>
      </c>
      <c r="K495" t="s">
        <v>14</v>
      </c>
      <c r="L495" t="str">
        <f t="shared" si="7"/>
        <v>Medium</v>
      </c>
    </row>
    <row r="496" spans="1:12" ht="15" customHeight="1" x14ac:dyDescent="0.25">
      <c r="A496" t="s">
        <v>514</v>
      </c>
      <c r="B496" t="s">
        <v>39</v>
      </c>
      <c r="C496">
        <v>42</v>
      </c>
      <c r="D496" s="19">
        <v>23704</v>
      </c>
      <c r="E496">
        <v>10</v>
      </c>
      <c r="F496">
        <v>4</v>
      </c>
      <c r="G496">
        <v>38</v>
      </c>
      <c r="H496">
        <v>26</v>
      </c>
      <c r="I496">
        <v>11</v>
      </c>
      <c r="J496">
        <v>3</v>
      </c>
      <c r="K496" t="s">
        <v>14</v>
      </c>
      <c r="L496" t="str">
        <f t="shared" si="7"/>
        <v>Medium</v>
      </c>
    </row>
    <row r="497" spans="1:12" ht="15" customHeight="1" x14ac:dyDescent="0.25">
      <c r="A497" t="s">
        <v>515</v>
      </c>
      <c r="B497" t="s">
        <v>31</v>
      </c>
      <c r="C497">
        <v>39</v>
      </c>
      <c r="D497" s="19">
        <v>16874</v>
      </c>
      <c r="E497">
        <v>14</v>
      </c>
      <c r="F497">
        <v>2.8</v>
      </c>
      <c r="G497">
        <v>41</v>
      </c>
      <c r="H497">
        <v>23</v>
      </c>
      <c r="I497">
        <v>1</v>
      </c>
      <c r="J497">
        <v>3.8</v>
      </c>
      <c r="K497" t="s">
        <v>14</v>
      </c>
      <c r="L497" t="str">
        <f t="shared" si="7"/>
        <v>Medium</v>
      </c>
    </row>
    <row r="498" spans="1:12" ht="15" customHeight="1" x14ac:dyDescent="0.25">
      <c r="A498" t="s">
        <v>516</v>
      </c>
      <c r="B498" t="s">
        <v>21</v>
      </c>
      <c r="C498">
        <v>42</v>
      </c>
      <c r="D498" s="19">
        <v>21492</v>
      </c>
      <c r="E498">
        <v>1</v>
      </c>
      <c r="F498">
        <v>3.5</v>
      </c>
      <c r="G498">
        <v>41</v>
      </c>
      <c r="H498">
        <v>29</v>
      </c>
      <c r="I498">
        <v>7</v>
      </c>
      <c r="J498">
        <v>3.3</v>
      </c>
      <c r="K498" t="s">
        <v>14</v>
      </c>
      <c r="L498" t="str">
        <f t="shared" si="7"/>
        <v>Medium</v>
      </c>
    </row>
    <row r="499" spans="1:12" ht="15" customHeight="1" x14ac:dyDescent="0.25">
      <c r="A499" t="s">
        <v>517</v>
      </c>
      <c r="B499" t="s">
        <v>31</v>
      </c>
      <c r="C499">
        <v>25</v>
      </c>
      <c r="D499" s="19">
        <v>22474</v>
      </c>
      <c r="E499">
        <v>14</v>
      </c>
      <c r="F499">
        <v>2.2999999999999998</v>
      </c>
      <c r="G499">
        <v>9</v>
      </c>
      <c r="H499">
        <v>29</v>
      </c>
      <c r="I499">
        <v>10</v>
      </c>
      <c r="J499">
        <v>3.5</v>
      </c>
      <c r="K499" t="s">
        <v>14</v>
      </c>
      <c r="L499" t="str">
        <f t="shared" si="7"/>
        <v>Medium</v>
      </c>
    </row>
    <row r="500" spans="1:12" ht="15" customHeight="1" x14ac:dyDescent="0.25">
      <c r="A500" t="s">
        <v>518</v>
      </c>
      <c r="B500" t="s">
        <v>16</v>
      </c>
      <c r="C500">
        <v>37</v>
      </c>
      <c r="D500" s="19">
        <v>27712</v>
      </c>
      <c r="E500">
        <v>15</v>
      </c>
      <c r="F500">
        <v>3.4</v>
      </c>
      <c r="G500">
        <v>29</v>
      </c>
      <c r="H500">
        <v>33</v>
      </c>
      <c r="I500">
        <v>4</v>
      </c>
      <c r="J500">
        <v>3.9</v>
      </c>
      <c r="K500" t="s">
        <v>14</v>
      </c>
      <c r="L500" t="str">
        <f t="shared" si="7"/>
        <v>Medium</v>
      </c>
    </row>
    <row r="501" spans="1:12" ht="15" customHeight="1" x14ac:dyDescent="0.25">
      <c r="A501" t="s">
        <v>519</v>
      </c>
      <c r="B501" t="s">
        <v>18</v>
      </c>
      <c r="C501">
        <v>34</v>
      </c>
      <c r="D501" s="19">
        <v>31306</v>
      </c>
      <c r="E501">
        <v>3</v>
      </c>
      <c r="F501">
        <v>3.7</v>
      </c>
      <c r="G501">
        <v>9</v>
      </c>
      <c r="H501">
        <v>15</v>
      </c>
      <c r="I501">
        <v>0</v>
      </c>
      <c r="J501">
        <v>1.7</v>
      </c>
      <c r="K501" t="s">
        <v>14</v>
      </c>
      <c r="L501" t="str">
        <f t="shared" si="7"/>
        <v>Medium</v>
      </c>
    </row>
    <row r="502" spans="1:12" ht="15" customHeight="1" x14ac:dyDescent="0.25">
      <c r="A502" t="s">
        <v>520</v>
      </c>
      <c r="B502" t="s">
        <v>18</v>
      </c>
      <c r="C502">
        <v>38</v>
      </c>
      <c r="D502" s="19">
        <v>25028</v>
      </c>
      <c r="E502">
        <v>5</v>
      </c>
      <c r="F502">
        <v>3.8</v>
      </c>
      <c r="G502">
        <v>40</v>
      </c>
      <c r="H502">
        <v>3</v>
      </c>
      <c r="I502">
        <v>2</v>
      </c>
      <c r="J502">
        <v>3.1</v>
      </c>
      <c r="K502" t="s">
        <v>14</v>
      </c>
      <c r="L502" t="str">
        <f t="shared" si="7"/>
        <v>Low</v>
      </c>
    </row>
    <row r="503" spans="1:12" ht="15" customHeight="1" x14ac:dyDescent="0.25">
      <c r="A503" t="s">
        <v>521</v>
      </c>
      <c r="B503" t="s">
        <v>21</v>
      </c>
      <c r="C503">
        <v>58</v>
      </c>
      <c r="D503" s="19">
        <v>14465</v>
      </c>
      <c r="E503">
        <v>10</v>
      </c>
      <c r="F503">
        <v>3.7</v>
      </c>
      <c r="G503">
        <v>36</v>
      </c>
      <c r="H503">
        <v>34</v>
      </c>
      <c r="I503">
        <v>6</v>
      </c>
      <c r="J503">
        <v>1.9</v>
      </c>
      <c r="K503" t="s">
        <v>14</v>
      </c>
      <c r="L503" t="str">
        <f t="shared" si="7"/>
        <v>Medium</v>
      </c>
    </row>
    <row r="504" spans="1:12" ht="15" customHeight="1" x14ac:dyDescent="0.25">
      <c r="A504" t="s">
        <v>522</v>
      </c>
      <c r="B504" t="s">
        <v>31</v>
      </c>
      <c r="C504">
        <v>21</v>
      </c>
      <c r="D504" s="19">
        <v>12327</v>
      </c>
      <c r="E504">
        <v>3</v>
      </c>
      <c r="F504">
        <v>3.8</v>
      </c>
      <c r="G504">
        <v>41</v>
      </c>
      <c r="H504">
        <v>5</v>
      </c>
      <c r="I504">
        <v>8</v>
      </c>
      <c r="J504">
        <v>5</v>
      </c>
      <c r="K504" t="s">
        <v>14</v>
      </c>
      <c r="L504" t="str">
        <f t="shared" si="7"/>
        <v>Low</v>
      </c>
    </row>
    <row r="505" spans="1:12" ht="15" customHeight="1" x14ac:dyDescent="0.25">
      <c r="A505" t="s">
        <v>523</v>
      </c>
      <c r="B505" t="s">
        <v>39</v>
      </c>
      <c r="C505">
        <v>51</v>
      </c>
      <c r="D505" s="19">
        <v>16986</v>
      </c>
      <c r="E505">
        <v>13</v>
      </c>
      <c r="F505">
        <v>3.5</v>
      </c>
      <c r="G505">
        <v>6</v>
      </c>
      <c r="H505">
        <v>3</v>
      </c>
      <c r="I505">
        <v>5</v>
      </c>
      <c r="J505">
        <v>2.7</v>
      </c>
      <c r="K505" t="s">
        <v>14</v>
      </c>
      <c r="L505" t="str">
        <f t="shared" si="7"/>
        <v>Medium</v>
      </c>
    </row>
    <row r="506" spans="1:12" ht="15" customHeight="1" x14ac:dyDescent="0.25">
      <c r="A506" t="s">
        <v>524</v>
      </c>
      <c r="B506" t="s">
        <v>18</v>
      </c>
      <c r="C506">
        <v>53</v>
      </c>
      <c r="D506" s="19">
        <v>18031</v>
      </c>
      <c r="E506">
        <v>9</v>
      </c>
      <c r="F506">
        <v>3.6</v>
      </c>
      <c r="G506">
        <v>29</v>
      </c>
      <c r="H506">
        <v>4</v>
      </c>
      <c r="I506">
        <v>10</v>
      </c>
      <c r="J506">
        <v>5</v>
      </c>
      <c r="K506" t="s">
        <v>14</v>
      </c>
      <c r="L506" t="str">
        <f t="shared" si="7"/>
        <v>Low</v>
      </c>
    </row>
    <row r="507" spans="1:12" ht="15" customHeight="1" x14ac:dyDescent="0.25">
      <c r="A507" t="s">
        <v>525</v>
      </c>
      <c r="B507" t="s">
        <v>39</v>
      </c>
      <c r="C507">
        <v>52</v>
      </c>
      <c r="D507" s="19">
        <v>29991</v>
      </c>
      <c r="E507">
        <v>2</v>
      </c>
      <c r="F507">
        <v>2.4</v>
      </c>
      <c r="G507">
        <v>17</v>
      </c>
      <c r="H507">
        <v>22</v>
      </c>
      <c r="I507">
        <v>1</v>
      </c>
      <c r="J507">
        <v>3.3</v>
      </c>
      <c r="K507" t="s">
        <v>14</v>
      </c>
      <c r="L507" t="str">
        <f t="shared" si="7"/>
        <v>Medium</v>
      </c>
    </row>
    <row r="508" spans="1:12" ht="15" customHeight="1" x14ac:dyDescent="0.25">
      <c r="A508" t="s">
        <v>526</v>
      </c>
      <c r="B508" t="s">
        <v>13</v>
      </c>
      <c r="C508">
        <v>43</v>
      </c>
      <c r="D508" s="19">
        <v>38272</v>
      </c>
      <c r="E508">
        <v>10</v>
      </c>
      <c r="F508">
        <v>1.3</v>
      </c>
      <c r="G508">
        <v>31</v>
      </c>
      <c r="H508">
        <v>5</v>
      </c>
      <c r="I508">
        <v>3</v>
      </c>
      <c r="J508">
        <v>1.9</v>
      </c>
      <c r="K508" t="s">
        <v>14</v>
      </c>
      <c r="L508" t="str">
        <f t="shared" si="7"/>
        <v>Medium</v>
      </c>
    </row>
    <row r="509" spans="1:12" ht="15" customHeight="1" x14ac:dyDescent="0.25">
      <c r="A509" t="s">
        <v>527</v>
      </c>
      <c r="B509" t="s">
        <v>13</v>
      </c>
      <c r="C509">
        <v>26</v>
      </c>
      <c r="D509" s="19">
        <v>30643</v>
      </c>
      <c r="E509">
        <v>5</v>
      </c>
      <c r="F509">
        <v>4.9000000000000004</v>
      </c>
      <c r="G509">
        <v>26</v>
      </c>
      <c r="H509">
        <v>22</v>
      </c>
      <c r="I509">
        <v>6</v>
      </c>
      <c r="J509">
        <v>3</v>
      </c>
      <c r="K509" t="s">
        <v>14</v>
      </c>
      <c r="L509" t="str">
        <f t="shared" si="7"/>
        <v>Medium</v>
      </c>
    </row>
    <row r="510" spans="1:12" ht="15" customHeight="1" x14ac:dyDescent="0.25">
      <c r="A510" t="s">
        <v>528</v>
      </c>
      <c r="B510" t="s">
        <v>13</v>
      </c>
      <c r="C510">
        <v>46</v>
      </c>
      <c r="D510" s="19">
        <v>39627</v>
      </c>
      <c r="E510">
        <v>15</v>
      </c>
      <c r="F510">
        <v>2.5</v>
      </c>
      <c r="G510">
        <v>14</v>
      </c>
      <c r="H510">
        <v>34</v>
      </c>
      <c r="I510">
        <v>6</v>
      </c>
      <c r="J510">
        <v>1</v>
      </c>
      <c r="K510" t="s">
        <v>14</v>
      </c>
      <c r="L510" t="str">
        <f t="shared" si="7"/>
        <v>Medium</v>
      </c>
    </row>
    <row r="511" spans="1:12" ht="15" customHeight="1" x14ac:dyDescent="0.25">
      <c r="A511" t="s">
        <v>529</v>
      </c>
      <c r="B511" t="s">
        <v>21</v>
      </c>
      <c r="C511">
        <v>21</v>
      </c>
      <c r="D511" s="19">
        <v>15901</v>
      </c>
      <c r="E511">
        <v>12</v>
      </c>
      <c r="F511">
        <v>1.9</v>
      </c>
      <c r="G511">
        <v>20</v>
      </c>
      <c r="H511">
        <v>16</v>
      </c>
      <c r="I511">
        <v>12</v>
      </c>
      <c r="J511">
        <v>4</v>
      </c>
      <c r="K511" t="s">
        <v>14</v>
      </c>
      <c r="L511" t="str">
        <f t="shared" si="7"/>
        <v>Low</v>
      </c>
    </row>
    <row r="512" spans="1:12" ht="15" customHeight="1" x14ac:dyDescent="0.25">
      <c r="A512" t="s">
        <v>530</v>
      </c>
      <c r="B512" t="s">
        <v>18</v>
      </c>
      <c r="C512">
        <v>27</v>
      </c>
      <c r="D512" s="19">
        <v>29133</v>
      </c>
      <c r="E512">
        <v>9</v>
      </c>
      <c r="F512">
        <v>2.9</v>
      </c>
      <c r="G512">
        <v>27</v>
      </c>
      <c r="H512">
        <v>7</v>
      </c>
      <c r="I512">
        <v>8</v>
      </c>
      <c r="J512">
        <v>4.7</v>
      </c>
      <c r="K512" t="s">
        <v>14</v>
      </c>
      <c r="L512" t="str">
        <f t="shared" si="7"/>
        <v>Low</v>
      </c>
    </row>
    <row r="513" spans="1:12" ht="15" customHeight="1" x14ac:dyDescent="0.25">
      <c r="A513" t="s">
        <v>531</v>
      </c>
      <c r="B513" t="s">
        <v>13</v>
      </c>
      <c r="C513">
        <v>52</v>
      </c>
      <c r="D513" s="19">
        <v>18271</v>
      </c>
      <c r="E513">
        <v>6</v>
      </c>
      <c r="F513">
        <v>3.7</v>
      </c>
      <c r="G513">
        <v>31</v>
      </c>
      <c r="H513">
        <v>8</v>
      </c>
      <c r="I513">
        <v>10</v>
      </c>
      <c r="J513">
        <v>3</v>
      </c>
      <c r="K513" t="s">
        <v>14</v>
      </c>
      <c r="L513" t="str">
        <f t="shared" si="7"/>
        <v>Low</v>
      </c>
    </row>
    <row r="514" spans="1:12" ht="15" customHeight="1" x14ac:dyDescent="0.25">
      <c r="A514" t="s">
        <v>532</v>
      </c>
      <c r="B514" t="s">
        <v>31</v>
      </c>
      <c r="C514">
        <v>37</v>
      </c>
      <c r="D514" s="19">
        <v>21486</v>
      </c>
      <c r="E514">
        <v>7</v>
      </c>
      <c r="F514">
        <v>2.2000000000000002</v>
      </c>
      <c r="G514">
        <v>5</v>
      </c>
      <c r="H514">
        <v>26</v>
      </c>
      <c r="I514">
        <v>2</v>
      </c>
      <c r="J514">
        <v>3.2</v>
      </c>
      <c r="K514" t="s">
        <v>14</v>
      </c>
      <c r="L514" t="str">
        <f t="shared" ref="L514:L577" si="8">IF(K514="Yes","High",IF(OR(J514&lt;3,H514&gt;20,E514&lt;2),"Medium","Low"))</f>
        <v>Medium</v>
      </c>
    </row>
    <row r="515" spans="1:12" ht="15" customHeight="1" x14ac:dyDescent="0.25">
      <c r="A515" t="s">
        <v>533</v>
      </c>
      <c r="B515" t="s">
        <v>16</v>
      </c>
      <c r="C515">
        <v>59</v>
      </c>
      <c r="D515" s="19">
        <v>24691</v>
      </c>
      <c r="E515">
        <v>8</v>
      </c>
      <c r="F515">
        <v>3.3</v>
      </c>
      <c r="G515">
        <v>43</v>
      </c>
      <c r="H515">
        <v>32</v>
      </c>
      <c r="I515">
        <v>3</v>
      </c>
      <c r="J515">
        <v>3.6</v>
      </c>
      <c r="K515" t="s">
        <v>14</v>
      </c>
      <c r="L515" t="str">
        <f t="shared" si="8"/>
        <v>Medium</v>
      </c>
    </row>
    <row r="516" spans="1:12" ht="15" customHeight="1" x14ac:dyDescent="0.25">
      <c r="A516" t="s">
        <v>534</v>
      </c>
      <c r="B516" t="s">
        <v>16</v>
      </c>
      <c r="C516">
        <v>28</v>
      </c>
      <c r="D516" s="19">
        <v>36617</v>
      </c>
      <c r="E516">
        <v>4</v>
      </c>
      <c r="F516">
        <v>3.6</v>
      </c>
      <c r="G516">
        <v>21</v>
      </c>
      <c r="H516">
        <v>12</v>
      </c>
      <c r="I516">
        <v>4</v>
      </c>
      <c r="J516">
        <v>5</v>
      </c>
      <c r="K516" t="s">
        <v>14</v>
      </c>
      <c r="L516" t="str">
        <f t="shared" si="8"/>
        <v>Low</v>
      </c>
    </row>
    <row r="517" spans="1:12" ht="15" customHeight="1" x14ac:dyDescent="0.25">
      <c r="A517" t="s">
        <v>535</v>
      </c>
      <c r="B517" t="s">
        <v>39</v>
      </c>
      <c r="C517">
        <v>28</v>
      </c>
      <c r="D517" s="19">
        <v>26810</v>
      </c>
      <c r="E517">
        <v>6</v>
      </c>
      <c r="F517">
        <v>3.7</v>
      </c>
      <c r="G517">
        <v>23</v>
      </c>
      <c r="H517">
        <v>13</v>
      </c>
      <c r="I517">
        <v>0</v>
      </c>
      <c r="J517">
        <v>2.6</v>
      </c>
      <c r="K517" t="s">
        <v>14</v>
      </c>
      <c r="L517" t="str">
        <f t="shared" si="8"/>
        <v>Medium</v>
      </c>
    </row>
    <row r="518" spans="1:12" ht="15" customHeight="1" x14ac:dyDescent="0.25">
      <c r="A518" t="s">
        <v>536</v>
      </c>
      <c r="B518" t="s">
        <v>39</v>
      </c>
      <c r="C518">
        <v>52</v>
      </c>
      <c r="D518" s="19">
        <v>25680</v>
      </c>
      <c r="E518">
        <v>7</v>
      </c>
      <c r="F518">
        <v>3.3</v>
      </c>
      <c r="G518">
        <v>22</v>
      </c>
      <c r="H518">
        <v>30</v>
      </c>
      <c r="I518">
        <v>3</v>
      </c>
      <c r="J518">
        <v>1.8</v>
      </c>
      <c r="K518" t="s">
        <v>26</v>
      </c>
      <c r="L518" t="str">
        <f t="shared" si="8"/>
        <v>High</v>
      </c>
    </row>
    <row r="519" spans="1:12" ht="15" customHeight="1" x14ac:dyDescent="0.25">
      <c r="A519" t="s">
        <v>537</v>
      </c>
      <c r="B519" t="s">
        <v>31</v>
      </c>
      <c r="C519">
        <v>21</v>
      </c>
      <c r="D519" s="19">
        <v>20399</v>
      </c>
      <c r="E519">
        <v>13</v>
      </c>
      <c r="F519">
        <v>3.9</v>
      </c>
      <c r="G519">
        <v>5</v>
      </c>
      <c r="H519">
        <v>11</v>
      </c>
      <c r="I519">
        <v>2</v>
      </c>
      <c r="J519">
        <v>3.1</v>
      </c>
      <c r="K519" t="s">
        <v>14</v>
      </c>
      <c r="L519" t="str">
        <f t="shared" si="8"/>
        <v>Low</v>
      </c>
    </row>
    <row r="520" spans="1:12" ht="15" customHeight="1" x14ac:dyDescent="0.25">
      <c r="A520" t="s">
        <v>538</v>
      </c>
      <c r="B520" t="s">
        <v>13</v>
      </c>
      <c r="C520">
        <v>23</v>
      </c>
      <c r="D520" s="19">
        <v>20222</v>
      </c>
      <c r="E520">
        <v>2</v>
      </c>
      <c r="F520">
        <v>2.4</v>
      </c>
      <c r="G520">
        <v>26</v>
      </c>
      <c r="H520">
        <v>28</v>
      </c>
      <c r="I520">
        <v>2</v>
      </c>
      <c r="J520">
        <v>3.3</v>
      </c>
      <c r="K520" t="s">
        <v>14</v>
      </c>
      <c r="L520" t="str">
        <f t="shared" si="8"/>
        <v>Medium</v>
      </c>
    </row>
    <row r="521" spans="1:12" ht="15" customHeight="1" x14ac:dyDescent="0.25">
      <c r="A521" t="s">
        <v>539</v>
      </c>
      <c r="B521" t="s">
        <v>18</v>
      </c>
      <c r="C521">
        <v>22</v>
      </c>
      <c r="D521" s="19">
        <v>15854</v>
      </c>
      <c r="E521">
        <v>8</v>
      </c>
      <c r="F521">
        <v>3.4</v>
      </c>
      <c r="G521">
        <v>10</v>
      </c>
      <c r="H521">
        <v>13</v>
      </c>
      <c r="I521">
        <v>8</v>
      </c>
      <c r="J521">
        <v>4.0999999999999996</v>
      </c>
      <c r="K521" t="s">
        <v>14</v>
      </c>
      <c r="L521" t="str">
        <f t="shared" si="8"/>
        <v>Low</v>
      </c>
    </row>
    <row r="522" spans="1:12" ht="15" customHeight="1" x14ac:dyDescent="0.25">
      <c r="A522" t="s">
        <v>540</v>
      </c>
      <c r="B522" t="s">
        <v>39</v>
      </c>
      <c r="C522">
        <v>25</v>
      </c>
      <c r="D522" s="19">
        <v>25094</v>
      </c>
      <c r="E522">
        <v>3</v>
      </c>
      <c r="F522">
        <v>5</v>
      </c>
      <c r="G522">
        <v>13</v>
      </c>
      <c r="H522">
        <v>17</v>
      </c>
      <c r="I522">
        <v>3</v>
      </c>
      <c r="J522">
        <v>2.4</v>
      </c>
      <c r="K522" t="s">
        <v>14</v>
      </c>
      <c r="L522" t="str">
        <f t="shared" si="8"/>
        <v>Medium</v>
      </c>
    </row>
    <row r="523" spans="1:12" ht="15" customHeight="1" x14ac:dyDescent="0.25">
      <c r="A523" t="s">
        <v>541</v>
      </c>
      <c r="B523" t="s">
        <v>31</v>
      </c>
      <c r="C523">
        <v>56</v>
      </c>
      <c r="D523" s="19">
        <v>21409</v>
      </c>
      <c r="E523">
        <v>13</v>
      </c>
      <c r="F523">
        <v>3.2</v>
      </c>
      <c r="G523">
        <v>17</v>
      </c>
      <c r="H523">
        <v>11</v>
      </c>
      <c r="I523">
        <v>7</v>
      </c>
      <c r="J523">
        <v>3.7</v>
      </c>
      <c r="K523" t="s">
        <v>14</v>
      </c>
      <c r="L523" t="str">
        <f t="shared" si="8"/>
        <v>Low</v>
      </c>
    </row>
    <row r="524" spans="1:12" ht="15" customHeight="1" x14ac:dyDescent="0.25">
      <c r="A524" t="s">
        <v>542</v>
      </c>
      <c r="B524" t="s">
        <v>16</v>
      </c>
      <c r="C524">
        <v>30</v>
      </c>
      <c r="D524" s="19">
        <v>19458</v>
      </c>
      <c r="E524">
        <v>6</v>
      </c>
      <c r="F524">
        <v>3.6</v>
      </c>
      <c r="G524">
        <v>38</v>
      </c>
      <c r="H524">
        <v>3</v>
      </c>
      <c r="I524">
        <v>8</v>
      </c>
      <c r="J524">
        <v>4.0999999999999996</v>
      </c>
      <c r="K524" t="s">
        <v>14</v>
      </c>
      <c r="L524" t="str">
        <f t="shared" si="8"/>
        <v>Low</v>
      </c>
    </row>
    <row r="525" spans="1:12" ht="15" customHeight="1" x14ac:dyDescent="0.25">
      <c r="A525" t="s">
        <v>543</v>
      </c>
      <c r="B525" t="s">
        <v>18</v>
      </c>
      <c r="C525">
        <v>45</v>
      </c>
      <c r="D525" s="19">
        <v>21048</v>
      </c>
      <c r="E525">
        <v>12</v>
      </c>
      <c r="F525">
        <v>3.6</v>
      </c>
      <c r="G525">
        <v>32</v>
      </c>
      <c r="H525">
        <v>10</v>
      </c>
      <c r="I525">
        <v>15</v>
      </c>
      <c r="J525">
        <v>4.0999999999999996</v>
      </c>
      <c r="K525" t="s">
        <v>14</v>
      </c>
      <c r="L525" t="str">
        <f t="shared" si="8"/>
        <v>Low</v>
      </c>
    </row>
    <row r="526" spans="1:12" ht="15" customHeight="1" x14ac:dyDescent="0.25">
      <c r="A526" t="s">
        <v>544</v>
      </c>
      <c r="B526" t="s">
        <v>18</v>
      </c>
      <c r="C526">
        <v>59</v>
      </c>
      <c r="D526" s="19">
        <v>24984</v>
      </c>
      <c r="E526">
        <v>4</v>
      </c>
      <c r="F526">
        <v>4.0999999999999996</v>
      </c>
      <c r="G526">
        <v>30</v>
      </c>
      <c r="H526">
        <v>34</v>
      </c>
      <c r="I526">
        <v>8</v>
      </c>
      <c r="J526">
        <v>3.3</v>
      </c>
      <c r="K526" t="s">
        <v>14</v>
      </c>
      <c r="L526" t="str">
        <f t="shared" si="8"/>
        <v>Medium</v>
      </c>
    </row>
    <row r="527" spans="1:12" ht="15" customHeight="1" x14ac:dyDescent="0.25">
      <c r="A527" t="s">
        <v>545</v>
      </c>
      <c r="B527" t="s">
        <v>39</v>
      </c>
      <c r="C527">
        <v>41</v>
      </c>
      <c r="D527" s="19">
        <v>18987</v>
      </c>
      <c r="E527">
        <v>10</v>
      </c>
      <c r="F527">
        <v>3.3</v>
      </c>
      <c r="G527">
        <v>40</v>
      </c>
      <c r="H527">
        <v>0</v>
      </c>
      <c r="I527">
        <v>10</v>
      </c>
      <c r="J527">
        <v>3.6</v>
      </c>
      <c r="K527" t="s">
        <v>14</v>
      </c>
      <c r="L527" t="str">
        <f t="shared" si="8"/>
        <v>Low</v>
      </c>
    </row>
    <row r="528" spans="1:12" ht="15" customHeight="1" x14ac:dyDescent="0.25">
      <c r="A528" t="s">
        <v>546</v>
      </c>
      <c r="B528" t="s">
        <v>18</v>
      </c>
      <c r="C528">
        <v>33</v>
      </c>
      <c r="D528" s="19">
        <v>15134</v>
      </c>
      <c r="E528">
        <v>3</v>
      </c>
      <c r="F528">
        <v>3.8</v>
      </c>
      <c r="G528">
        <v>40</v>
      </c>
      <c r="H528">
        <v>2</v>
      </c>
      <c r="I528">
        <v>13</v>
      </c>
      <c r="J528">
        <v>3.4</v>
      </c>
      <c r="K528" t="s">
        <v>26</v>
      </c>
      <c r="L528" t="str">
        <f t="shared" si="8"/>
        <v>High</v>
      </c>
    </row>
    <row r="529" spans="1:12" ht="15" customHeight="1" x14ac:dyDescent="0.25">
      <c r="A529" t="s">
        <v>547</v>
      </c>
      <c r="B529" t="s">
        <v>21</v>
      </c>
      <c r="C529">
        <v>52</v>
      </c>
      <c r="D529" s="19">
        <v>13408</v>
      </c>
      <c r="E529">
        <v>10</v>
      </c>
      <c r="F529">
        <v>2.5</v>
      </c>
      <c r="G529">
        <v>49</v>
      </c>
      <c r="H529">
        <v>17</v>
      </c>
      <c r="I529">
        <v>6</v>
      </c>
      <c r="J529">
        <v>1.8</v>
      </c>
      <c r="K529" t="s">
        <v>14</v>
      </c>
      <c r="L529" t="str">
        <f t="shared" si="8"/>
        <v>Medium</v>
      </c>
    </row>
    <row r="530" spans="1:12" ht="15" customHeight="1" x14ac:dyDescent="0.25">
      <c r="A530" t="s">
        <v>548</v>
      </c>
      <c r="B530" t="s">
        <v>18</v>
      </c>
      <c r="C530">
        <v>57</v>
      </c>
      <c r="D530" s="19">
        <v>19478</v>
      </c>
      <c r="E530">
        <v>14</v>
      </c>
      <c r="F530">
        <v>3.4</v>
      </c>
      <c r="G530">
        <v>7</v>
      </c>
      <c r="H530">
        <v>9</v>
      </c>
      <c r="I530">
        <v>9</v>
      </c>
      <c r="J530">
        <v>4.0999999999999996</v>
      </c>
      <c r="K530" t="s">
        <v>14</v>
      </c>
      <c r="L530" t="str">
        <f t="shared" si="8"/>
        <v>Low</v>
      </c>
    </row>
    <row r="531" spans="1:12" ht="15" customHeight="1" x14ac:dyDescent="0.25">
      <c r="A531" t="s">
        <v>549</v>
      </c>
      <c r="B531" t="s">
        <v>13</v>
      </c>
      <c r="C531">
        <v>32</v>
      </c>
      <c r="D531" s="19">
        <v>22725</v>
      </c>
      <c r="E531">
        <v>4</v>
      </c>
      <c r="F531">
        <v>2.2000000000000002</v>
      </c>
      <c r="G531">
        <v>25</v>
      </c>
      <c r="H531">
        <v>11</v>
      </c>
      <c r="I531">
        <v>7</v>
      </c>
      <c r="J531">
        <v>4.5999999999999996</v>
      </c>
      <c r="K531" t="s">
        <v>14</v>
      </c>
      <c r="L531" t="str">
        <f t="shared" si="8"/>
        <v>Low</v>
      </c>
    </row>
    <row r="532" spans="1:12" ht="15" customHeight="1" x14ac:dyDescent="0.25">
      <c r="A532" t="s">
        <v>550</v>
      </c>
      <c r="B532" t="s">
        <v>13</v>
      </c>
      <c r="C532">
        <v>22</v>
      </c>
      <c r="D532" s="19">
        <v>27997</v>
      </c>
      <c r="E532">
        <v>5</v>
      </c>
      <c r="F532">
        <v>3.3</v>
      </c>
      <c r="G532">
        <v>47</v>
      </c>
      <c r="H532">
        <v>11</v>
      </c>
      <c r="I532">
        <v>7</v>
      </c>
      <c r="J532">
        <v>2.2999999999999998</v>
      </c>
      <c r="K532" t="s">
        <v>14</v>
      </c>
      <c r="L532" t="str">
        <f t="shared" si="8"/>
        <v>Medium</v>
      </c>
    </row>
    <row r="533" spans="1:12" ht="15" customHeight="1" x14ac:dyDescent="0.25">
      <c r="A533" t="s">
        <v>551</v>
      </c>
      <c r="B533" t="s">
        <v>13</v>
      </c>
      <c r="C533">
        <v>29</v>
      </c>
      <c r="D533" s="19">
        <v>31401</v>
      </c>
      <c r="E533">
        <v>9</v>
      </c>
      <c r="F533">
        <v>3.9</v>
      </c>
      <c r="G533">
        <v>50</v>
      </c>
      <c r="H533">
        <v>35</v>
      </c>
      <c r="I533">
        <v>17</v>
      </c>
      <c r="J533">
        <v>3.8</v>
      </c>
      <c r="K533" t="s">
        <v>26</v>
      </c>
      <c r="L533" t="str">
        <f t="shared" si="8"/>
        <v>High</v>
      </c>
    </row>
    <row r="534" spans="1:12" ht="15" customHeight="1" x14ac:dyDescent="0.25">
      <c r="A534" t="s">
        <v>552</v>
      </c>
      <c r="B534" t="s">
        <v>16</v>
      </c>
      <c r="C534">
        <v>43</v>
      </c>
      <c r="D534" s="19">
        <v>22668</v>
      </c>
      <c r="E534">
        <v>3</v>
      </c>
      <c r="F534">
        <v>4.3</v>
      </c>
      <c r="G534">
        <v>24</v>
      </c>
      <c r="H534">
        <v>34</v>
      </c>
      <c r="I534">
        <v>10</v>
      </c>
      <c r="J534">
        <v>1.9</v>
      </c>
      <c r="K534" t="s">
        <v>26</v>
      </c>
      <c r="L534" t="str">
        <f t="shared" si="8"/>
        <v>High</v>
      </c>
    </row>
    <row r="535" spans="1:12" ht="15" customHeight="1" x14ac:dyDescent="0.25">
      <c r="A535" t="s">
        <v>553</v>
      </c>
      <c r="B535" t="s">
        <v>21</v>
      </c>
      <c r="C535">
        <v>55</v>
      </c>
      <c r="D535" s="19">
        <v>25001</v>
      </c>
      <c r="E535">
        <v>13</v>
      </c>
      <c r="F535">
        <v>2.6</v>
      </c>
      <c r="G535">
        <v>20</v>
      </c>
      <c r="H535">
        <v>30</v>
      </c>
      <c r="I535">
        <v>0</v>
      </c>
      <c r="J535">
        <v>2.9</v>
      </c>
      <c r="K535" t="s">
        <v>14</v>
      </c>
      <c r="L535" t="str">
        <f t="shared" si="8"/>
        <v>Medium</v>
      </c>
    </row>
    <row r="536" spans="1:12" ht="15" customHeight="1" x14ac:dyDescent="0.25">
      <c r="A536" t="s">
        <v>554</v>
      </c>
      <c r="B536" t="s">
        <v>39</v>
      </c>
      <c r="C536">
        <v>47</v>
      </c>
      <c r="D536" s="19">
        <v>15963</v>
      </c>
      <c r="E536">
        <v>8</v>
      </c>
      <c r="F536">
        <v>3.2</v>
      </c>
      <c r="G536">
        <v>36</v>
      </c>
      <c r="H536">
        <v>14</v>
      </c>
      <c r="I536">
        <v>9</v>
      </c>
      <c r="J536">
        <v>2.2000000000000002</v>
      </c>
      <c r="K536" t="s">
        <v>14</v>
      </c>
      <c r="L536" t="str">
        <f t="shared" si="8"/>
        <v>Medium</v>
      </c>
    </row>
    <row r="537" spans="1:12" ht="15" customHeight="1" x14ac:dyDescent="0.25">
      <c r="A537" t="s">
        <v>555</v>
      </c>
      <c r="B537" t="s">
        <v>39</v>
      </c>
      <c r="C537">
        <v>28</v>
      </c>
      <c r="D537" s="19">
        <v>28866</v>
      </c>
      <c r="E537">
        <v>4</v>
      </c>
      <c r="F537">
        <v>3.8</v>
      </c>
      <c r="G537">
        <v>9</v>
      </c>
      <c r="H537">
        <v>27</v>
      </c>
      <c r="I537">
        <v>6</v>
      </c>
      <c r="J537">
        <v>3.7</v>
      </c>
      <c r="K537" t="s">
        <v>14</v>
      </c>
      <c r="L537" t="str">
        <f t="shared" si="8"/>
        <v>Medium</v>
      </c>
    </row>
    <row r="538" spans="1:12" ht="15" customHeight="1" x14ac:dyDescent="0.25">
      <c r="A538" t="s">
        <v>556</v>
      </c>
      <c r="B538" t="s">
        <v>31</v>
      </c>
      <c r="C538">
        <v>54</v>
      </c>
      <c r="D538" s="19">
        <v>17341</v>
      </c>
      <c r="E538">
        <v>7</v>
      </c>
      <c r="F538">
        <v>3.3</v>
      </c>
      <c r="G538">
        <v>31</v>
      </c>
      <c r="H538">
        <v>17</v>
      </c>
      <c r="I538">
        <v>9</v>
      </c>
      <c r="J538">
        <v>1.3</v>
      </c>
      <c r="K538" t="s">
        <v>14</v>
      </c>
      <c r="L538" t="str">
        <f t="shared" si="8"/>
        <v>Medium</v>
      </c>
    </row>
    <row r="539" spans="1:12" ht="15" customHeight="1" x14ac:dyDescent="0.25">
      <c r="A539" t="s">
        <v>557</v>
      </c>
      <c r="B539" t="s">
        <v>18</v>
      </c>
      <c r="C539">
        <v>35</v>
      </c>
      <c r="D539" s="19">
        <v>31294</v>
      </c>
      <c r="E539">
        <v>4</v>
      </c>
      <c r="F539">
        <v>4</v>
      </c>
      <c r="G539">
        <v>49</v>
      </c>
      <c r="H539">
        <v>0</v>
      </c>
      <c r="I539">
        <v>13</v>
      </c>
      <c r="J539">
        <v>5</v>
      </c>
      <c r="K539" t="s">
        <v>14</v>
      </c>
      <c r="L539" t="str">
        <f t="shared" si="8"/>
        <v>Low</v>
      </c>
    </row>
    <row r="540" spans="1:12" ht="15" customHeight="1" x14ac:dyDescent="0.25">
      <c r="A540" t="s">
        <v>558</v>
      </c>
      <c r="B540" t="s">
        <v>31</v>
      </c>
      <c r="C540">
        <v>52</v>
      </c>
      <c r="D540" s="19">
        <v>12024</v>
      </c>
      <c r="E540">
        <v>6</v>
      </c>
      <c r="F540">
        <v>3.4</v>
      </c>
      <c r="G540">
        <v>5</v>
      </c>
      <c r="H540">
        <v>1</v>
      </c>
      <c r="I540">
        <v>6</v>
      </c>
      <c r="J540">
        <v>2.6</v>
      </c>
      <c r="K540" t="s">
        <v>14</v>
      </c>
      <c r="L540" t="str">
        <f t="shared" si="8"/>
        <v>Medium</v>
      </c>
    </row>
    <row r="541" spans="1:12" ht="15" customHeight="1" x14ac:dyDescent="0.25">
      <c r="A541" t="s">
        <v>559</v>
      </c>
      <c r="B541" t="s">
        <v>31</v>
      </c>
      <c r="C541">
        <v>46</v>
      </c>
      <c r="D541" s="19">
        <v>12055</v>
      </c>
      <c r="E541">
        <v>2</v>
      </c>
      <c r="F541">
        <v>3.2</v>
      </c>
      <c r="G541">
        <v>11</v>
      </c>
      <c r="H541">
        <v>16</v>
      </c>
      <c r="I541">
        <v>11</v>
      </c>
      <c r="J541">
        <v>4.5</v>
      </c>
      <c r="K541" t="s">
        <v>26</v>
      </c>
      <c r="L541" t="str">
        <f t="shared" si="8"/>
        <v>High</v>
      </c>
    </row>
    <row r="542" spans="1:12" ht="15" customHeight="1" x14ac:dyDescent="0.25">
      <c r="A542" t="s">
        <v>560</v>
      </c>
      <c r="B542" t="s">
        <v>18</v>
      </c>
      <c r="C542">
        <v>45</v>
      </c>
      <c r="D542" s="19">
        <v>18989</v>
      </c>
      <c r="E542">
        <v>14</v>
      </c>
      <c r="F542">
        <v>3.3</v>
      </c>
      <c r="G542">
        <v>38</v>
      </c>
      <c r="H542">
        <v>29</v>
      </c>
      <c r="I542">
        <v>1</v>
      </c>
      <c r="J542">
        <v>3.3</v>
      </c>
      <c r="K542" t="s">
        <v>14</v>
      </c>
      <c r="L542" t="str">
        <f t="shared" si="8"/>
        <v>Medium</v>
      </c>
    </row>
    <row r="543" spans="1:12" ht="15" customHeight="1" x14ac:dyDescent="0.25">
      <c r="A543" t="s">
        <v>561</v>
      </c>
      <c r="B543" t="s">
        <v>39</v>
      </c>
      <c r="C543">
        <v>42</v>
      </c>
      <c r="D543" s="19">
        <v>29198</v>
      </c>
      <c r="E543">
        <v>13</v>
      </c>
      <c r="F543">
        <v>2.2999999999999998</v>
      </c>
      <c r="G543">
        <v>34</v>
      </c>
      <c r="H543">
        <v>16</v>
      </c>
      <c r="I543">
        <v>5</v>
      </c>
      <c r="J543">
        <v>3.6</v>
      </c>
      <c r="K543" t="s">
        <v>26</v>
      </c>
      <c r="L543" t="str">
        <f t="shared" si="8"/>
        <v>High</v>
      </c>
    </row>
    <row r="544" spans="1:12" ht="15" customHeight="1" x14ac:dyDescent="0.25">
      <c r="A544" t="s">
        <v>562</v>
      </c>
      <c r="B544" t="s">
        <v>39</v>
      </c>
      <c r="C544">
        <v>58</v>
      </c>
      <c r="D544" s="19">
        <v>22119</v>
      </c>
      <c r="E544">
        <v>3</v>
      </c>
      <c r="F544">
        <v>3.3</v>
      </c>
      <c r="G544">
        <v>32</v>
      </c>
      <c r="H544">
        <v>5</v>
      </c>
      <c r="I544">
        <v>3</v>
      </c>
      <c r="J544">
        <v>4.4000000000000004</v>
      </c>
      <c r="K544" t="s">
        <v>14</v>
      </c>
      <c r="L544" t="str">
        <f t="shared" si="8"/>
        <v>Low</v>
      </c>
    </row>
    <row r="545" spans="1:12" ht="15" customHeight="1" x14ac:dyDescent="0.25">
      <c r="A545" t="s">
        <v>563</v>
      </c>
      <c r="B545" t="s">
        <v>18</v>
      </c>
      <c r="C545">
        <v>59</v>
      </c>
      <c r="D545" s="19">
        <v>26103</v>
      </c>
      <c r="E545">
        <v>9</v>
      </c>
      <c r="F545">
        <v>3</v>
      </c>
      <c r="G545">
        <v>13</v>
      </c>
      <c r="H545">
        <v>1</v>
      </c>
      <c r="I545">
        <v>7</v>
      </c>
      <c r="J545">
        <v>4</v>
      </c>
      <c r="K545" t="s">
        <v>14</v>
      </c>
      <c r="L545" t="str">
        <f t="shared" si="8"/>
        <v>Low</v>
      </c>
    </row>
    <row r="546" spans="1:12" ht="15" customHeight="1" x14ac:dyDescent="0.25">
      <c r="A546" t="s">
        <v>564</v>
      </c>
      <c r="B546" t="s">
        <v>18</v>
      </c>
      <c r="C546">
        <v>25</v>
      </c>
      <c r="D546" s="19">
        <v>25895</v>
      </c>
      <c r="E546">
        <v>13</v>
      </c>
      <c r="F546">
        <v>2.7</v>
      </c>
      <c r="G546">
        <v>28</v>
      </c>
      <c r="H546">
        <v>16</v>
      </c>
      <c r="I546">
        <v>8</v>
      </c>
      <c r="J546">
        <v>3</v>
      </c>
      <c r="K546" t="s">
        <v>14</v>
      </c>
      <c r="L546" t="str">
        <f t="shared" si="8"/>
        <v>Low</v>
      </c>
    </row>
    <row r="547" spans="1:12" ht="15" customHeight="1" x14ac:dyDescent="0.25">
      <c r="A547" t="s">
        <v>565</v>
      </c>
      <c r="B547" t="s">
        <v>21</v>
      </c>
      <c r="C547">
        <v>48</v>
      </c>
      <c r="D547" s="19">
        <v>14564</v>
      </c>
      <c r="E547">
        <v>4</v>
      </c>
      <c r="F547">
        <v>5</v>
      </c>
      <c r="G547">
        <v>21</v>
      </c>
      <c r="H547">
        <v>1</v>
      </c>
      <c r="I547">
        <v>8</v>
      </c>
      <c r="J547">
        <v>2.1</v>
      </c>
      <c r="K547" t="s">
        <v>14</v>
      </c>
      <c r="L547" t="str">
        <f t="shared" si="8"/>
        <v>Medium</v>
      </c>
    </row>
    <row r="548" spans="1:12" ht="15" customHeight="1" x14ac:dyDescent="0.25">
      <c r="A548" t="s">
        <v>566</v>
      </c>
      <c r="B548" t="s">
        <v>18</v>
      </c>
      <c r="C548">
        <v>53</v>
      </c>
      <c r="D548" s="19">
        <v>18987</v>
      </c>
      <c r="E548">
        <v>9</v>
      </c>
      <c r="F548">
        <v>3.8</v>
      </c>
      <c r="G548">
        <v>29</v>
      </c>
      <c r="H548">
        <v>9</v>
      </c>
      <c r="I548">
        <v>6</v>
      </c>
      <c r="J548">
        <v>4.2</v>
      </c>
      <c r="K548" t="s">
        <v>14</v>
      </c>
      <c r="L548" t="str">
        <f t="shared" si="8"/>
        <v>Low</v>
      </c>
    </row>
    <row r="549" spans="1:12" ht="15" customHeight="1" x14ac:dyDescent="0.25">
      <c r="A549" t="s">
        <v>567</v>
      </c>
      <c r="B549" t="s">
        <v>21</v>
      </c>
      <c r="C549">
        <v>37</v>
      </c>
      <c r="D549" s="19">
        <v>16725</v>
      </c>
      <c r="E549">
        <v>6</v>
      </c>
      <c r="F549">
        <v>3.6</v>
      </c>
      <c r="G549">
        <v>30</v>
      </c>
      <c r="H549">
        <v>19</v>
      </c>
      <c r="I549">
        <v>11</v>
      </c>
      <c r="J549">
        <v>5</v>
      </c>
      <c r="K549" t="s">
        <v>14</v>
      </c>
      <c r="L549" t="str">
        <f t="shared" si="8"/>
        <v>Low</v>
      </c>
    </row>
    <row r="550" spans="1:12" ht="15" customHeight="1" x14ac:dyDescent="0.25">
      <c r="A550" t="s">
        <v>568</v>
      </c>
      <c r="B550" t="s">
        <v>21</v>
      </c>
      <c r="C550">
        <v>22</v>
      </c>
      <c r="D550" s="19">
        <v>15612</v>
      </c>
      <c r="E550">
        <v>4</v>
      </c>
      <c r="F550">
        <v>2.7</v>
      </c>
      <c r="G550">
        <v>39</v>
      </c>
      <c r="H550">
        <v>7</v>
      </c>
      <c r="I550">
        <v>5</v>
      </c>
      <c r="J550">
        <v>2.6</v>
      </c>
      <c r="K550" t="s">
        <v>14</v>
      </c>
      <c r="L550" t="str">
        <f t="shared" si="8"/>
        <v>Medium</v>
      </c>
    </row>
    <row r="551" spans="1:12" ht="15" customHeight="1" x14ac:dyDescent="0.25">
      <c r="A551" t="s">
        <v>569</v>
      </c>
      <c r="B551" t="s">
        <v>31</v>
      </c>
      <c r="C551">
        <v>41</v>
      </c>
      <c r="D551" s="19">
        <v>18513</v>
      </c>
      <c r="E551">
        <v>3</v>
      </c>
      <c r="F551">
        <v>1.7</v>
      </c>
      <c r="G551">
        <v>6</v>
      </c>
      <c r="H551">
        <v>3</v>
      </c>
      <c r="I551">
        <v>4</v>
      </c>
      <c r="J551">
        <v>3.5</v>
      </c>
      <c r="K551" t="s">
        <v>14</v>
      </c>
      <c r="L551" t="str">
        <f t="shared" si="8"/>
        <v>Low</v>
      </c>
    </row>
    <row r="552" spans="1:12" ht="15" customHeight="1" x14ac:dyDescent="0.25">
      <c r="A552" t="s">
        <v>570</v>
      </c>
      <c r="B552" t="s">
        <v>21</v>
      </c>
      <c r="C552">
        <v>47</v>
      </c>
      <c r="D552" s="19">
        <v>15093</v>
      </c>
      <c r="E552">
        <v>4</v>
      </c>
      <c r="F552">
        <v>3.2</v>
      </c>
      <c r="G552">
        <v>50</v>
      </c>
      <c r="H552">
        <v>11</v>
      </c>
      <c r="I552">
        <v>6</v>
      </c>
      <c r="J552">
        <v>4</v>
      </c>
      <c r="K552" t="s">
        <v>14</v>
      </c>
      <c r="L552" t="str">
        <f t="shared" si="8"/>
        <v>Low</v>
      </c>
    </row>
    <row r="553" spans="1:12" ht="15" customHeight="1" x14ac:dyDescent="0.25">
      <c r="A553" t="s">
        <v>571</v>
      </c>
      <c r="B553" t="s">
        <v>31</v>
      </c>
      <c r="C553">
        <v>48</v>
      </c>
      <c r="D553" s="19">
        <v>22729</v>
      </c>
      <c r="E553">
        <v>8</v>
      </c>
      <c r="F553">
        <v>5</v>
      </c>
      <c r="G553">
        <v>38</v>
      </c>
      <c r="H553">
        <v>23</v>
      </c>
      <c r="I553">
        <v>13</v>
      </c>
      <c r="J553">
        <v>3.5</v>
      </c>
      <c r="K553" t="s">
        <v>14</v>
      </c>
      <c r="L553" t="str">
        <f t="shared" si="8"/>
        <v>Medium</v>
      </c>
    </row>
    <row r="554" spans="1:12" ht="15" customHeight="1" x14ac:dyDescent="0.25">
      <c r="A554" t="s">
        <v>572</v>
      </c>
      <c r="B554" t="s">
        <v>16</v>
      </c>
      <c r="C554">
        <v>35</v>
      </c>
      <c r="D554" s="19">
        <v>31511</v>
      </c>
      <c r="E554">
        <v>5</v>
      </c>
      <c r="F554">
        <v>5</v>
      </c>
      <c r="G554">
        <v>30</v>
      </c>
      <c r="H554">
        <v>14</v>
      </c>
      <c r="I554">
        <v>0</v>
      </c>
      <c r="J554">
        <v>3.9</v>
      </c>
      <c r="K554" t="s">
        <v>14</v>
      </c>
      <c r="L554" t="str">
        <f t="shared" si="8"/>
        <v>Low</v>
      </c>
    </row>
    <row r="555" spans="1:12" ht="15" customHeight="1" x14ac:dyDescent="0.25">
      <c r="A555" t="s">
        <v>573</v>
      </c>
      <c r="B555" t="s">
        <v>18</v>
      </c>
      <c r="C555">
        <v>27</v>
      </c>
      <c r="D555" s="19">
        <v>16887</v>
      </c>
      <c r="E555">
        <v>6</v>
      </c>
      <c r="F555">
        <v>2.9</v>
      </c>
      <c r="G555">
        <v>50</v>
      </c>
      <c r="H555">
        <v>19</v>
      </c>
      <c r="I555">
        <v>4</v>
      </c>
      <c r="J555">
        <v>3.4</v>
      </c>
      <c r="K555" t="s">
        <v>14</v>
      </c>
      <c r="L555" t="str">
        <f t="shared" si="8"/>
        <v>Low</v>
      </c>
    </row>
    <row r="556" spans="1:12" ht="15" customHeight="1" x14ac:dyDescent="0.25">
      <c r="A556" t="s">
        <v>574</v>
      </c>
      <c r="B556" t="s">
        <v>39</v>
      </c>
      <c r="C556">
        <v>47</v>
      </c>
      <c r="D556" s="19">
        <v>17770</v>
      </c>
      <c r="E556">
        <v>10</v>
      </c>
      <c r="F556">
        <v>3.5</v>
      </c>
      <c r="G556">
        <v>12</v>
      </c>
      <c r="H556">
        <v>29</v>
      </c>
      <c r="I556">
        <v>0</v>
      </c>
      <c r="J556">
        <v>3.1</v>
      </c>
      <c r="K556" t="s">
        <v>14</v>
      </c>
      <c r="L556" t="str">
        <f t="shared" si="8"/>
        <v>Medium</v>
      </c>
    </row>
    <row r="557" spans="1:12" ht="15" customHeight="1" x14ac:dyDescent="0.25">
      <c r="A557" t="s">
        <v>575</v>
      </c>
      <c r="B557" t="s">
        <v>18</v>
      </c>
      <c r="C557">
        <v>53</v>
      </c>
      <c r="D557" s="19">
        <v>26844</v>
      </c>
      <c r="E557">
        <v>4</v>
      </c>
      <c r="F557">
        <v>3</v>
      </c>
      <c r="G557">
        <v>12</v>
      </c>
      <c r="H557">
        <v>17</v>
      </c>
      <c r="I557">
        <v>16</v>
      </c>
      <c r="J557">
        <v>3.2</v>
      </c>
      <c r="K557" t="s">
        <v>14</v>
      </c>
      <c r="L557" t="str">
        <f t="shared" si="8"/>
        <v>Low</v>
      </c>
    </row>
    <row r="558" spans="1:12" ht="15" customHeight="1" x14ac:dyDescent="0.25">
      <c r="A558" t="s">
        <v>576</v>
      </c>
      <c r="B558" t="s">
        <v>21</v>
      </c>
      <c r="C558">
        <v>47</v>
      </c>
      <c r="D558" s="19">
        <v>27028</v>
      </c>
      <c r="E558">
        <v>9</v>
      </c>
      <c r="F558">
        <v>1.9</v>
      </c>
      <c r="G558">
        <v>46</v>
      </c>
      <c r="H558">
        <v>10</v>
      </c>
      <c r="I558">
        <v>7</v>
      </c>
      <c r="J558">
        <v>2.2999999999999998</v>
      </c>
      <c r="K558" t="s">
        <v>14</v>
      </c>
      <c r="L558" t="str">
        <f t="shared" si="8"/>
        <v>Medium</v>
      </c>
    </row>
    <row r="559" spans="1:12" ht="15" customHeight="1" x14ac:dyDescent="0.25">
      <c r="A559" t="s">
        <v>577</v>
      </c>
      <c r="B559" t="s">
        <v>18</v>
      </c>
      <c r="C559">
        <v>47</v>
      </c>
      <c r="D559" s="19">
        <v>17566</v>
      </c>
      <c r="E559">
        <v>9</v>
      </c>
      <c r="F559">
        <v>2.9</v>
      </c>
      <c r="G559">
        <v>13</v>
      </c>
      <c r="H559">
        <v>8</v>
      </c>
      <c r="I559">
        <v>7</v>
      </c>
      <c r="J559">
        <v>5</v>
      </c>
      <c r="K559" t="s">
        <v>14</v>
      </c>
      <c r="L559" t="str">
        <f t="shared" si="8"/>
        <v>Low</v>
      </c>
    </row>
    <row r="560" spans="1:12" ht="15" customHeight="1" x14ac:dyDescent="0.25">
      <c r="A560" t="s">
        <v>578</v>
      </c>
      <c r="B560" t="s">
        <v>16</v>
      </c>
      <c r="C560">
        <v>24</v>
      </c>
      <c r="D560" s="19">
        <v>32738</v>
      </c>
      <c r="E560">
        <v>4</v>
      </c>
      <c r="F560">
        <v>3.8</v>
      </c>
      <c r="G560">
        <v>25</v>
      </c>
      <c r="H560">
        <v>27</v>
      </c>
      <c r="I560">
        <v>5</v>
      </c>
      <c r="J560">
        <v>4.0999999999999996</v>
      </c>
      <c r="K560" t="s">
        <v>14</v>
      </c>
      <c r="L560" t="str">
        <f t="shared" si="8"/>
        <v>Medium</v>
      </c>
    </row>
    <row r="561" spans="1:12" ht="15" customHeight="1" x14ac:dyDescent="0.25">
      <c r="A561" t="s">
        <v>579</v>
      </c>
      <c r="B561" t="s">
        <v>13</v>
      </c>
      <c r="C561">
        <v>43</v>
      </c>
      <c r="D561" s="19">
        <v>36836</v>
      </c>
      <c r="E561">
        <v>8</v>
      </c>
      <c r="F561">
        <v>2.5</v>
      </c>
      <c r="G561">
        <v>22</v>
      </c>
      <c r="H561">
        <v>5</v>
      </c>
      <c r="I561">
        <v>6</v>
      </c>
      <c r="J561">
        <v>3</v>
      </c>
      <c r="K561" t="s">
        <v>14</v>
      </c>
      <c r="L561" t="str">
        <f t="shared" si="8"/>
        <v>Low</v>
      </c>
    </row>
    <row r="562" spans="1:12" ht="15" customHeight="1" x14ac:dyDescent="0.25">
      <c r="A562" t="s">
        <v>580</v>
      </c>
      <c r="B562" t="s">
        <v>21</v>
      </c>
      <c r="C562">
        <v>33</v>
      </c>
      <c r="D562" s="19">
        <v>21703</v>
      </c>
      <c r="E562">
        <v>7</v>
      </c>
      <c r="F562">
        <v>4.5999999999999996</v>
      </c>
      <c r="G562">
        <v>18</v>
      </c>
      <c r="H562">
        <v>19</v>
      </c>
      <c r="I562">
        <v>6</v>
      </c>
      <c r="J562">
        <v>3.6</v>
      </c>
      <c r="K562" t="s">
        <v>14</v>
      </c>
      <c r="L562" t="str">
        <f t="shared" si="8"/>
        <v>Low</v>
      </c>
    </row>
    <row r="563" spans="1:12" ht="15" customHeight="1" x14ac:dyDescent="0.25">
      <c r="A563" t="s">
        <v>581</v>
      </c>
      <c r="B563" t="s">
        <v>39</v>
      </c>
      <c r="C563">
        <v>53</v>
      </c>
      <c r="D563" s="19">
        <v>23467</v>
      </c>
      <c r="E563">
        <v>13</v>
      </c>
      <c r="F563">
        <v>4.5999999999999996</v>
      </c>
      <c r="G563">
        <v>38</v>
      </c>
      <c r="H563">
        <v>1</v>
      </c>
      <c r="I563">
        <v>10</v>
      </c>
      <c r="J563">
        <v>3.4</v>
      </c>
      <c r="K563" t="s">
        <v>14</v>
      </c>
      <c r="L563" t="str">
        <f t="shared" si="8"/>
        <v>Low</v>
      </c>
    </row>
    <row r="564" spans="1:12" ht="15" customHeight="1" x14ac:dyDescent="0.25">
      <c r="A564" t="s">
        <v>582</v>
      </c>
      <c r="B564" t="s">
        <v>18</v>
      </c>
      <c r="C564">
        <v>43</v>
      </c>
      <c r="D564" s="19">
        <v>17222</v>
      </c>
      <c r="E564">
        <v>11</v>
      </c>
      <c r="F564">
        <v>3</v>
      </c>
      <c r="G564">
        <v>21</v>
      </c>
      <c r="H564">
        <v>5</v>
      </c>
      <c r="I564">
        <v>11</v>
      </c>
      <c r="J564">
        <v>3.6</v>
      </c>
      <c r="K564" t="s">
        <v>14</v>
      </c>
      <c r="L564" t="str">
        <f t="shared" si="8"/>
        <v>Low</v>
      </c>
    </row>
    <row r="565" spans="1:12" ht="15" customHeight="1" x14ac:dyDescent="0.25">
      <c r="A565" t="s">
        <v>583</v>
      </c>
      <c r="B565" t="s">
        <v>18</v>
      </c>
      <c r="C565">
        <v>46</v>
      </c>
      <c r="D565" s="19">
        <v>15669</v>
      </c>
      <c r="E565">
        <v>15</v>
      </c>
      <c r="F565">
        <v>2.9</v>
      </c>
      <c r="G565">
        <v>13</v>
      </c>
      <c r="H565">
        <v>6</v>
      </c>
      <c r="I565">
        <v>5</v>
      </c>
      <c r="J565">
        <v>2.1</v>
      </c>
      <c r="K565" t="s">
        <v>14</v>
      </c>
      <c r="L565" t="str">
        <f t="shared" si="8"/>
        <v>Medium</v>
      </c>
    </row>
    <row r="566" spans="1:12" ht="15" customHeight="1" x14ac:dyDescent="0.25">
      <c r="A566" t="s">
        <v>584</v>
      </c>
      <c r="B566" t="s">
        <v>18</v>
      </c>
      <c r="C566">
        <v>24</v>
      </c>
      <c r="D566" s="19">
        <v>20639</v>
      </c>
      <c r="E566">
        <v>14</v>
      </c>
      <c r="F566">
        <v>2.4</v>
      </c>
      <c r="G566">
        <v>42</v>
      </c>
      <c r="H566">
        <v>3</v>
      </c>
      <c r="I566">
        <v>4</v>
      </c>
      <c r="J566">
        <v>4.8</v>
      </c>
      <c r="K566" t="s">
        <v>26</v>
      </c>
      <c r="L566" t="str">
        <f t="shared" si="8"/>
        <v>High</v>
      </c>
    </row>
    <row r="567" spans="1:12" ht="15" customHeight="1" x14ac:dyDescent="0.25">
      <c r="A567" t="s">
        <v>585</v>
      </c>
      <c r="B567" t="s">
        <v>18</v>
      </c>
      <c r="C567">
        <v>34</v>
      </c>
      <c r="D567" s="19">
        <v>23758</v>
      </c>
      <c r="E567">
        <v>15</v>
      </c>
      <c r="F567">
        <v>4.0999999999999996</v>
      </c>
      <c r="G567">
        <v>10</v>
      </c>
      <c r="H567">
        <v>29</v>
      </c>
      <c r="I567">
        <v>6</v>
      </c>
      <c r="J567">
        <v>2.2999999999999998</v>
      </c>
      <c r="K567" t="s">
        <v>26</v>
      </c>
      <c r="L567" t="str">
        <f t="shared" si="8"/>
        <v>High</v>
      </c>
    </row>
    <row r="568" spans="1:12" ht="15" customHeight="1" x14ac:dyDescent="0.25">
      <c r="A568" t="s">
        <v>586</v>
      </c>
      <c r="B568" t="s">
        <v>31</v>
      </c>
      <c r="C568">
        <v>27</v>
      </c>
      <c r="D568" s="19">
        <v>22106</v>
      </c>
      <c r="E568">
        <v>1</v>
      </c>
      <c r="F568">
        <v>3.3</v>
      </c>
      <c r="G568">
        <v>41</v>
      </c>
      <c r="H568">
        <v>18</v>
      </c>
      <c r="I568">
        <v>3</v>
      </c>
      <c r="J568">
        <v>4.0999999999999996</v>
      </c>
      <c r="K568" t="s">
        <v>14</v>
      </c>
      <c r="L568" t="str">
        <f t="shared" si="8"/>
        <v>Medium</v>
      </c>
    </row>
    <row r="569" spans="1:12" ht="15" customHeight="1" x14ac:dyDescent="0.25">
      <c r="A569" t="s">
        <v>587</v>
      </c>
      <c r="B569" t="s">
        <v>16</v>
      </c>
      <c r="C569">
        <v>44</v>
      </c>
      <c r="D569" s="19">
        <v>22947</v>
      </c>
      <c r="E569">
        <v>10</v>
      </c>
      <c r="F569">
        <v>2.5</v>
      </c>
      <c r="G569">
        <v>18</v>
      </c>
      <c r="H569">
        <v>21</v>
      </c>
      <c r="I569">
        <v>0</v>
      </c>
      <c r="J569">
        <v>3.1</v>
      </c>
      <c r="K569" t="s">
        <v>26</v>
      </c>
      <c r="L569" t="str">
        <f t="shared" si="8"/>
        <v>High</v>
      </c>
    </row>
    <row r="570" spans="1:12" ht="15" customHeight="1" x14ac:dyDescent="0.25">
      <c r="A570" t="s">
        <v>588</v>
      </c>
      <c r="B570" t="s">
        <v>13</v>
      </c>
      <c r="C570">
        <v>56</v>
      </c>
      <c r="D570" s="19">
        <v>40151</v>
      </c>
      <c r="E570">
        <v>15</v>
      </c>
      <c r="F570">
        <v>4</v>
      </c>
      <c r="G570">
        <v>7</v>
      </c>
      <c r="H570">
        <v>14</v>
      </c>
      <c r="I570">
        <v>9</v>
      </c>
      <c r="J570">
        <v>1.3</v>
      </c>
      <c r="K570" t="s">
        <v>26</v>
      </c>
      <c r="L570" t="str">
        <f t="shared" si="8"/>
        <v>High</v>
      </c>
    </row>
    <row r="571" spans="1:12" ht="15" customHeight="1" x14ac:dyDescent="0.25">
      <c r="A571" t="s">
        <v>589</v>
      </c>
      <c r="B571" t="s">
        <v>18</v>
      </c>
      <c r="C571">
        <v>56</v>
      </c>
      <c r="D571" s="19">
        <v>30776</v>
      </c>
      <c r="E571">
        <v>6</v>
      </c>
      <c r="F571">
        <v>3.8</v>
      </c>
      <c r="G571">
        <v>47</v>
      </c>
      <c r="H571">
        <v>24</v>
      </c>
      <c r="I571">
        <v>6</v>
      </c>
      <c r="J571">
        <v>4.4000000000000004</v>
      </c>
      <c r="K571" t="s">
        <v>26</v>
      </c>
      <c r="L571" t="str">
        <f t="shared" si="8"/>
        <v>High</v>
      </c>
    </row>
    <row r="572" spans="1:12" ht="15" customHeight="1" x14ac:dyDescent="0.25">
      <c r="A572" t="s">
        <v>590</v>
      </c>
      <c r="B572" t="s">
        <v>13</v>
      </c>
      <c r="C572">
        <v>52</v>
      </c>
      <c r="D572" s="19">
        <v>25428</v>
      </c>
      <c r="E572">
        <v>3</v>
      </c>
      <c r="F572">
        <v>3.5</v>
      </c>
      <c r="G572">
        <v>22</v>
      </c>
      <c r="H572">
        <v>35</v>
      </c>
      <c r="I572">
        <v>6</v>
      </c>
      <c r="J572">
        <v>4.8</v>
      </c>
      <c r="K572" t="s">
        <v>14</v>
      </c>
      <c r="L572" t="str">
        <f t="shared" si="8"/>
        <v>Medium</v>
      </c>
    </row>
    <row r="573" spans="1:12" ht="15" customHeight="1" x14ac:dyDescent="0.25">
      <c r="A573" t="s">
        <v>591</v>
      </c>
      <c r="B573" t="s">
        <v>16</v>
      </c>
      <c r="C573">
        <v>50</v>
      </c>
      <c r="D573" s="19">
        <v>19482</v>
      </c>
      <c r="E573">
        <v>9</v>
      </c>
      <c r="F573">
        <v>3.5</v>
      </c>
      <c r="G573">
        <v>16</v>
      </c>
      <c r="H573">
        <v>8</v>
      </c>
      <c r="I573">
        <v>7</v>
      </c>
      <c r="J573">
        <v>4.3</v>
      </c>
      <c r="K573" t="s">
        <v>14</v>
      </c>
      <c r="L573" t="str">
        <f t="shared" si="8"/>
        <v>Low</v>
      </c>
    </row>
    <row r="574" spans="1:12" ht="15" customHeight="1" x14ac:dyDescent="0.25">
      <c r="A574" t="s">
        <v>592</v>
      </c>
      <c r="B574" t="s">
        <v>18</v>
      </c>
      <c r="C574">
        <v>46</v>
      </c>
      <c r="D574" s="19">
        <v>15246</v>
      </c>
      <c r="E574">
        <v>8</v>
      </c>
      <c r="F574">
        <v>2.7</v>
      </c>
      <c r="G574">
        <v>28</v>
      </c>
      <c r="H574">
        <v>28</v>
      </c>
      <c r="I574">
        <v>9</v>
      </c>
      <c r="J574">
        <v>3.1</v>
      </c>
      <c r="K574" t="s">
        <v>14</v>
      </c>
      <c r="L574" t="str">
        <f t="shared" si="8"/>
        <v>Medium</v>
      </c>
    </row>
    <row r="575" spans="1:12" ht="15" customHeight="1" x14ac:dyDescent="0.25">
      <c r="A575" t="s">
        <v>593</v>
      </c>
      <c r="B575" t="s">
        <v>31</v>
      </c>
      <c r="C575">
        <v>28</v>
      </c>
      <c r="D575" s="19">
        <v>14327</v>
      </c>
      <c r="E575">
        <v>2</v>
      </c>
      <c r="F575">
        <v>2.7</v>
      </c>
      <c r="G575">
        <v>24</v>
      </c>
      <c r="H575">
        <v>3</v>
      </c>
      <c r="I575">
        <v>5</v>
      </c>
      <c r="J575">
        <v>1.7</v>
      </c>
      <c r="K575" t="s">
        <v>14</v>
      </c>
      <c r="L575" t="str">
        <f t="shared" si="8"/>
        <v>Medium</v>
      </c>
    </row>
    <row r="576" spans="1:12" ht="15" customHeight="1" x14ac:dyDescent="0.25">
      <c r="A576" t="s">
        <v>594</v>
      </c>
      <c r="B576" t="s">
        <v>13</v>
      </c>
      <c r="C576">
        <v>45</v>
      </c>
      <c r="D576" s="19">
        <v>18144</v>
      </c>
      <c r="E576">
        <v>11</v>
      </c>
      <c r="F576">
        <v>5</v>
      </c>
      <c r="G576">
        <v>45</v>
      </c>
      <c r="H576">
        <v>33</v>
      </c>
      <c r="I576">
        <v>9</v>
      </c>
      <c r="J576">
        <v>3.6</v>
      </c>
      <c r="K576" t="s">
        <v>14</v>
      </c>
      <c r="L576" t="str">
        <f t="shared" si="8"/>
        <v>Medium</v>
      </c>
    </row>
    <row r="577" spans="1:12" ht="15" customHeight="1" x14ac:dyDescent="0.25">
      <c r="A577" t="s">
        <v>595</v>
      </c>
      <c r="B577" t="s">
        <v>13</v>
      </c>
      <c r="C577">
        <v>28</v>
      </c>
      <c r="D577" s="19">
        <v>25278</v>
      </c>
      <c r="E577">
        <v>9</v>
      </c>
      <c r="F577">
        <v>1.7</v>
      </c>
      <c r="G577">
        <v>36</v>
      </c>
      <c r="H577">
        <v>4</v>
      </c>
      <c r="I577">
        <v>6</v>
      </c>
      <c r="J577">
        <v>3.5</v>
      </c>
      <c r="K577" t="s">
        <v>14</v>
      </c>
      <c r="L577" t="str">
        <f t="shared" si="8"/>
        <v>Low</v>
      </c>
    </row>
    <row r="578" spans="1:12" ht="15" customHeight="1" x14ac:dyDescent="0.25">
      <c r="A578" t="s">
        <v>596</v>
      </c>
      <c r="B578" t="s">
        <v>31</v>
      </c>
      <c r="C578">
        <v>48</v>
      </c>
      <c r="D578" s="19">
        <v>12767</v>
      </c>
      <c r="E578">
        <v>4</v>
      </c>
      <c r="F578">
        <v>4.8</v>
      </c>
      <c r="G578">
        <v>28</v>
      </c>
      <c r="H578">
        <v>30</v>
      </c>
      <c r="I578">
        <v>11</v>
      </c>
      <c r="J578">
        <v>3.1</v>
      </c>
      <c r="K578" t="s">
        <v>14</v>
      </c>
      <c r="L578" t="str">
        <f t="shared" ref="L578:L641" si="9">IF(K578="Yes","High",IF(OR(J578&lt;3,H578&gt;20,E578&lt;2),"Medium","Low"))</f>
        <v>Medium</v>
      </c>
    </row>
    <row r="579" spans="1:12" ht="15" customHeight="1" x14ac:dyDescent="0.25">
      <c r="A579" t="s">
        <v>597</v>
      </c>
      <c r="B579" t="s">
        <v>21</v>
      </c>
      <c r="C579">
        <v>39</v>
      </c>
      <c r="D579" s="19">
        <v>16786</v>
      </c>
      <c r="E579">
        <v>10</v>
      </c>
      <c r="F579">
        <v>2.1</v>
      </c>
      <c r="G579">
        <v>18</v>
      </c>
      <c r="H579">
        <v>19</v>
      </c>
      <c r="I579">
        <v>4</v>
      </c>
      <c r="J579">
        <v>3.3</v>
      </c>
      <c r="K579" t="s">
        <v>14</v>
      </c>
      <c r="L579" t="str">
        <f t="shared" si="9"/>
        <v>Low</v>
      </c>
    </row>
    <row r="580" spans="1:12" ht="15" customHeight="1" x14ac:dyDescent="0.25">
      <c r="A580" t="s">
        <v>598</v>
      </c>
      <c r="B580" t="s">
        <v>18</v>
      </c>
      <c r="C580">
        <v>38</v>
      </c>
      <c r="D580" s="19">
        <v>30340</v>
      </c>
      <c r="E580">
        <v>13</v>
      </c>
      <c r="F580">
        <v>3.7</v>
      </c>
      <c r="G580">
        <v>34</v>
      </c>
      <c r="H580">
        <v>15</v>
      </c>
      <c r="I580">
        <v>4</v>
      </c>
      <c r="J580">
        <v>2.6</v>
      </c>
      <c r="K580" t="s">
        <v>14</v>
      </c>
      <c r="L580" t="str">
        <f t="shared" si="9"/>
        <v>Medium</v>
      </c>
    </row>
    <row r="581" spans="1:12" ht="15" customHeight="1" x14ac:dyDescent="0.25">
      <c r="A581" t="s">
        <v>599</v>
      </c>
      <c r="B581" t="s">
        <v>18</v>
      </c>
      <c r="C581">
        <v>29</v>
      </c>
      <c r="D581" s="19">
        <v>31891</v>
      </c>
      <c r="E581">
        <v>3</v>
      </c>
      <c r="F581">
        <v>3.2</v>
      </c>
      <c r="G581">
        <v>12</v>
      </c>
      <c r="H581">
        <v>14</v>
      </c>
      <c r="I581">
        <v>0</v>
      </c>
      <c r="J581">
        <v>2.6</v>
      </c>
      <c r="K581" t="s">
        <v>14</v>
      </c>
      <c r="L581" t="str">
        <f t="shared" si="9"/>
        <v>Medium</v>
      </c>
    </row>
    <row r="582" spans="1:12" ht="15" customHeight="1" x14ac:dyDescent="0.25">
      <c r="A582" t="s">
        <v>600</v>
      </c>
      <c r="B582" t="s">
        <v>18</v>
      </c>
      <c r="C582">
        <v>42</v>
      </c>
      <c r="D582" s="19">
        <v>25871</v>
      </c>
      <c r="E582">
        <v>1</v>
      </c>
      <c r="F582">
        <v>3.5</v>
      </c>
      <c r="G582">
        <v>33</v>
      </c>
      <c r="H582">
        <v>10</v>
      </c>
      <c r="I582">
        <v>0</v>
      </c>
      <c r="J582">
        <v>3.5</v>
      </c>
      <c r="K582" t="s">
        <v>14</v>
      </c>
      <c r="L582" t="str">
        <f t="shared" si="9"/>
        <v>Medium</v>
      </c>
    </row>
    <row r="583" spans="1:12" ht="15" customHeight="1" x14ac:dyDescent="0.25">
      <c r="A583" t="s">
        <v>601</v>
      </c>
      <c r="B583" t="s">
        <v>16</v>
      </c>
      <c r="C583">
        <v>48</v>
      </c>
      <c r="D583" s="19">
        <v>32855</v>
      </c>
      <c r="E583">
        <v>4</v>
      </c>
      <c r="F583">
        <v>4.2</v>
      </c>
      <c r="G583">
        <v>6</v>
      </c>
      <c r="H583">
        <v>22</v>
      </c>
      <c r="I583">
        <v>8</v>
      </c>
      <c r="J583">
        <v>3.6</v>
      </c>
      <c r="K583" t="s">
        <v>14</v>
      </c>
      <c r="L583" t="str">
        <f t="shared" si="9"/>
        <v>Medium</v>
      </c>
    </row>
    <row r="584" spans="1:12" ht="15" customHeight="1" x14ac:dyDescent="0.25">
      <c r="A584" t="s">
        <v>602</v>
      </c>
      <c r="B584" t="s">
        <v>18</v>
      </c>
      <c r="C584">
        <v>53</v>
      </c>
      <c r="D584" s="19">
        <v>29199</v>
      </c>
      <c r="E584">
        <v>15</v>
      </c>
      <c r="F584">
        <v>2.2999999999999998</v>
      </c>
      <c r="G584">
        <v>18</v>
      </c>
      <c r="H584">
        <v>30</v>
      </c>
      <c r="I584">
        <v>5</v>
      </c>
      <c r="J584">
        <v>3.2</v>
      </c>
      <c r="K584" t="s">
        <v>26</v>
      </c>
      <c r="L584" t="str">
        <f t="shared" si="9"/>
        <v>High</v>
      </c>
    </row>
    <row r="585" spans="1:12" ht="15" customHeight="1" x14ac:dyDescent="0.25">
      <c r="A585" t="s">
        <v>603</v>
      </c>
      <c r="B585" t="s">
        <v>16</v>
      </c>
      <c r="C585">
        <v>40</v>
      </c>
      <c r="D585" s="19">
        <v>19522</v>
      </c>
      <c r="E585">
        <v>9</v>
      </c>
      <c r="F585">
        <v>3.2</v>
      </c>
      <c r="G585">
        <v>8</v>
      </c>
      <c r="H585">
        <v>19</v>
      </c>
      <c r="I585">
        <v>2</v>
      </c>
      <c r="J585">
        <v>3.4</v>
      </c>
      <c r="K585" t="s">
        <v>14</v>
      </c>
      <c r="L585" t="str">
        <f t="shared" si="9"/>
        <v>Low</v>
      </c>
    </row>
    <row r="586" spans="1:12" ht="15" customHeight="1" x14ac:dyDescent="0.25">
      <c r="A586" t="s">
        <v>604</v>
      </c>
      <c r="B586" t="s">
        <v>13</v>
      </c>
      <c r="C586">
        <v>45</v>
      </c>
      <c r="D586" s="19">
        <v>23308</v>
      </c>
      <c r="E586">
        <v>12</v>
      </c>
      <c r="F586">
        <v>3.1</v>
      </c>
      <c r="G586">
        <v>13</v>
      </c>
      <c r="H586">
        <v>28</v>
      </c>
      <c r="I586">
        <v>2</v>
      </c>
      <c r="J586">
        <v>3.8</v>
      </c>
      <c r="K586" t="s">
        <v>14</v>
      </c>
      <c r="L586" t="str">
        <f t="shared" si="9"/>
        <v>Medium</v>
      </c>
    </row>
    <row r="587" spans="1:12" ht="15" customHeight="1" x14ac:dyDescent="0.25">
      <c r="A587" t="s">
        <v>605</v>
      </c>
      <c r="B587" t="s">
        <v>18</v>
      </c>
      <c r="C587">
        <v>49</v>
      </c>
      <c r="D587" s="19">
        <v>27651</v>
      </c>
      <c r="E587">
        <v>12</v>
      </c>
      <c r="F587">
        <v>4.3</v>
      </c>
      <c r="G587">
        <v>47</v>
      </c>
      <c r="H587">
        <v>13</v>
      </c>
      <c r="I587">
        <v>12</v>
      </c>
      <c r="J587">
        <v>5</v>
      </c>
      <c r="K587" t="s">
        <v>14</v>
      </c>
      <c r="L587" t="str">
        <f t="shared" si="9"/>
        <v>Low</v>
      </c>
    </row>
    <row r="588" spans="1:12" ht="15" customHeight="1" x14ac:dyDescent="0.25">
      <c r="A588" t="s">
        <v>606</v>
      </c>
      <c r="B588" t="s">
        <v>31</v>
      </c>
      <c r="C588">
        <v>34</v>
      </c>
      <c r="D588" s="19">
        <v>18841</v>
      </c>
      <c r="E588">
        <v>4</v>
      </c>
      <c r="F588">
        <v>3.1</v>
      </c>
      <c r="G588">
        <v>37</v>
      </c>
      <c r="H588">
        <v>27</v>
      </c>
      <c r="I588">
        <v>8</v>
      </c>
      <c r="J588">
        <v>3.1</v>
      </c>
      <c r="K588" t="s">
        <v>14</v>
      </c>
      <c r="L588" t="str">
        <f t="shared" si="9"/>
        <v>Medium</v>
      </c>
    </row>
    <row r="589" spans="1:12" ht="15" customHeight="1" x14ac:dyDescent="0.25">
      <c r="A589" t="s">
        <v>607</v>
      </c>
      <c r="B589" t="s">
        <v>21</v>
      </c>
      <c r="C589">
        <v>22</v>
      </c>
      <c r="D589" s="19">
        <v>19445</v>
      </c>
      <c r="E589">
        <v>7</v>
      </c>
      <c r="F589">
        <v>1.9</v>
      </c>
      <c r="G589">
        <v>15</v>
      </c>
      <c r="H589">
        <v>3</v>
      </c>
      <c r="I589">
        <v>4</v>
      </c>
      <c r="J589">
        <v>1.9</v>
      </c>
      <c r="K589" t="s">
        <v>14</v>
      </c>
      <c r="L589" t="str">
        <f t="shared" si="9"/>
        <v>Medium</v>
      </c>
    </row>
    <row r="590" spans="1:12" ht="15" customHeight="1" x14ac:dyDescent="0.25">
      <c r="A590" t="s">
        <v>608</v>
      </c>
      <c r="B590" t="s">
        <v>16</v>
      </c>
      <c r="C590">
        <v>21</v>
      </c>
      <c r="D590" s="19">
        <v>36197</v>
      </c>
      <c r="E590">
        <v>15</v>
      </c>
      <c r="F590">
        <v>3.7</v>
      </c>
      <c r="G590">
        <v>9</v>
      </c>
      <c r="H590">
        <v>20</v>
      </c>
      <c r="I590">
        <v>10</v>
      </c>
      <c r="J590">
        <v>2.6</v>
      </c>
      <c r="K590" t="s">
        <v>14</v>
      </c>
      <c r="L590" t="str">
        <f t="shared" si="9"/>
        <v>Medium</v>
      </c>
    </row>
    <row r="591" spans="1:12" ht="15" customHeight="1" x14ac:dyDescent="0.25">
      <c r="A591" t="s">
        <v>609</v>
      </c>
      <c r="B591" t="s">
        <v>18</v>
      </c>
      <c r="C591">
        <v>41</v>
      </c>
      <c r="D591" s="19">
        <v>20286</v>
      </c>
      <c r="E591">
        <v>15</v>
      </c>
      <c r="F591">
        <v>2.9</v>
      </c>
      <c r="G591">
        <v>36</v>
      </c>
      <c r="H591">
        <v>29</v>
      </c>
      <c r="I591">
        <v>2</v>
      </c>
      <c r="J591">
        <v>3.4</v>
      </c>
      <c r="K591" t="s">
        <v>14</v>
      </c>
      <c r="L591" t="str">
        <f t="shared" si="9"/>
        <v>Medium</v>
      </c>
    </row>
    <row r="592" spans="1:12" ht="15" customHeight="1" x14ac:dyDescent="0.25">
      <c r="A592" t="s">
        <v>610</v>
      </c>
      <c r="B592" t="s">
        <v>21</v>
      </c>
      <c r="C592">
        <v>25</v>
      </c>
      <c r="D592" s="19">
        <v>17254</v>
      </c>
      <c r="E592">
        <v>15</v>
      </c>
      <c r="F592">
        <v>3.6</v>
      </c>
      <c r="G592">
        <v>12</v>
      </c>
      <c r="H592">
        <v>29</v>
      </c>
      <c r="I592">
        <v>10</v>
      </c>
      <c r="J592">
        <v>3.3</v>
      </c>
      <c r="K592" t="s">
        <v>14</v>
      </c>
      <c r="L592" t="str">
        <f t="shared" si="9"/>
        <v>Medium</v>
      </c>
    </row>
    <row r="593" spans="1:12" ht="15" customHeight="1" x14ac:dyDescent="0.25">
      <c r="A593" t="s">
        <v>611</v>
      </c>
      <c r="B593" t="s">
        <v>13</v>
      </c>
      <c r="C593">
        <v>30</v>
      </c>
      <c r="D593" s="19">
        <v>21384</v>
      </c>
      <c r="E593">
        <v>11</v>
      </c>
      <c r="F593">
        <v>2.9</v>
      </c>
      <c r="G593">
        <v>45</v>
      </c>
      <c r="H593">
        <v>31</v>
      </c>
      <c r="I593">
        <v>4</v>
      </c>
      <c r="J593">
        <v>3.6</v>
      </c>
      <c r="K593" t="s">
        <v>14</v>
      </c>
      <c r="L593" t="str">
        <f t="shared" si="9"/>
        <v>Medium</v>
      </c>
    </row>
    <row r="594" spans="1:12" ht="15" customHeight="1" x14ac:dyDescent="0.25">
      <c r="A594" t="s">
        <v>612</v>
      </c>
      <c r="B594" t="s">
        <v>21</v>
      </c>
      <c r="C594">
        <v>31</v>
      </c>
      <c r="D594" s="19">
        <v>23105</v>
      </c>
      <c r="E594">
        <v>11</v>
      </c>
      <c r="F594">
        <v>3.9</v>
      </c>
      <c r="G594">
        <v>39</v>
      </c>
      <c r="H594">
        <v>25</v>
      </c>
      <c r="I594">
        <v>8</v>
      </c>
      <c r="J594">
        <v>2.8</v>
      </c>
      <c r="K594" t="s">
        <v>14</v>
      </c>
      <c r="L594" t="str">
        <f t="shared" si="9"/>
        <v>Medium</v>
      </c>
    </row>
    <row r="595" spans="1:12" ht="15" customHeight="1" x14ac:dyDescent="0.25">
      <c r="A595" t="s">
        <v>613</v>
      </c>
      <c r="B595" t="s">
        <v>18</v>
      </c>
      <c r="C595">
        <v>48</v>
      </c>
      <c r="D595" s="19">
        <v>14257</v>
      </c>
      <c r="E595">
        <v>13</v>
      </c>
      <c r="F595">
        <v>3.1</v>
      </c>
      <c r="G595">
        <v>40</v>
      </c>
      <c r="H595">
        <v>35</v>
      </c>
      <c r="I595">
        <v>20</v>
      </c>
      <c r="J595">
        <v>3.7</v>
      </c>
      <c r="K595" t="s">
        <v>14</v>
      </c>
      <c r="L595" t="str">
        <f t="shared" si="9"/>
        <v>Medium</v>
      </c>
    </row>
    <row r="596" spans="1:12" ht="15" customHeight="1" x14ac:dyDescent="0.25">
      <c r="A596" t="s">
        <v>614</v>
      </c>
      <c r="B596" t="s">
        <v>13</v>
      </c>
      <c r="C596">
        <v>46</v>
      </c>
      <c r="D596" s="19">
        <v>34235</v>
      </c>
      <c r="E596">
        <v>0</v>
      </c>
      <c r="F596">
        <v>4</v>
      </c>
      <c r="G596">
        <v>5</v>
      </c>
      <c r="H596">
        <v>13</v>
      </c>
      <c r="I596">
        <v>3</v>
      </c>
      <c r="J596">
        <v>3.5</v>
      </c>
      <c r="K596" t="s">
        <v>14</v>
      </c>
      <c r="L596" t="str">
        <f t="shared" si="9"/>
        <v>Medium</v>
      </c>
    </row>
    <row r="597" spans="1:12" ht="15" customHeight="1" x14ac:dyDescent="0.25">
      <c r="A597" t="s">
        <v>615</v>
      </c>
      <c r="B597" t="s">
        <v>21</v>
      </c>
      <c r="C597">
        <v>23</v>
      </c>
      <c r="D597" s="19">
        <v>13539</v>
      </c>
      <c r="E597">
        <v>6</v>
      </c>
      <c r="F597">
        <v>3.1</v>
      </c>
      <c r="G597">
        <v>17</v>
      </c>
      <c r="H597">
        <v>11</v>
      </c>
      <c r="I597">
        <v>2</v>
      </c>
      <c r="J597">
        <v>3.9</v>
      </c>
      <c r="K597" t="s">
        <v>14</v>
      </c>
      <c r="L597" t="str">
        <f t="shared" si="9"/>
        <v>Low</v>
      </c>
    </row>
    <row r="598" spans="1:12" ht="15" customHeight="1" x14ac:dyDescent="0.25">
      <c r="A598" t="s">
        <v>616</v>
      </c>
      <c r="B598" t="s">
        <v>16</v>
      </c>
      <c r="C598">
        <v>45</v>
      </c>
      <c r="D598" s="19">
        <v>33436</v>
      </c>
      <c r="E598">
        <v>14</v>
      </c>
      <c r="F598">
        <v>2.9</v>
      </c>
      <c r="G598">
        <v>39</v>
      </c>
      <c r="H598">
        <v>0</v>
      </c>
      <c r="I598">
        <v>7</v>
      </c>
      <c r="J598">
        <v>1.2</v>
      </c>
      <c r="K598" t="s">
        <v>26</v>
      </c>
      <c r="L598" t="str">
        <f t="shared" si="9"/>
        <v>High</v>
      </c>
    </row>
    <row r="599" spans="1:12" ht="15" customHeight="1" x14ac:dyDescent="0.25">
      <c r="A599" t="s">
        <v>617</v>
      </c>
      <c r="B599" t="s">
        <v>21</v>
      </c>
      <c r="C599">
        <v>41</v>
      </c>
      <c r="D599" s="19">
        <v>27433</v>
      </c>
      <c r="E599">
        <v>10</v>
      </c>
      <c r="F599">
        <v>2.9</v>
      </c>
      <c r="G599">
        <v>10</v>
      </c>
      <c r="H599">
        <v>14</v>
      </c>
      <c r="I599">
        <v>6</v>
      </c>
      <c r="J599">
        <v>2.8</v>
      </c>
      <c r="K599" t="s">
        <v>14</v>
      </c>
      <c r="L599" t="str">
        <f t="shared" si="9"/>
        <v>Medium</v>
      </c>
    </row>
    <row r="600" spans="1:12" ht="15" customHeight="1" x14ac:dyDescent="0.25">
      <c r="A600" t="s">
        <v>618</v>
      </c>
      <c r="B600" t="s">
        <v>13</v>
      </c>
      <c r="C600">
        <v>52</v>
      </c>
      <c r="D600" s="19">
        <v>35724</v>
      </c>
      <c r="E600">
        <v>3</v>
      </c>
      <c r="F600">
        <v>3.6</v>
      </c>
      <c r="G600">
        <v>45</v>
      </c>
      <c r="H600">
        <v>3</v>
      </c>
      <c r="I600">
        <v>3</v>
      </c>
      <c r="J600">
        <v>2.9</v>
      </c>
      <c r="K600" t="s">
        <v>14</v>
      </c>
      <c r="L600" t="str">
        <f t="shared" si="9"/>
        <v>Medium</v>
      </c>
    </row>
    <row r="601" spans="1:12" ht="15" customHeight="1" x14ac:dyDescent="0.25">
      <c r="A601" t="s">
        <v>619</v>
      </c>
      <c r="B601" t="s">
        <v>18</v>
      </c>
      <c r="C601">
        <v>29</v>
      </c>
      <c r="D601" s="19">
        <v>28104</v>
      </c>
      <c r="E601">
        <v>10</v>
      </c>
      <c r="F601">
        <v>4.7</v>
      </c>
      <c r="G601">
        <v>14</v>
      </c>
      <c r="H601">
        <v>29</v>
      </c>
      <c r="I601">
        <v>9</v>
      </c>
      <c r="J601">
        <v>2.5</v>
      </c>
      <c r="K601" t="s">
        <v>14</v>
      </c>
      <c r="L601" t="str">
        <f t="shared" si="9"/>
        <v>Medium</v>
      </c>
    </row>
    <row r="602" spans="1:12" ht="15" customHeight="1" x14ac:dyDescent="0.25">
      <c r="A602" t="s">
        <v>620</v>
      </c>
      <c r="B602" t="s">
        <v>13</v>
      </c>
      <c r="C602">
        <v>58</v>
      </c>
      <c r="D602" s="19">
        <v>26676</v>
      </c>
      <c r="E602">
        <v>0</v>
      </c>
      <c r="F602">
        <v>2.4</v>
      </c>
      <c r="G602">
        <v>23</v>
      </c>
      <c r="H602">
        <v>0</v>
      </c>
      <c r="I602">
        <v>6</v>
      </c>
      <c r="J602">
        <v>2.5</v>
      </c>
      <c r="K602" t="s">
        <v>14</v>
      </c>
      <c r="L602" t="str">
        <f t="shared" si="9"/>
        <v>Medium</v>
      </c>
    </row>
    <row r="603" spans="1:12" ht="15" customHeight="1" x14ac:dyDescent="0.25">
      <c r="A603" t="s">
        <v>621</v>
      </c>
      <c r="B603" t="s">
        <v>21</v>
      </c>
      <c r="C603">
        <v>22</v>
      </c>
      <c r="D603" s="19">
        <v>13167</v>
      </c>
      <c r="E603">
        <v>3</v>
      </c>
      <c r="F603">
        <v>3.9</v>
      </c>
      <c r="G603">
        <v>40</v>
      </c>
      <c r="H603">
        <v>10</v>
      </c>
      <c r="I603">
        <v>4</v>
      </c>
      <c r="J603">
        <v>3.1</v>
      </c>
      <c r="K603" t="s">
        <v>14</v>
      </c>
      <c r="L603" t="str">
        <f t="shared" si="9"/>
        <v>Low</v>
      </c>
    </row>
    <row r="604" spans="1:12" ht="15" customHeight="1" x14ac:dyDescent="0.25">
      <c r="A604" t="s">
        <v>622</v>
      </c>
      <c r="B604" t="s">
        <v>16</v>
      </c>
      <c r="C604">
        <v>40</v>
      </c>
      <c r="D604" s="19">
        <v>20067</v>
      </c>
      <c r="E604">
        <v>1</v>
      </c>
      <c r="F604">
        <v>3</v>
      </c>
      <c r="G604">
        <v>14</v>
      </c>
      <c r="H604">
        <v>22</v>
      </c>
      <c r="I604">
        <v>5</v>
      </c>
      <c r="J604">
        <v>4.0999999999999996</v>
      </c>
      <c r="K604" t="s">
        <v>26</v>
      </c>
      <c r="L604" t="str">
        <f t="shared" si="9"/>
        <v>High</v>
      </c>
    </row>
    <row r="605" spans="1:12" ht="15" customHeight="1" x14ac:dyDescent="0.25">
      <c r="A605" t="s">
        <v>623</v>
      </c>
      <c r="B605" t="s">
        <v>13</v>
      </c>
      <c r="C605">
        <v>36</v>
      </c>
      <c r="D605" s="19">
        <v>20203</v>
      </c>
      <c r="E605">
        <v>10</v>
      </c>
      <c r="F605">
        <v>3.2</v>
      </c>
      <c r="G605">
        <v>26</v>
      </c>
      <c r="H605">
        <v>3</v>
      </c>
      <c r="I605">
        <v>12</v>
      </c>
      <c r="J605">
        <v>4.5999999999999996</v>
      </c>
      <c r="K605" t="s">
        <v>14</v>
      </c>
      <c r="L605" t="str">
        <f t="shared" si="9"/>
        <v>Low</v>
      </c>
    </row>
    <row r="606" spans="1:12" ht="15" customHeight="1" x14ac:dyDescent="0.25">
      <c r="A606" t="s">
        <v>624</v>
      </c>
      <c r="B606" t="s">
        <v>16</v>
      </c>
      <c r="C606">
        <v>39</v>
      </c>
      <c r="D606" s="19">
        <v>20094</v>
      </c>
      <c r="E606">
        <v>9</v>
      </c>
      <c r="F606">
        <v>3.2</v>
      </c>
      <c r="G606">
        <v>16</v>
      </c>
      <c r="H606">
        <v>15</v>
      </c>
      <c r="I606">
        <v>3</v>
      </c>
      <c r="J606">
        <v>3.6</v>
      </c>
      <c r="K606" t="s">
        <v>14</v>
      </c>
      <c r="L606" t="str">
        <f t="shared" si="9"/>
        <v>Low</v>
      </c>
    </row>
    <row r="607" spans="1:12" ht="15" customHeight="1" x14ac:dyDescent="0.25">
      <c r="A607" t="s">
        <v>625</v>
      </c>
      <c r="B607" t="s">
        <v>21</v>
      </c>
      <c r="C607">
        <v>31</v>
      </c>
      <c r="D607" s="19">
        <v>26301</v>
      </c>
      <c r="E607">
        <v>11</v>
      </c>
      <c r="F607">
        <v>3.8</v>
      </c>
      <c r="G607">
        <v>40</v>
      </c>
      <c r="H607">
        <v>34</v>
      </c>
      <c r="I607">
        <v>9</v>
      </c>
      <c r="J607">
        <v>3.4</v>
      </c>
      <c r="K607" t="s">
        <v>26</v>
      </c>
      <c r="L607" t="str">
        <f t="shared" si="9"/>
        <v>High</v>
      </c>
    </row>
    <row r="608" spans="1:12" ht="15" customHeight="1" x14ac:dyDescent="0.25">
      <c r="A608" t="s">
        <v>626</v>
      </c>
      <c r="B608" t="s">
        <v>16</v>
      </c>
      <c r="C608">
        <v>38</v>
      </c>
      <c r="D608" s="19">
        <v>37998</v>
      </c>
      <c r="E608">
        <v>12</v>
      </c>
      <c r="F608">
        <v>2.8</v>
      </c>
      <c r="G608">
        <v>42</v>
      </c>
      <c r="H608">
        <v>8</v>
      </c>
      <c r="I608">
        <v>14</v>
      </c>
      <c r="J608">
        <v>3.8</v>
      </c>
      <c r="K608" t="s">
        <v>14</v>
      </c>
      <c r="L608" t="str">
        <f t="shared" si="9"/>
        <v>Low</v>
      </c>
    </row>
    <row r="609" spans="1:12" ht="15" customHeight="1" x14ac:dyDescent="0.25">
      <c r="A609" t="s">
        <v>627</v>
      </c>
      <c r="B609" t="s">
        <v>21</v>
      </c>
      <c r="C609">
        <v>46</v>
      </c>
      <c r="D609" s="19">
        <v>20533</v>
      </c>
      <c r="E609">
        <v>11</v>
      </c>
      <c r="F609">
        <v>3.3</v>
      </c>
      <c r="G609">
        <v>21</v>
      </c>
      <c r="H609">
        <v>10</v>
      </c>
      <c r="I609">
        <v>7</v>
      </c>
      <c r="J609">
        <v>3.5</v>
      </c>
      <c r="K609" t="s">
        <v>14</v>
      </c>
      <c r="L609" t="str">
        <f t="shared" si="9"/>
        <v>Low</v>
      </c>
    </row>
    <row r="610" spans="1:12" ht="15" customHeight="1" x14ac:dyDescent="0.25">
      <c r="A610" t="s">
        <v>628</v>
      </c>
      <c r="B610" t="s">
        <v>16</v>
      </c>
      <c r="C610">
        <v>26</v>
      </c>
      <c r="D610" s="19">
        <v>30203</v>
      </c>
      <c r="E610">
        <v>4</v>
      </c>
      <c r="F610">
        <v>3.8</v>
      </c>
      <c r="G610">
        <v>48</v>
      </c>
      <c r="H610">
        <v>14</v>
      </c>
      <c r="I610">
        <v>10</v>
      </c>
      <c r="J610">
        <v>4.0999999999999996</v>
      </c>
      <c r="K610" t="s">
        <v>14</v>
      </c>
      <c r="L610" t="str">
        <f t="shared" si="9"/>
        <v>Low</v>
      </c>
    </row>
    <row r="611" spans="1:12" ht="15" customHeight="1" x14ac:dyDescent="0.25">
      <c r="A611" t="s">
        <v>629</v>
      </c>
      <c r="B611" t="s">
        <v>13</v>
      </c>
      <c r="C611">
        <v>48</v>
      </c>
      <c r="D611" s="19">
        <v>33514</v>
      </c>
      <c r="E611">
        <v>12</v>
      </c>
      <c r="F611">
        <v>3.9</v>
      </c>
      <c r="G611">
        <v>20</v>
      </c>
      <c r="H611">
        <v>24</v>
      </c>
      <c r="I611">
        <v>13</v>
      </c>
      <c r="J611">
        <v>4.5999999999999996</v>
      </c>
      <c r="K611" t="s">
        <v>14</v>
      </c>
      <c r="L611" t="str">
        <f t="shared" si="9"/>
        <v>Medium</v>
      </c>
    </row>
    <row r="612" spans="1:12" ht="15" customHeight="1" x14ac:dyDescent="0.25">
      <c r="A612" t="s">
        <v>630</v>
      </c>
      <c r="B612" t="s">
        <v>39</v>
      </c>
      <c r="C612">
        <v>48</v>
      </c>
      <c r="D612" s="19">
        <v>15073</v>
      </c>
      <c r="E612">
        <v>5</v>
      </c>
      <c r="F612">
        <v>2.5</v>
      </c>
      <c r="G612">
        <v>21</v>
      </c>
      <c r="H612">
        <v>20</v>
      </c>
      <c r="I612">
        <v>0</v>
      </c>
      <c r="J612">
        <v>3.9</v>
      </c>
      <c r="K612" t="s">
        <v>14</v>
      </c>
      <c r="L612" t="str">
        <f t="shared" si="9"/>
        <v>Low</v>
      </c>
    </row>
    <row r="613" spans="1:12" ht="15" customHeight="1" x14ac:dyDescent="0.25">
      <c r="A613" t="s">
        <v>631</v>
      </c>
      <c r="B613" t="s">
        <v>31</v>
      </c>
      <c r="C613">
        <v>27</v>
      </c>
      <c r="D613" s="19">
        <v>17810</v>
      </c>
      <c r="E613">
        <v>0</v>
      </c>
      <c r="F613">
        <v>2.9</v>
      </c>
      <c r="G613">
        <v>24</v>
      </c>
      <c r="H613">
        <v>6</v>
      </c>
      <c r="I613">
        <v>5</v>
      </c>
      <c r="J613">
        <v>4.8</v>
      </c>
      <c r="K613" t="s">
        <v>14</v>
      </c>
      <c r="L613" t="str">
        <f t="shared" si="9"/>
        <v>Medium</v>
      </c>
    </row>
    <row r="614" spans="1:12" ht="15" customHeight="1" x14ac:dyDescent="0.25">
      <c r="A614" t="s">
        <v>632</v>
      </c>
      <c r="B614" t="s">
        <v>39</v>
      </c>
      <c r="C614">
        <v>27</v>
      </c>
      <c r="D614" s="19">
        <v>28948</v>
      </c>
      <c r="E614">
        <v>15</v>
      </c>
      <c r="F614">
        <v>4.2</v>
      </c>
      <c r="G614">
        <v>12</v>
      </c>
      <c r="H614">
        <v>16</v>
      </c>
      <c r="I614">
        <v>4</v>
      </c>
      <c r="J614">
        <v>1</v>
      </c>
      <c r="K614" t="s">
        <v>14</v>
      </c>
      <c r="L614" t="str">
        <f t="shared" si="9"/>
        <v>Medium</v>
      </c>
    </row>
    <row r="615" spans="1:12" ht="15" customHeight="1" x14ac:dyDescent="0.25">
      <c r="A615" t="s">
        <v>633</v>
      </c>
      <c r="B615" t="s">
        <v>31</v>
      </c>
      <c r="C615">
        <v>37</v>
      </c>
      <c r="D615" s="19">
        <v>15870</v>
      </c>
      <c r="E615">
        <v>8</v>
      </c>
      <c r="F615">
        <v>3.9</v>
      </c>
      <c r="G615">
        <v>44</v>
      </c>
      <c r="H615">
        <v>20</v>
      </c>
      <c r="I615">
        <v>4</v>
      </c>
      <c r="J615">
        <v>2.2999999999999998</v>
      </c>
      <c r="K615" t="s">
        <v>26</v>
      </c>
      <c r="L615" t="str">
        <f t="shared" si="9"/>
        <v>High</v>
      </c>
    </row>
    <row r="616" spans="1:12" ht="15" customHeight="1" x14ac:dyDescent="0.25">
      <c r="A616" t="s">
        <v>634</v>
      </c>
      <c r="B616" t="s">
        <v>13</v>
      </c>
      <c r="C616">
        <v>21</v>
      </c>
      <c r="D616" s="19">
        <v>35784</v>
      </c>
      <c r="E616">
        <v>15</v>
      </c>
      <c r="F616">
        <v>2.4</v>
      </c>
      <c r="G616">
        <v>16</v>
      </c>
      <c r="H616">
        <v>13</v>
      </c>
      <c r="I616">
        <v>0</v>
      </c>
      <c r="J616">
        <v>4.5</v>
      </c>
      <c r="K616" t="s">
        <v>14</v>
      </c>
      <c r="L616" t="str">
        <f t="shared" si="9"/>
        <v>Low</v>
      </c>
    </row>
    <row r="617" spans="1:12" ht="15" customHeight="1" x14ac:dyDescent="0.25">
      <c r="A617" t="s">
        <v>635</v>
      </c>
      <c r="B617" t="s">
        <v>39</v>
      </c>
      <c r="C617">
        <v>48</v>
      </c>
      <c r="D617" s="19">
        <v>25117</v>
      </c>
      <c r="E617">
        <v>5</v>
      </c>
      <c r="F617">
        <v>2.5</v>
      </c>
      <c r="G617">
        <v>25</v>
      </c>
      <c r="H617">
        <v>29</v>
      </c>
      <c r="I617">
        <v>5</v>
      </c>
      <c r="J617">
        <v>2.1</v>
      </c>
      <c r="K617" t="s">
        <v>14</v>
      </c>
      <c r="L617" t="str">
        <f t="shared" si="9"/>
        <v>Medium</v>
      </c>
    </row>
    <row r="618" spans="1:12" ht="15" customHeight="1" x14ac:dyDescent="0.25">
      <c r="A618" t="s">
        <v>636</v>
      </c>
      <c r="B618" t="s">
        <v>16</v>
      </c>
      <c r="C618">
        <v>24</v>
      </c>
      <c r="D618" s="19">
        <v>35497</v>
      </c>
      <c r="E618">
        <v>6</v>
      </c>
      <c r="F618">
        <v>3.9</v>
      </c>
      <c r="G618">
        <v>24</v>
      </c>
      <c r="H618">
        <v>27</v>
      </c>
      <c r="I618">
        <v>2</v>
      </c>
      <c r="J618">
        <v>3.1</v>
      </c>
      <c r="K618" t="s">
        <v>14</v>
      </c>
      <c r="L618" t="str">
        <f t="shared" si="9"/>
        <v>Medium</v>
      </c>
    </row>
    <row r="619" spans="1:12" ht="15" customHeight="1" x14ac:dyDescent="0.25">
      <c r="A619" t="s">
        <v>637</v>
      </c>
      <c r="B619" t="s">
        <v>13</v>
      </c>
      <c r="C619">
        <v>22</v>
      </c>
      <c r="D619" s="19">
        <v>26720</v>
      </c>
      <c r="E619">
        <v>5</v>
      </c>
      <c r="F619">
        <v>2.5</v>
      </c>
      <c r="G619">
        <v>27</v>
      </c>
      <c r="H619">
        <v>19</v>
      </c>
      <c r="I619">
        <v>13</v>
      </c>
      <c r="J619">
        <v>2.6</v>
      </c>
      <c r="K619" t="s">
        <v>14</v>
      </c>
      <c r="L619" t="str">
        <f t="shared" si="9"/>
        <v>Medium</v>
      </c>
    </row>
    <row r="620" spans="1:12" ht="15" customHeight="1" x14ac:dyDescent="0.25">
      <c r="A620" t="s">
        <v>638</v>
      </c>
      <c r="B620" t="s">
        <v>16</v>
      </c>
      <c r="C620">
        <v>44</v>
      </c>
      <c r="D620" s="19">
        <v>31838</v>
      </c>
      <c r="E620">
        <v>5</v>
      </c>
      <c r="F620">
        <v>3.7</v>
      </c>
      <c r="G620">
        <v>10</v>
      </c>
      <c r="H620">
        <v>34</v>
      </c>
      <c r="I620">
        <v>9</v>
      </c>
      <c r="J620">
        <v>4</v>
      </c>
      <c r="K620" t="s">
        <v>14</v>
      </c>
      <c r="L620" t="str">
        <f t="shared" si="9"/>
        <v>Medium</v>
      </c>
    </row>
    <row r="621" spans="1:12" ht="15" customHeight="1" x14ac:dyDescent="0.25">
      <c r="A621" t="s">
        <v>639</v>
      </c>
      <c r="B621" t="s">
        <v>31</v>
      </c>
      <c r="C621">
        <v>46</v>
      </c>
      <c r="D621" s="19">
        <v>18736</v>
      </c>
      <c r="E621">
        <v>6</v>
      </c>
      <c r="F621">
        <v>4.5999999999999996</v>
      </c>
      <c r="G621">
        <v>41</v>
      </c>
      <c r="H621">
        <v>16</v>
      </c>
      <c r="I621">
        <v>10</v>
      </c>
      <c r="J621">
        <v>2.5</v>
      </c>
      <c r="K621" t="s">
        <v>26</v>
      </c>
      <c r="L621" t="str">
        <f t="shared" si="9"/>
        <v>High</v>
      </c>
    </row>
    <row r="622" spans="1:12" ht="15" customHeight="1" x14ac:dyDescent="0.25">
      <c r="A622" t="s">
        <v>640</v>
      </c>
      <c r="B622" t="s">
        <v>13</v>
      </c>
      <c r="C622">
        <v>31</v>
      </c>
      <c r="D622" s="19">
        <v>26962</v>
      </c>
      <c r="E622">
        <v>5</v>
      </c>
      <c r="F622">
        <v>2.2000000000000002</v>
      </c>
      <c r="G622">
        <v>42</v>
      </c>
      <c r="H622">
        <v>26</v>
      </c>
      <c r="I622">
        <v>2</v>
      </c>
      <c r="J622">
        <v>2.1</v>
      </c>
      <c r="K622" t="s">
        <v>14</v>
      </c>
      <c r="L622" t="str">
        <f t="shared" si="9"/>
        <v>Medium</v>
      </c>
    </row>
    <row r="623" spans="1:12" ht="15" customHeight="1" x14ac:dyDescent="0.25">
      <c r="A623" t="s">
        <v>641</v>
      </c>
      <c r="B623" t="s">
        <v>13</v>
      </c>
      <c r="C623">
        <v>47</v>
      </c>
      <c r="D623" s="19">
        <v>18008</v>
      </c>
      <c r="E623">
        <v>1</v>
      </c>
      <c r="F623">
        <v>4.3</v>
      </c>
      <c r="G623">
        <v>41</v>
      </c>
      <c r="H623">
        <v>23</v>
      </c>
      <c r="I623">
        <v>4</v>
      </c>
      <c r="J623">
        <v>3.6</v>
      </c>
      <c r="K623" t="s">
        <v>14</v>
      </c>
      <c r="L623" t="str">
        <f t="shared" si="9"/>
        <v>Medium</v>
      </c>
    </row>
    <row r="624" spans="1:12" ht="15" customHeight="1" x14ac:dyDescent="0.25">
      <c r="A624" t="s">
        <v>642</v>
      </c>
      <c r="B624" t="s">
        <v>16</v>
      </c>
      <c r="C624">
        <v>23</v>
      </c>
      <c r="D624" s="19">
        <v>26589</v>
      </c>
      <c r="E624">
        <v>2</v>
      </c>
      <c r="F624">
        <v>2.9</v>
      </c>
      <c r="G624">
        <v>16</v>
      </c>
      <c r="H624">
        <v>34</v>
      </c>
      <c r="I624">
        <v>5</v>
      </c>
      <c r="J624">
        <v>3</v>
      </c>
      <c r="K624" t="s">
        <v>14</v>
      </c>
      <c r="L624" t="str">
        <f t="shared" si="9"/>
        <v>Medium</v>
      </c>
    </row>
    <row r="625" spans="1:12" ht="15" customHeight="1" x14ac:dyDescent="0.25">
      <c r="A625" t="s">
        <v>643</v>
      </c>
      <c r="B625" t="s">
        <v>21</v>
      </c>
      <c r="C625">
        <v>26</v>
      </c>
      <c r="D625" s="19">
        <v>19263</v>
      </c>
      <c r="E625">
        <v>1</v>
      </c>
      <c r="F625">
        <v>3.1</v>
      </c>
      <c r="G625">
        <v>30</v>
      </c>
      <c r="H625">
        <v>1</v>
      </c>
      <c r="I625">
        <v>8</v>
      </c>
      <c r="J625">
        <v>3.2</v>
      </c>
      <c r="K625" t="s">
        <v>14</v>
      </c>
      <c r="L625" t="str">
        <f t="shared" si="9"/>
        <v>Medium</v>
      </c>
    </row>
    <row r="626" spans="1:12" ht="15" customHeight="1" x14ac:dyDescent="0.25">
      <c r="A626" t="s">
        <v>644</v>
      </c>
      <c r="B626" t="s">
        <v>18</v>
      </c>
      <c r="C626">
        <v>41</v>
      </c>
      <c r="D626" s="19">
        <v>27106</v>
      </c>
      <c r="E626">
        <v>1</v>
      </c>
      <c r="F626">
        <v>2.6</v>
      </c>
      <c r="G626">
        <v>12</v>
      </c>
      <c r="H626">
        <v>25</v>
      </c>
      <c r="I626">
        <v>7</v>
      </c>
      <c r="J626">
        <v>3.1</v>
      </c>
      <c r="K626" t="s">
        <v>14</v>
      </c>
      <c r="L626" t="str">
        <f t="shared" si="9"/>
        <v>Medium</v>
      </c>
    </row>
    <row r="627" spans="1:12" ht="15" customHeight="1" x14ac:dyDescent="0.25">
      <c r="A627" t="s">
        <v>645</v>
      </c>
      <c r="B627" t="s">
        <v>16</v>
      </c>
      <c r="C627">
        <v>21</v>
      </c>
      <c r="D627" s="19">
        <v>29668</v>
      </c>
      <c r="E627">
        <v>6</v>
      </c>
      <c r="F627">
        <v>4.5999999999999996</v>
      </c>
      <c r="G627">
        <v>21</v>
      </c>
      <c r="H627">
        <v>27</v>
      </c>
      <c r="I627">
        <v>12</v>
      </c>
      <c r="J627">
        <v>4.3</v>
      </c>
      <c r="K627" t="s">
        <v>14</v>
      </c>
      <c r="L627" t="str">
        <f t="shared" si="9"/>
        <v>Medium</v>
      </c>
    </row>
    <row r="628" spans="1:12" ht="15" customHeight="1" x14ac:dyDescent="0.25">
      <c r="A628" t="s">
        <v>646</v>
      </c>
      <c r="B628" t="s">
        <v>13</v>
      </c>
      <c r="C628">
        <v>28</v>
      </c>
      <c r="D628" s="19">
        <v>24495</v>
      </c>
      <c r="E628">
        <v>8</v>
      </c>
      <c r="F628">
        <v>3.3</v>
      </c>
      <c r="G628">
        <v>31</v>
      </c>
      <c r="H628">
        <v>19</v>
      </c>
      <c r="I628">
        <v>8</v>
      </c>
      <c r="J628">
        <v>3.8</v>
      </c>
      <c r="K628" t="s">
        <v>14</v>
      </c>
      <c r="L628" t="str">
        <f t="shared" si="9"/>
        <v>Low</v>
      </c>
    </row>
    <row r="629" spans="1:12" ht="15" customHeight="1" x14ac:dyDescent="0.25">
      <c r="A629" t="s">
        <v>647</v>
      </c>
      <c r="B629" t="s">
        <v>16</v>
      </c>
      <c r="C629">
        <v>38</v>
      </c>
      <c r="D629" s="19">
        <v>25443</v>
      </c>
      <c r="E629">
        <v>15</v>
      </c>
      <c r="F629">
        <v>3.8</v>
      </c>
      <c r="G629">
        <v>46</v>
      </c>
      <c r="H629">
        <v>24</v>
      </c>
      <c r="I629">
        <v>1</v>
      </c>
      <c r="J629">
        <v>3.3</v>
      </c>
      <c r="K629" t="s">
        <v>14</v>
      </c>
      <c r="L629" t="str">
        <f t="shared" si="9"/>
        <v>Medium</v>
      </c>
    </row>
    <row r="630" spans="1:12" ht="15" customHeight="1" x14ac:dyDescent="0.25">
      <c r="A630" t="s">
        <v>648</v>
      </c>
      <c r="B630" t="s">
        <v>18</v>
      </c>
      <c r="C630">
        <v>48</v>
      </c>
      <c r="D630" s="19">
        <v>20829</v>
      </c>
      <c r="E630">
        <v>8</v>
      </c>
      <c r="F630">
        <v>4.5</v>
      </c>
      <c r="G630">
        <v>34</v>
      </c>
      <c r="H630">
        <v>20</v>
      </c>
      <c r="I630">
        <v>1</v>
      </c>
      <c r="J630">
        <v>3.7</v>
      </c>
      <c r="K630" t="s">
        <v>14</v>
      </c>
      <c r="L630" t="str">
        <f t="shared" si="9"/>
        <v>Low</v>
      </c>
    </row>
    <row r="631" spans="1:12" ht="15" customHeight="1" x14ac:dyDescent="0.25">
      <c r="A631" t="s">
        <v>649</v>
      </c>
      <c r="B631" t="s">
        <v>18</v>
      </c>
      <c r="C631">
        <v>26</v>
      </c>
      <c r="D631" s="19">
        <v>30200</v>
      </c>
      <c r="E631">
        <v>5</v>
      </c>
      <c r="F631">
        <v>3.1</v>
      </c>
      <c r="G631">
        <v>6</v>
      </c>
      <c r="H631">
        <v>10</v>
      </c>
      <c r="I631">
        <v>5</v>
      </c>
      <c r="J631">
        <v>4</v>
      </c>
      <c r="K631" t="s">
        <v>14</v>
      </c>
      <c r="L631" t="str">
        <f t="shared" si="9"/>
        <v>Low</v>
      </c>
    </row>
    <row r="632" spans="1:12" ht="15" customHeight="1" x14ac:dyDescent="0.25">
      <c r="A632" t="s">
        <v>650</v>
      </c>
      <c r="B632" t="s">
        <v>16</v>
      </c>
      <c r="C632">
        <v>25</v>
      </c>
      <c r="D632" s="19">
        <v>26176</v>
      </c>
      <c r="E632">
        <v>10</v>
      </c>
      <c r="F632">
        <v>3.7</v>
      </c>
      <c r="G632">
        <v>28</v>
      </c>
      <c r="H632">
        <v>16</v>
      </c>
      <c r="I632">
        <v>1</v>
      </c>
      <c r="J632">
        <v>2</v>
      </c>
      <c r="K632" t="s">
        <v>26</v>
      </c>
      <c r="L632" t="str">
        <f t="shared" si="9"/>
        <v>High</v>
      </c>
    </row>
    <row r="633" spans="1:12" ht="15" customHeight="1" x14ac:dyDescent="0.25">
      <c r="A633" t="s">
        <v>651</v>
      </c>
      <c r="B633" t="s">
        <v>16</v>
      </c>
      <c r="C633">
        <v>39</v>
      </c>
      <c r="D633" s="19">
        <v>26385</v>
      </c>
      <c r="E633">
        <v>13</v>
      </c>
      <c r="F633">
        <v>3.8</v>
      </c>
      <c r="G633">
        <v>39</v>
      </c>
      <c r="H633">
        <v>2</v>
      </c>
      <c r="I633">
        <v>5</v>
      </c>
      <c r="J633">
        <v>4.4000000000000004</v>
      </c>
      <c r="K633" t="s">
        <v>14</v>
      </c>
      <c r="L633" t="str">
        <f t="shared" si="9"/>
        <v>Low</v>
      </c>
    </row>
    <row r="634" spans="1:12" ht="15" customHeight="1" x14ac:dyDescent="0.25">
      <c r="A634" t="s">
        <v>652</v>
      </c>
      <c r="B634" t="s">
        <v>21</v>
      </c>
      <c r="C634">
        <v>38</v>
      </c>
      <c r="D634" s="19">
        <v>13052</v>
      </c>
      <c r="E634">
        <v>7</v>
      </c>
      <c r="F634">
        <v>2.7</v>
      </c>
      <c r="G634">
        <v>24</v>
      </c>
      <c r="H634">
        <v>30</v>
      </c>
      <c r="I634">
        <v>6</v>
      </c>
      <c r="J634">
        <v>3.4</v>
      </c>
      <c r="K634" t="s">
        <v>26</v>
      </c>
      <c r="L634" t="str">
        <f t="shared" si="9"/>
        <v>High</v>
      </c>
    </row>
    <row r="635" spans="1:12" ht="15" customHeight="1" x14ac:dyDescent="0.25">
      <c r="A635" t="s">
        <v>653</v>
      </c>
      <c r="B635" t="s">
        <v>31</v>
      </c>
      <c r="C635">
        <v>38</v>
      </c>
      <c r="D635" s="19">
        <v>12532</v>
      </c>
      <c r="E635">
        <v>7</v>
      </c>
      <c r="F635">
        <v>2.8</v>
      </c>
      <c r="G635">
        <v>34</v>
      </c>
      <c r="H635">
        <v>34</v>
      </c>
      <c r="I635">
        <v>11</v>
      </c>
      <c r="J635">
        <v>4</v>
      </c>
      <c r="K635" t="s">
        <v>26</v>
      </c>
      <c r="L635" t="str">
        <f t="shared" si="9"/>
        <v>High</v>
      </c>
    </row>
    <row r="636" spans="1:12" ht="15" customHeight="1" x14ac:dyDescent="0.25">
      <c r="A636" t="s">
        <v>654</v>
      </c>
      <c r="B636" t="s">
        <v>21</v>
      </c>
      <c r="C636">
        <v>47</v>
      </c>
      <c r="D636" s="19">
        <v>20464</v>
      </c>
      <c r="E636">
        <v>8</v>
      </c>
      <c r="F636">
        <v>3.3</v>
      </c>
      <c r="G636">
        <v>29</v>
      </c>
      <c r="H636">
        <v>24</v>
      </c>
      <c r="I636">
        <v>10</v>
      </c>
      <c r="J636">
        <v>4.7</v>
      </c>
      <c r="K636" t="s">
        <v>14</v>
      </c>
      <c r="L636" t="str">
        <f t="shared" si="9"/>
        <v>Medium</v>
      </c>
    </row>
    <row r="637" spans="1:12" ht="15" customHeight="1" x14ac:dyDescent="0.25">
      <c r="A637" t="s">
        <v>655</v>
      </c>
      <c r="B637" t="s">
        <v>16</v>
      </c>
      <c r="C637">
        <v>47</v>
      </c>
      <c r="D637" s="19">
        <v>34314</v>
      </c>
      <c r="E637">
        <v>7</v>
      </c>
      <c r="F637">
        <v>4.0999999999999996</v>
      </c>
      <c r="G637">
        <v>29</v>
      </c>
      <c r="H637">
        <v>35</v>
      </c>
      <c r="I637">
        <v>14</v>
      </c>
      <c r="J637">
        <v>2.5</v>
      </c>
      <c r="K637" t="s">
        <v>14</v>
      </c>
      <c r="L637" t="str">
        <f t="shared" si="9"/>
        <v>Medium</v>
      </c>
    </row>
    <row r="638" spans="1:12" ht="15" customHeight="1" x14ac:dyDescent="0.25">
      <c r="A638" t="s">
        <v>656</v>
      </c>
      <c r="B638" t="s">
        <v>16</v>
      </c>
      <c r="C638">
        <v>40</v>
      </c>
      <c r="D638" s="19">
        <v>31214</v>
      </c>
      <c r="E638">
        <v>1</v>
      </c>
      <c r="F638">
        <v>3.8</v>
      </c>
      <c r="G638">
        <v>34</v>
      </c>
      <c r="H638">
        <v>10</v>
      </c>
      <c r="I638">
        <v>5</v>
      </c>
      <c r="J638">
        <v>3</v>
      </c>
      <c r="K638" t="s">
        <v>14</v>
      </c>
      <c r="L638" t="str">
        <f t="shared" si="9"/>
        <v>Medium</v>
      </c>
    </row>
    <row r="639" spans="1:12" ht="15" customHeight="1" x14ac:dyDescent="0.25">
      <c r="A639" t="s">
        <v>657</v>
      </c>
      <c r="B639" t="s">
        <v>16</v>
      </c>
      <c r="C639">
        <v>42</v>
      </c>
      <c r="D639" s="19">
        <v>33890</v>
      </c>
      <c r="E639">
        <v>12</v>
      </c>
      <c r="F639">
        <v>3.2</v>
      </c>
      <c r="G639">
        <v>5</v>
      </c>
      <c r="H639">
        <v>18</v>
      </c>
      <c r="I639">
        <v>10</v>
      </c>
      <c r="J639">
        <v>3.3</v>
      </c>
      <c r="K639" t="s">
        <v>14</v>
      </c>
      <c r="L639" t="str">
        <f t="shared" si="9"/>
        <v>Low</v>
      </c>
    </row>
    <row r="640" spans="1:12" ht="15" customHeight="1" x14ac:dyDescent="0.25">
      <c r="A640" t="s">
        <v>658</v>
      </c>
      <c r="B640" t="s">
        <v>21</v>
      </c>
      <c r="C640">
        <v>23</v>
      </c>
      <c r="D640" s="19">
        <v>24565</v>
      </c>
      <c r="E640">
        <v>8</v>
      </c>
      <c r="F640">
        <v>4.3</v>
      </c>
      <c r="G640">
        <v>19</v>
      </c>
      <c r="H640">
        <v>13</v>
      </c>
      <c r="I640">
        <v>3</v>
      </c>
      <c r="J640">
        <v>4.4000000000000004</v>
      </c>
      <c r="K640" t="s">
        <v>14</v>
      </c>
      <c r="L640" t="str">
        <f t="shared" si="9"/>
        <v>Low</v>
      </c>
    </row>
    <row r="641" spans="1:12" ht="15" customHeight="1" x14ac:dyDescent="0.25">
      <c r="A641" t="s">
        <v>659</v>
      </c>
      <c r="B641" t="s">
        <v>13</v>
      </c>
      <c r="C641">
        <v>22</v>
      </c>
      <c r="D641" s="19">
        <v>33433</v>
      </c>
      <c r="E641">
        <v>5</v>
      </c>
      <c r="F641">
        <v>3.6</v>
      </c>
      <c r="G641">
        <v>30</v>
      </c>
      <c r="H641">
        <v>26</v>
      </c>
      <c r="I641">
        <v>9</v>
      </c>
      <c r="J641">
        <v>2.7</v>
      </c>
      <c r="K641" t="s">
        <v>14</v>
      </c>
      <c r="L641" t="str">
        <f t="shared" si="9"/>
        <v>Medium</v>
      </c>
    </row>
    <row r="642" spans="1:12" ht="15" customHeight="1" x14ac:dyDescent="0.25">
      <c r="A642" t="s">
        <v>660</v>
      </c>
      <c r="B642" t="s">
        <v>16</v>
      </c>
      <c r="C642">
        <v>26</v>
      </c>
      <c r="D642" s="19">
        <v>33815</v>
      </c>
      <c r="E642">
        <v>13</v>
      </c>
      <c r="F642">
        <v>2.9</v>
      </c>
      <c r="G642">
        <v>25</v>
      </c>
      <c r="H642">
        <v>2</v>
      </c>
      <c r="I642">
        <v>10</v>
      </c>
      <c r="J642">
        <v>2.2999999999999998</v>
      </c>
      <c r="K642" t="s">
        <v>14</v>
      </c>
      <c r="L642" t="str">
        <f t="shared" ref="L642:L701" si="10">IF(K642="Yes","High",IF(OR(J642&lt;3,H642&gt;20,E642&lt;2),"Medium","Low"))</f>
        <v>Medium</v>
      </c>
    </row>
    <row r="643" spans="1:12" ht="15" customHeight="1" x14ac:dyDescent="0.25">
      <c r="A643" t="s">
        <v>661</v>
      </c>
      <c r="B643" t="s">
        <v>13</v>
      </c>
      <c r="C643">
        <v>40</v>
      </c>
      <c r="D643" s="19">
        <v>40818</v>
      </c>
      <c r="E643">
        <v>15</v>
      </c>
      <c r="F643">
        <v>4.3</v>
      </c>
      <c r="G643">
        <v>29</v>
      </c>
      <c r="H643">
        <v>1</v>
      </c>
      <c r="I643">
        <v>6</v>
      </c>
      <c r="J643">
        <v>2.6</v>
      </c>
      <c r="K643" t="s">
        <v>14</v>
      </c>
      <c r="L643" t="str">
        <f t="shared" si="10"/>
        <v>Medium</v>
      </c>
    </row>
    <row r="644" spans="1:12" ht="15" customHeight="1" x14ac:dyDescent="0.25">
      <c r="A644" t="s">
        <v>662</v>
      </c>
      <c r="B644" t="s">
        <v>16</v>
      </c>
      <c r="C644">
        <v>22</v>
      </c>
      <c r="D644" s="19">
        <v>23523</v>
      </c>
      <c r="E644">
        <v>14</v>
      </c>
      <c r="F644">
        <v>4.5</v>
      </c>
      <c r="G644">
        <v>39</v>
      </c>
      <c r="H644">
        <v>27</v>
      </c>
      <c r="I644">
        <v>8</v>
      </c>
      <c r="J644">
        <v>3.5</v>
      </c>
      <c r="K644" t="s">
        <v>14</v>
      </c>
      <c r="L644" t="str">
        <f t="shared" si="10"/>
        <v>Medium</v>
      </c>
    </row>
    <row r="645" spans="1:12" ht="15" customHeight="1" x14ac:dyDescent="0.25">
      <c r="A645" t="s">
        <v>663</v>
      </c>
      <c r="B645" t="s">
        <v>21</v>
      </c>
      <c r="C645">
        <v>49</v>
      </c>
      <c r="D645" s="19">
        <v>16374</v>
      </c>
      <c r="E645">
        <v>2</v>
      </c>
      <c r="F645">
        <v>2</v>
      </c>
      <c r="G645">
        <v>29</v>
      </c>
      <c r="H645">
        <v>10</v>
      </c>
      <c r="I645">
        <v>0</v>
      </c>
      <c r="J645">
        <v>2.2999999999999998</v>
      </c>
      <c r="K645" t="s">
        <v>14</v>
      </c>
      <c r="L645" t="str">
        <f t="shared" si="10"/>
        <v>Medium</v>
      </c>
    </row>
    <row r="646" spans="1:12" ht="15" customHeight="1" x14ac:dyDescent="0.25">
      <c r="A646" t="s">
        <v>664</v>
      </c>
      <c r="B646" t="s">
        <v>18</v>
      </c>
      <c r="C646">
        <v>51</v>
      </c>
      <c r="D646" s="19">
        <v>20280</v>
      </c>
      <c r="E646">
        <v>2</v>
      </c>
      <c r="F646">
        <v>2.9</v>
      </c>
      <c r="G646">
        <v>38</v>
      </c>
      <c r="H646">
        <v>10</v>
      </c>
      <c r="I646">
        <v>1</v>
      </c>
      <c r="J646">
        <v>2.2000000000000002</v>
      </c>
      <c r="K646" t="s">
        <v>14</v>
      </c>
      <c r="L646" t="str">
        <f t="shared" si="10"/>
        <v>Medium</v>
      </c>
    </row>
    <row r="647" spans="1:12" ht="15" customHeight="1" x14ac:dyDescent="0.25">
      <c r="A647" t="s">
        <v>665</v>
      </c>
      <c r="B647" t="s">
        <v>16</v>
      </c>
      <c r="C647">
        <v>34</v>
      </c>
      <c r="D647" s="19">
        <v>21963</v>
      </c>
      <c r="E647">
        <v>13</v>
      </c>
      <c r="F647">
        <v>3.5</v>
      </c>
      <c r="G647">
        <v>23</v>
      </c>
      <c r="H647">
        <v>16</v>
      </c>
      <c r="I647">
        <v>9</v>
      </c>
      <c r="J647">
        <v>4.5</v>
      </c>
      <c r="K647" t="s">
        <v>14</v>
      </c>
      <c r="L647" t="str">
        <f t="shared" si="10"/>
        <v>Low</v>
      </c>
    </row>
    <row r="648" spans="1:12" ht="15" customHeight="1" x14ac:dyDescent="0.25">
      <c r="A648" t="s">
        <v>666</v>
      </c>
      <c r="B648" t="s">
        <v>13</v>
      </c>
      <c r="C648">
        <v>58</v>
      </c>
      <c r="D648" s="19">
        <v>40510</v>
      </c>
      <c r="E648">
        <v>7</v>
      </c>
      <c r="F648">
        <v>4.0999999999999996</v>
      </c>
      <c r="G648">
        <v>44</v>
      </c>
      <c r="H648">
        <v>1</v>
      </c>
      <c r="I648">
        <v>5</v>
      </c>
      <c r="J648">
        <v>4</v>
      </c>
      <c r="K648" t="s">
        <v>14</v>
      </c>
      <c r="L648" t="str">
        <f t="shared" si="10"/>
        <v>Low</v>
      </c>
    </row>
    <row r="649" spans="1:12" ht="15" customHeight="1" x14ac:dyDescent="0.25">
      <c r="A649" t="s">
        <v>667</v>
      </c>
      <c r="B649" t="s">
        <v>21</v>
      </c>
      <c r="C649">
        <v>49</v>
      </c>
      <c r="D649" s="19">
        <v>14040</v>
      </c>
      <c r="E649">
        <v>14</v>
      </c>
      <c r="F649">
        <v>3.9</v>
      </c>
      <c r="G649">
        <v>16</v>
      </c>
      <c r="H649">
        <v>0</v>
      </c>
      <c r="I649">
        <v>0</v>
      </c>
      <c r="J649">
        <v>5</v>
      </c>
      <c r="K649" t="s">
        <v>14</v>
      </c>
      <c r="L649" t="str">
        <f t="shared" si="10"/>
        <v>Low</v>
      </c>
    </row>
    <row r="650" spans="1:12" ht="15" customHeight="1" x14ac:dyDescent="0.25">
      <c r="A650" t="s">
        <v>668</v>
      </c>
      <c r="B650" t="s">
        <v>16</v>
      </c>
      <c r="C650">
        <v>35</v>
      </c>
      <c r="D650" s="19">
        <v>27039</v>
      </c>
      <c r="E650">
        <v>4</v>
      </c>
      <c r="F650">
        <v>3.7</v>
      </c>
      <c r="G650">
        <v>8</v>
      </c>
      <c r="H650">
        <v>29</v>
      </c>
      <c r="I650">
        <v>0</v>
      </c>
      <c r="J650">
        <v>3.3</v>
      </c>
      <c r="K650" t="s">
        <v>14</v>
      </c>
      <c r="L650" t="str">
        <f t="shared" si="10"/>
        <v>Medium</v>
      </c>
    </row>
    <row r="651" spans="1:12" ht="15" customHeight="1" x14ac:dyDescent="0.25">
      <c r="A651" t="s">
        <v>669</v>
      </c>
      <c r="B651" t="s">
        <v>18</v>
      </c>
      <c r="C651">
        <v>45</v>
      </c>
      <c r="D651" s="19">
        <v>26350</v>
      </c>
      <c r="E651">
        <v>3</v>
      </c>
      <c r="F651">
        <v>3</v>
      </c>
      <c r="G651">
        <v>25</v>
      </c>
      <c r="H651">
        <v>33</v>
      </c>
      <c r="I651">
        <v>0</v>
      </c>
      <c r="J651">
        <v>2.7</v>
      </c>
      <c r="K651" t="s">
        <v>14</v>
      </c>
      <c r="L651" t="str">
        <f t="shared" si="10"/>
        <v>Medium</v>
      </c>
    </row>
    <row r="652" spans="1:12" ht="15" customHeight="1" x14ac:dyDescent="0.25">
      <c r="A652" t="s">
        <v>670</v>
      </c>
      <c r="B652" t="s">
        <v>18</v>
      </c>
      <c r="C652">
        <v>27</v>
      </c>
      <c r="D652" s="19">
        <v>26439</v>
      </c>
      <c r="E652">
        <v>4</v>
      </c>
      <c r="F652">
        <v>4.3</v>
      </c>
      <c r="G652">
        <v>9</v>
      </c>
      <c r="H652">
        <v>21</v>
      </c>
      <c r="I652">
        <v>3</v>
      </c>
      <c r="J652">
        <v>5</v>
      </c>
      <c r="K652" t="s">
        <v>14</v>
      </c>
      <c r="L652" t="str">
        <f t="shared" si="10"/>
        <v>Medium</v>
      </c>
    </row>
    <row r="653" spans="1:12" ht="15" customHeight="1" x14ac:dyDescent="0.25">
      <c r="A653" t="s">
        <v>671</v>
      </c>
      <c r="B653" t="s">
        <v>18</v>
      </c>
      <c r="C653">
        <v>51</v>
      </c>
      <c r="D653" s="19">
        <v>15782</v>
      </c>
      <c r="E653">
        <v>1</v>
      </c>
      <c r="F653">
        <v>3.4</v>
      </c>
      <c r="G653">
        <v>32</v>
      </c>
      <c r="H653">
        <v>3</v>
      </c>
      <c r="I653">
        <v>7</v>
      </c>
      <c r="J653">
        <v>4.4000000000000004</v>
      </c>
      <c r="K653" t="s">
        <v>14</v>
      </c>
      <c r="L653" t="str">
        <f t="shared" si="10"/>
        <v>Medium</v>
      </c>
    </row>
    <row r="654" spans="1:12" ht="15" customHeight="1" x14ac:dyDescent="0.25">
      <c r="A654" t="s">
        <v>672</v>
      </c>
      <c r="B654" t="s">
        <v>39</v>
      </c>
      <c r="C654">
        <v>25</v>
      </c>
      <c r="D654" s="19">
        <v>23662</v>
      </c>
      <c r="E654">
        <v>13</v>
      </c>
      <c r="F654">
        <v>2.2999999999999998</v>
      </c>
      <c r="G654">
        <v>22</v>
      </c>
      <c r="H654">
        <v>19</v>
      </c>
      <c r="I654">
        <v>4</v>
      </c>
      <c r="J654">
        <v>3.8</v>
      </c>
      <c r="K654" t="s">
        <v>14</v>
      </c>
      <c r="L654" t="str">
        <f t="shared" si="10"/>
        <v>Low</v>
      </c>
    </row>
    <row r="655" spans="1:12" ht="15" customHeight="1" x14ac:dyDescent="0.25">
      <c r="A655" t="s">
        <v>673</v>
      </c>
      <c r="B655" t="s">
        <v>31</v>
      </c>
      <c r="C655">
        <v>22</v>
      </c>
      <c r="D655" s="19">
        <v>21493</v>
      </c>
      <c r="E655">
        <v>10</v>
      </c>
      <c r="F655">
        <v>2.8</v>
      </c>
      <c r="G655">
        <v>40</v>
      </c>
      <c r="H655">
        <v>11</v>
      </c>
      <c r="I655">
        <v>3</v>
      </c>
      <c r="J655">
        <v>2.6</v>
      </c>
      <c r="K655" t="s">
        <v>14</v>
      </c>
      <c r="L655" t="str">
        <f t="shared" si="10"/>
        <v>Medium</v>
      </c>
    </row>
    <row r="656" spans="1:12" ht="15" customHeight="1" x14ac:dyDescent="0.25">
      <c r="A656" t="s">
        <v>674</v>
      </c>
      <c r="B656" t="s">
        <v>18</v>
      </c>
      <c r="C656">
        <v>47</v>
      </c>
      <c r="D656" s="19">
        <v>31689</v>
      </c>
      <c r="E656">
        <v>12</v>
      </c>
      <c r="F656">
        <v>3.7</v>
      </c>
      <c r="G656">
        <v>34</v>
      </c>
      <c r="H656">
        <v>25</v>
      </c>
      <c r="I656">
        <v>4</v>
      </c>
      <c r="J656">
        <v>3.3</v>
      </c>
      <c r="K656" t="s">
        <v>26</v>
      </c>
      <c r="L656" t="str">
        <f t="shared" si="10"/>
        <v>High</v>
      </c>
    </row>
    <row r="657" spans="1:12" ht="15" customHeight="1" x14ac:dyDescent="0.25">
      <c r="A657" t="s">
        <v>675</v>
      </c>
      <c r="B657" t="s">
        <v>13</v>
      </c>
      <c r="C657">
        <v>22</v>
      </c>
      <c r="D657" s="19">
        <v>38476</v>
      </c>
      <c r="E657">
        <v>5</v>
      </c>
      <c r="F657">
        <v>3.5</v>
      </c>
      <c r="G657">
        <v>30</v>
      </c>
      <c r="H657">
        <v>12</v>
      </c>
      <c r="I657">
        <v>2</v>
      </c>
      <c r="J657">
        <v>1.8</v>
      </c>
      <c r="K657" t="s">
        <v>14</v>
      </c>
      <c r="L657" t="str">
        <f t="shared" si="10"/>
        <v>Medium</v>
      </c>
    </row>
    <row r="658" spans="1:12" ht="15" customHeight="1" x14ac:dyDescent="0.25">
      <c r="A658" t="s">
        <v>676</v>
      </c>
      <c r="B658" t="s">
        <v>13</v>
      </c>
      <c r="C658">
        <v>41</v>
      </c>
      <c r="D658" s="19">
        <v>38650</v>
      </c>
      <c r="E658">
        <v>15</v>
      </c>
      <c r="F658">
        <v>3.7</v>
      </c>
      <c r="G658">
        <v>4</v>
      </c>
      <c r="H658">
        <v>18</v>
      </c>
      <c r="I658">
        <v>5</v>
      </c>
      <c r="J658">
        <v>4.2</v>
      </c>
      <c r="K658" t="s">
        <v>14</v>
      </c>
      <c r="L658" t="str">
        <f t="shared" si="10"/>
        <v>Low</v>
      </c>
    </row>
    <row r="659" spans="1:12" ht="15" customHeight="1" x14ac:dyDescent="0.25">
      <c r="A659" t="s">
        <v>677</v>
      </c>
      <c r="B659" t="s">
        <v>13</v>
      </c>
      <c r="C659">
        <v>44</v>
      </c>
      <c r="D659" s="19">
        <v>31363</v>
      </c>
      <c r="E659">
        <v>7</v>
      </c>
      <c r="F659">
        <v>1.7</v>
      </c>
      <c r="G659">
        <v>33</v>
      </c>
      <c r="H659">
        <v>23</v>
      </c>
      <c r="I659">
        <v>6</v>
      </c>
      <c r="J659">
        <v>4</v>
      </c>
      <c r="K659" t="s">
        <v>14</v>
      </c>
      <c r="L659" t="str">
        <f t="shared" si="10"/>
        <v>Medium</v>
      </c>
    </row>
    <row r="660" spans="1:12" ht="15" customHeight="1" x14ac:dyDescent="0.25">
      <c r="A660" t="s">
        <v>678</v>
      </c>
      <c r="B660" t="s">
        <v>39</v>
      </c>
      <c r="C660">
        <v>49</v>
      </c>
      <c r="D660" s="19">
        <v>24994</v>
      </c>
      <c r="E660">
        <v>14</v>
      </c>
      <c r="F660">
        <v>5</v>
      </c>
      <c r="G660">
        <v>22</v>
      </c>
      <c r="H660">
        <v>15</v>
      </c>
      <c r="I660">
        <v>6</v>
      </c>
      <c r="J660">
        <v>3.1</v>
      </c>
      <c r="K660" t="s">
        <v>14</v>
      </c>
      <c r="L660" t="str">
        <f t="shared" si="10"/>
        <v>Low</v>
      </c>
    </row>
    <row r="661" spans="1:12" ht="15" customHeight="1" x14ac:dyDescent="0.25">
      <c r="A661" t="s">
        <v>679</v>
      </c>
      <c r="B661" t="s">
        <v>31</v>
      </c>
      <c r="C661">
        <v>40</v>
      </c>
      <c r="D661" s="19">
        <v>18961</v>
      </c>
      <c r="E661">
        <v>8</v>
      </c>
      <c r="F661">
        <v>3.7</v>
      </c>
      <c r="G661">
        <v>36</v>
      </c>
      <c r="H661">
        <v>5</v>
      </c>
      <c r="I661">
        <v>4</v>
      </c>
      <c r="J661">
        <v>1.8</v>
      </c>
      <c r="K661" t="s">
        <v>14</v>
      </c>
      <c r="L661" t="str">
        <f t="shared" si="10"/>
        <v>Medium</v>
      </c>
    </row>
    <row r="662" spans="1:12" ht="15" customHeight="1" x14ac:dyDescent="0.25">
      <c r="A662" t="s">
        <v>680</v>
      </c>
      <c r="B662" t="s">
        <v>16</v>
      </c>
      <c r="C662">
        <v>22</v>
      </c>
      <c r="D662" s="19">
        <v>27912</v>
      </c>
      <c r="E662">
        <v>4</v>
      </c>
      <c r="F662">
        <v>4.5999999999999996</v>
      </c>
      <c r="G662">
        <v>40</v>
      </c>
      <c r="H662">
        <v>28</v>
      </c>
      <c r="I662">
        <v>12</v>
      </c>
      <c r="J662">
        <v>4.0999999999999996</v>
      </c>
      <c r="K662" t="s">
        <v>14</v>
      </c>
      <c r="L662" t="str">
        <f t="shared" si="10"/>
        <v>Medium</v>
      </c>
    </row>
    <row r="663" spans="1:12" ht="15" customHeight="1" x14ac:dyDescent="0.25">
      <c r="A663" t="s">
        <v>681</v>
      </c>
      <c r="B663" t="s">
        <v>31</v>
      </c>
      <c r="C663">
        <v>46</v>
      </c>
      <c r="D663" s="19">
        <v>19010</v>
      </c>
      <c r="E663">
        <v>1</v>
      </c>
      <c r="F663">
        <v>3.4</v>
      </c>
      <c r="G663">
        <v>28</v>
      </c>
      <c r="H663">
        <v>25</v>
      </c>
      <c r="I663">
        <v>8</v>
      </c>
      <c r="J663">
        <v>2.2999999999999998</v>
      </c>
      <c r="K663" t="s">
        <v>14</v>
      </c>
      <c r="L663" t="str">
        <f t="shared" si="10"/>
        <v>Medium</v>
      </c>
    </row>
    <row r="664" spans="1:12" ht="15" customHeight="1" x14ac:dyDescent="0.25">
      <c r="A664" t="s">
        <v>682</v>
      </c>
      <c r="B664" t="s">
        <v>39</v>
      </c>
      <c r="C664">
        <v>47</v>
      </c>
      <c r="D664" s="19">
        <v>21108</v>
      </c>
      <c r="E664">
        <v>9</v>
      </c>
      <c r="F664">
        <v>2.6</v>
      </c>
      <c r="G664">
        <v>46</v>
      </c>
      <c r="H664">
        <v>11</v>
      </c>
      <c r="I664">
        <v>4</v>
      </c>
      <c r="J664">
        <v>3.6</v>
      </c>
      <c r="K664" t="s">
        <v>14</v>
      </c>
      <c r="L664" t="str">
        <f t="shared" si="10"/>
        <v>Low</v>
      </c>
    </row>
    <row r="665" spans="1:12" ht="15" customHeight="1" x14ac:dyDescent="0.25">
      <c r="A665" t="s">
        <v>683</v>
      </c>
      <c r="B665" t="s">
        <v>39</v>
      </c>
      <c r="C665">
        <v>54</v>
      </c>
      <c r="D665" s="19">
        <v>24235</v>
      </c>
      <c r="E665">
        <v>4</v>
      </c>
      <c r="F665">
        <v>3.6</v>
      </c>
      <c r="G665">
        <v>4</v>
      </c>
      <c r="H665">
        <v>24</v>
      </c>
      <c r="I665">
        <v>5</v>
      </c>
      <c r="J665">
        <v>3.6</v>
      </c>
      <c r="K665" t="s">
        <v>14</v>
      </c>
      <c r="L665" t="str">
        <f t="shared" si="10"/>
        <v>Medium</v>
      </c>
    </row>
    <row r="666" spans="1:12" ht="15" customHeight="1" x14ac:dyDescent="0.25">
      <c r="A666" t="s">
        <v>684</v>
      </c>
      <c r="B666" t="s">
        <v>39</v>
      </c>
      <c r="C666">
        <v>58</v>
      </c>
      <c r="D666" s="19">
        <v>20648</v>
      </c>
      <c r="E666">
        <v>4</v>
      </c>
      <c r="F666">
        <v>2.2999999999999998</v>
      </c>
      <c r="G666">
        <v>50</v>
      </c>
      <c r="H666">
        <v>35</v>
      </c>
      <c r="I666">
        <v>3</v>
      </c>
      <c r="J666">
        <v>3.4</v>
      </c>
      <c r="K666" t="s">
        <v>14</v>
      </c>
      <c r="L666" t="str">
        <f t="shared" si="10"/>
        <v>Medium</v>
      </c>
    </row>
    <row r="667" spans="1:12" ht="15" customHeight="1" x14ac:dyDescent="0.25">
      <c r="A667" t="s">
        <v>685</v>
      </c>
      <c r="B667" t="s">
        <v>21</v>
      </c>
      <c r="C667">
        <v>46</v>
      </c>
      <c r="D667" s="19">
        <v>20388</v>
      </c>
      <c r="E667">
        <v>11</v>
      </c>
      <c r="F667">
        <v>4.0999999999999996</v>
      </c>
      <c r="G667">
        <v>31</v>
      </c>
      <c r="H667">
        <v>0</v>
      </c>
      <c r="I667">
        <v>5</v>
      </c>
      <c r="J667">
        <v>4</v>
      </c>
      <c r="K667" t="s">
        <v>14</v>
      </c>
      <c r="L667" t="str">
        <f t="shared" si="10"/>
        <v>Low</v>
      </c>
    </row>
    <row r="668" spans="1:12" ht="15" customHeight="1" x14ac:dyDescent="0.25">
      <c r="A668" t="s">
        <v>686</v>
      </c>
      <c r="B668" t="s">
        <v>18</v>
      </c>
      <c r="C668">
        <v>54</v>
      </c>
      <c r="D668" s="19">
        <v>22240</v>
      </c>
      <c r="E668">
        <v>6</v>
      </c>
      <c r="F668">
        <v>4.5</v>
      </c>
      <c r="G668">
        <v>13</v>
      </c>
      <c r="H668">
        <v>8</v>
      </c>
      <c r="I668">
        <v>5</v>
      </c>
      <c r="J668">
        <v>3.2</v>
      </c>
      <c r="K668" t="s">
        <v>14</v>
      </c>
      <c r="L668" t="str">
        <f t="shared" si="10"/>
        <v>Low</v>
      </c>
    </row>
    <row r="669" spans="1:12" ht="15" customHeight="1" x14ac:dyDescent="0.25">
      <c r="A669" t="s">
        <v>687</v>
      </c>
      <c r="B669" t="s">
        <v>16</v>
      </c>
      <c r="C669">
        <v>40</v>
      </c>
      <c r="D669" s="19">
        <v>34283</v>
      </c>
      <c r="E669">
        <v>2</v>
      </c>
      <c r="F669">
        <v>3.5</v>
      </c>
      <c r="G669">
        <v>23</v>
      </c>
      <c r="H669">
        <v>14</v>
      </c>
      <c r="I669">
        <v>11</v>
      </c>
      <c r="J669">
        <v>1.9</v>
      </c>
      <c r="K669" t="s">
        <v>14</v>
      </c>
      <c r="L669" t="str">
        <f t="shared" si="10"/>
        <v>Medium</v>
      </c>
    </row>
    <row r="670" spans="1:12" ht="15" customHeight="1" x14ac:dyDescent="0.25">
      <c r="A670" t="s">
        <v>688</v>
      </c>
      <c r="B670" t="s">
        <v>39</v>
      </c>
      <c r="C670">
        <v>25</v>
      </c>
      <c r="D670" s="19">
        <v>18344</v>
      </c>
      <c r="E670">
        <v>15</v>
      </c>
      <c r="F670">
        <v>2.7</v>
      </c>
      <c r="G670">
        <v>38</v>
      </c>
      <c r="H670">
        <v>30</v>
      </c>
      <c r="I670">
        <v>14</v>
      </c>
      <c r="J670">
        <v>4.2</v>
      </c>
      <c r="K670" t="s">
        <v>14</v>
      </c>
      <c r="L670" t="str">
        <f t="shared" si="10"/>
        <v>Medium</v>
      </c>
    </row>
    <row r="671" spans="1:12" ht="15" customHeight="1" x14ac:dyDescent="0.25">
      <c r="A671" t="s">
        <v>689</v>
      </c>
      <c r="B671" t="s">
        <v>31</v>
      </c>
      <c r="C671">
        <v>41</v>
      </c>
      <c r="D671" s="19">
        <v>22930</v>
      </c>
      <c r="E671">
        <v>4</v>
      </c>
      <c r="F671">
        <v>4.2</v>
      </c>
      <c r="G671">
        <v>22</v>
      </c>
      <c r="H671">
        <v>0</v>
      </c>
      <c r="I671">
        <v>1</v>
      </c>
      <c r="J671">
        <v>5</v>
      </c>
      <c r="K671" t="s">
        <v>14</v>
      </c>
      <c r="L671" t="str">
        <f t="shared" si="10"/>
        <v>Low</v>
      </c>
    </row>
    <row r="672" spans="1:12" ht="15" customHeight="1" x14ac:dyDescent="0.25">
      <c r="A672" t="s">
        <v>690</v>
      </c>
      <c r="B672" t="s">
        <v>18</v>
      </c>
      <c r="C672">
        <v>54</v>
      </c>
      <c r="D672" s="19">
        <v>19985</v>
      </c>
      <c r="E672">
        <v>15</v>
      </c>
      <c r="F672">
        <v>4.2</v>
      </c>
      <c r="G672">
        <v>10</v>
      </c>
      <c r="H672">
        <v>16</v>
      </c>
      <c r="I672">
        <v>6</v>
      </c>
      <c r="J672">
        <v>2.2000000000000002</v>
      </c>
      <c r="K672" t="s">
        <v>26</v>
      </c>
      <c r="L672" t="str">
        <f t="shared" si="10"/>
        <v>High</v>
      </c>
    </row>
    <row r="673" spans="1:12" ht="15" customHeight="1" x14ac:dyDescent="0.25">
      <c r="A673" t="s">
        <v>691</v>
      </c>
      <c r="B673" t="s">
        <v>39</v>
      </c>
      <c r="C673">
        <v>55</v>
      </c>
      <c r="D673" s="19">
        <v>23748</v>
      </c>
      <c r="E673">
        <v>0</v>
      </c>
      <c r="F673">
        <v>3</v>
      </c>
      <c r="G673">
        <v>9</v>
      </c>
      <c r="H673">
        <v>30</v>
      </c>
      <c r="I673">
        <v>4</v>
      </c>
      <c r="J673">
        <v>2.8</v>
      </c>
      <c r="K673" t="s">
        <v>14</v>
      </c>
      <c r="L673" t="str">
        <f t="shared" si="10"/>
        <v>Medium</v>
      </c>
    </row>
    <row r="674" spans="1:12" ht="15" customHeight="1" x14ac:dyDescent="0.25">
      <c r="A674" t="s">
        <v>692</v>
      </c>
      <c r="B674" t="s">
        <v>21</v>
      </c>
      <c r="C674">
        <v>60</v>
      </c>
      <c r="D674" s="19">
        <v>21621</v>
      </c>
      <c r="E674">
        <v>10</v>
      </c>
      <c r="F674">
        <v>3.9</v>
      </c>
      <c r="G674">
        <v>45</v>
      </c>
      <c r="H674">
        <v>18</v>
      </c>
      <c r="I674">
        <v>6</v>
      </c>
      <c r="J674">
        <v>3.5</v>
      </c>
      <c r="K674" t="s">
        <v>14</v>
      </c>
      <c r="L674" t="str">
        <f t="shared" si="10"/>
        <v>Low</v>
      </c>
    </row>
    <row r="675" spans="1:12" ht="15" customHeight="1" x14ac:dyDescent="0.25">
      <c r="A675" t="s">
        <v>693</v>
      </c>
      <c r="B675" t="s">
        <v>16</v>
      </c>
      <c r="C675">
        <v>52</v>
      </c>
      <c r="D675" s="19">
        <v>24353</v>
      </c>
      <c r="E675">
        <v>6</v>
      </c>
      <c r="F675">
        <v>3.3</v>
      </c>
      <c r="G675">
        <v>34</v>
      </c>
      <c r="H675">
        <v>20</v>
      </c>
      <c r="I675">
        <v>7</v>
      </c>
      <c r="J675">
        <v>3.1</v>
      </c>
      <c r="K675" t="s">
        <v>14</v>
      </c>
      <c r="L675" t="str">
        <f t="shared" si="10"/>
        <v>Low</v>
      </c>
    </row>
    <row r="676" spans="1:12" ht="15" customHeight="1" x14ac:dyDescent="0.25">
      <c r="A676" t="s">
        <v>694</v>
      </c>
      <c r="B676" t="s">
        <v>21</v>
      </c>
      <c r="C676">
        <v>52</v>
      </c>
      <c r="D676" s="19">
        <v>14200</v>
      </c>
      <c r="E676">
        <v>1</v>
      </c>
      <c r="F676">
        <v>3.5</v>
      </c>
      <c r="G676">
        <v>40</v>
      </c>
      <c r="H676">
        <v>11</v>
      </c>
      <c r="I676">
        <v>8</v>
      </c>
      <c r="J676">
        <v>3.9</v>
      </c>
      <c r="K676" t="s">
        <v>14</v>
      </c>
      <c r="L676" t="str">
        <f t="shared" si="10"/>
        <v>Medium</v>
      </c>
    </row>
    <row r="677" spans="1:12" ht="15" customHeight="1" x14ac:dyDescent="0.25">
      <c r="A677" t="s">
        <v>695</v>
      </c>
      <c r="B677" t="s">
        <v>39</v>
      </c>
      <c r="C677">
        <v>58</v>
      </c>
      <c r="D677" s="19">
        <v>22934</v>
      </c>
      <c r="E677">
        <v>6</v>
      </c>
      <c r="F677">
        <v>3.3</v>
      </c>
      <c r="G677">
        <v>33</v>
      </c>
      <c r="H677">
        <v>2</v>
      </c>
      <c r="I677">
        <v>8</v>
      </c>
      <c r="J677">
        <v>4.8</v>
      </c>
      <c r="K677" t="s">
        <v>14</v>
      </c>
      <c r="L677" t="str">
        <f t="shared" si="10"/>
        <v>Low</v>
      </c>
    </row>
    <row r="678" spans="1:12" ht="15" customHeight="1" x14ac:dyDescent="0.25">
      <c r="A678" t="s">
        <v>696</v>
      </c>
      <c r="B678" t="s">
        <v>16</v>
      </c>
      <c r="C678">
        <v>38</v>
      </c>
      <c r="D678" s="19">
        <v>37020</v>
      </c>
      <c r="E678">
        <v>15</v>
      </c>
      <c r="F678">
        <v>2.6</v>
      </c>
      <c r="G678">
        <v>38</v>
      </c>
      <c r="H678">
        <v>26</v>
      </c>
      <c r="I678">
        <v>8</v>
      </c>
      <c r="J678">
        <v>4.4000000000000004</v>
      </c>
      <c r="K678" t="s">
        <v>14</v>
      </c>
      <c r="L678" t="str">
        <f t="shared" si="10"/>
        <v>Medium</v>
      </c>
    </row>
    <row r="679" spans="1:12" ht="15" customHeight="1" x14ac:dyDescent="0.25">
      <c r="A679" t="s">
        <v>697</v>
      </c>
      <c r="B679" t="s">
        <v>18</v>
      </c>
      <c r="C679">
        <v>21</v>
      </c>
      <c r="D679" s="19">
        <v>29415</v>
      </c>
      <c r="E679">
        <v>2</v>
      </c>
      <c r="F679">
        <v>2.4</v>
      </c>
      <c r="G679">
        <v>34</v>
      </c>
      <c r="H679">
        <v>2</v>
      </c>
      <c r="I679">
        <v>12</v>
      </c>
      <c r="J679">
        <v>3.2</v>
      </c>
      <c r="K679" t="s">
        <v>14</v>
      </c>
      <c r="L679" t="str">
        <f t="shared" si="10"/>
        <v>Low</v>
      </c>
    </row>
    <row r="680" spans="1:12" ht="15" customHeight="1" x14ac:dyDescent="0.25">
      <c r="A680" t="s">
        <v>698</v>
      </c>
      <c r="B680" t="s">
        <v>16</v>
      </c>
      <c r="C680">
        <v>26</v>
      </c>
      <c r="D680" s="19">
        <v>26828</v>
      </c>
      <c r="E680">
        <v>11</v>
      </c>
      <c r="F680">
        <v>4.0999999999999996</v>
      </c>
      <c r="G680">
        <v>16</v>
      </c>
      <c r="H680">
        <v>16</v>
      </c>
      <c r="I680">
        <v>8</v>
      </c>
      <c r="J680">
        <v>5</v>
      </c>
      <c r="K680" t="s">
        <v>14</v>
      </c>
      <c r="L680" t="str">
        <f t="shared" si="10"/>
        <v>Low</v>
      </c>
    </row>
    <row r="681" spans="1:12" ht="15" customHeight="1" x14ac:dyDescent="0.25">
      <c r="A681" t="s">
        <v>699</v>
      </c>
      <c r="B681" t="s">
        <v>16</v>
      </c>
      <c r="C681">
        <v>53</v>
      </c>
      <c r="D681" s="19">
        <v>30348</v>
      </c>
      <c r="E681">
        <v>3</v>
      </c>
      <c r="F681">
        <v>3.7</v>
      </c>
      <c r="G681">
        <v>24</v>
      </c>
      <c r="H681">
        <v>28</v>
      </c>
      <c r="I681">
        <v>6</v>
      </c>
      <c r="J681">
        <v>4.8</v>
      </c>
      <c r="K681" t="s">
        <v>14</v>
      </c>
      <c r="L681" t="str">
        <f t="shared" si="10"/>
        <v>Medium</v>
      </c>
    </row>
    <row r="682" spans="1:12" ht="15" customHeight="1" x14ac:dyDescent="0.25">
      <c r="A682" t="s">
        <v>700</v>
      </c>
      <c r="B682" t="s">
        <v>31</v>
      </c>
      <c r="C682">
        <v>44</v>
      </c>
      <c r="D682" s="19">
        <v>22594</v>
      </c>
      <c r="E682">
        <v>15</v>
      </c>
      <c r="F682">
        <v>3.4</v>
      </c>
      <c r="G682">
        <v>22</v>
      </c>
      <c r="H682">
        <v>0</v>
      </c>
      <c r="I682">
        <v>6</v>
      </c>
      <c r="J682">
        <v>1.8</v>
      </c>
      <c r="K682" t="s">
        <v>14</v>
      </c>
      <c r="L682" t="str">
        <f t="shared" si="10"/>
        <v>Medium</v>
      </c>
    </row>
    <row r="683" spans="1:12" ht="15" customHeight="1" x14ac:dyDescent="0.25">
      <c r="A683" t="s">
        <v>701</v>
      </c>
      <c r="B683" t="s">
        <v>31</v>
      </c>
      <c r="C683">
        <v>40</v>
      </c>
      <c r="D683" s="19">
        <v>12301</v>
      </c>
      <c r="E683">
        <v>7</v>
      </c>
      <c r="F683">
        <v>2.5</v>
      </c>
      <c r="G683">
        <v>42</v>
      </c>
      <c r="H683">
        <v>34</v>
      </c>
      <c r="I683">
        <v>7</v>
      </c>
      <c r="J683">
        <v>3.7</v>
      </c>
      <c r="K683" t="s">
        <v>14</v>
      </c>
      <c r="L683" t="str">
        <f t="shared" si="10"/>
        <v>Medium</v>
      </c>
    </row>
    <row r="684" spans="1:12" ht="15" customHeight="1" x14ac:dyDescent="0.25">
      <c r="A684" t="s">
        <v>702</v>
      </c>
      <c r="B684" t="s">
        <v>31</v>
      </c>
      <c r="C684">
        <v>34</v>
      </c>
      <c r="D684" s="19">
        <v>23983</v>
      </c>
      <c r="E684">
        <v>1</v>
      </c>
      <c r="F684">
        <v>3.5</v>
      </c>
      <c r="G684">
        <v>38</v>
      </c>
      <c r="H684">
        <v>35</v>
      </c>
      <c r="I684">
        <v>10</v>
      </c>
      <c r="J684">
        <v>1.6</v>
      </c>
      <c r="K684" t="s">
        <v>14</v>
      </c>
      <c r="L684" t="str">
        <f t="shared" si="10"/>
        <v>Medium</v>
      </c>
    </row>
    <row r="685" spans="1:12" ht="15" customHeight="1" x14ac:dyDescent="0.25">
      <c r="A685" t="s">
        <v>703</v>
      </c>
      <c r="B685" t="s">
        <v>31</v>
      </c>
      <c r="C685">
        <v>22</v>
      </c>
      <c r="D685" s="19">
        <v>18418</v>
      </c>
      <c r="E685">
        <v>10</v>
      </c>
      <c r="F685">
        <v>4.5999999999999996</v>
      </c>
      <c r="G685">
        <v>14</v>
      </c>
      <c r="H685">
        <v>21</v>
      </c>
      <c r="I685">
        <v>13</v>
      </c>
      <c r="J685">
        <v>4.4000000000000004</v>
      </c>
      <c r="K685" t="s">
        <v>14</v>
      </c>
      <c r="L685" t="str">
        <f t="shared" si="10"/>
        <v>Medium</v>
      </c>
    </row>
    <row r="686" spans="1:12" ht="15" customHeight="1" x14ac:dyDescent="0.25">
      <c r="A686" t="s">
        <v>704</v>
      </c>
      <c r="B686" t="s">
        <v>21</v>
      </c>
      <c r="C686">
        <v>59</v>
      </c>
      <c r="D686" s="19">
        <v>18612</v>
      </c>
      <c r="E686">
        <v>4</v>
      </c>
      <c r="F686">
        <v>4</v>
      </c>
      <c r="G686">
        <v>42</v>
      </c>
      <c r="H686">
        <v>29</v>
      </c>
      <c r="I686">
        <v>15</v>
      </c>
      <c r="J686">
        <v>2.9</v>
      </c>
      <c r="K686" t="s">
        <v>14</v>
      </c>
      <c r="L686" t="str">
        <f t="shared" si="10"/>
        <v>Medium</v>
      </c>
    </row>
    <row r="687" spans="1:12" ht="15" customHeight="1" x14ac:dyDescent="0.25">
      <c r="A687" t="s">
        <v>705</v>
      </c>
      <c r="B687" t="s">
        <v>39</v>
      </c>
      <c r="C687">
        <v>24</v>
      </c>
      <c r="D687" s="19">
        <v>26793</v>
      </c>
      <c r="E687">
        <v>15</v>
      </c>
      <c r="F687">
        <v>4.9000000000000004</v>
      </c>
      <c r="G687">
        <v>6</v>
      </c>
      <c r="H687">
        <v>10</v>
      </c>
      <c r="I687">
        <v>12</v>
      </c>
      <c r="J687">
        <v>3.7</v>
      </c>
      <c r="K687" t="s">
        <v>14</v>
      </c>
      <c r="L687" t="str">
        <f t="shared" si="10"/>
        <v>Low</v>
      </c>
    </row>
    <row r="688" spans="1:12" ht="15" customHeight="1" x14ac:dyDescent="0.25">
      <c r="A688" t="s">
        <v>706</v>
      </c>
      <c r="B688" t="s">
        <v>31</v>
      </c>
      <c r="C688">
        <v>60</v>
      </c>
      <c r="D688" s="19">
        <v>13292</v>
      </c>
      <c r="E688">
        <v>2</v>
      </c>
      <c r="F688">
        <v>3.9</v>
      </c>
      <c r="G688">
        <v>13</v>
      </c>
      <c r="H688">
        <v>24</v>
      </c>
      <c r="I688">
        <v>13</v>
      </c>
      <c r="J688">
        <v>3.1</v>
      </c>
      <c r="K688" t="s">
        <v>14</v>
      </c>
      <c r="L688" t="str">
        <f t="shared" si="10"/>
        <v>Medium</v>
      </c>
    </row>
    <row r="689" spans="1:12" ht="15" customHeight="1" x14ac:dyDescent="0.25">
      <c r="A689" t="s">
        <v>707</v>
      </c>
      <c r="B689" t="s">
        <v>39</v>
      </c>
      <c r="C689">
        <v>42</v>
      </c>
      <c r="D689" s="19">
        <v>21542</v>
      </c>
      <c r="E689">
        <v>5</v>
      </c>
      <c r="F689">
        <v>3.6</v>
      </c>
      <c r="G689">
        <v>46</v>
      </c>
      <c r="H689">
        <v>7</v>
      </c>
      <c r="I689">
        <v>10</v>
      </c>
      <c r="J689">
        <v>4.2</v>
      </c>
      <c r="K689" t="s">
        <v>26</v>
      </c>
      <c r="L689" t="str">
        <f t="shared" si="10"/>
        <v>High</v>
      </c>
    </row>
    <row r="690" spans="1:12" ht="15" customHeight="1" x14ac:dyDescent="0.25">
      <c r="A690" t="s">
        <v>708</v>
      </c>
      <c r="B690" t="s">
        <v>21</v>
      </c>
      <c r="C690">
        <v>31</v>
      </c>
      <c r="D690" s="19">
        <v>16700</v>
      </c>
      <c r="E690">
        <v>0</v>
      </c>
      <c r="F690">
        <v>1.5</v>
      </c>
      <c r="G690">
        <v>27</v>
      </c>
      <c r="H690">
        <v>17</v>
      </c>
      <c r="I690">
        <v>7</v>
      </c>
      <c r="J690">
        <v>3</v>
      </c>
      <c r="K690" t="s">
        <v>14</v>
      </c>
      <c r="L690" t="str">
        <f t="shared" si="10"/>
        <v>Medium</v>
      </c>
    </row>
    <row r="691" spans="1:12" ht="15" customHeight="1" x14ac:dyDescent="0.25">
      <c r="A691" t="s">
        <v>709</v>
      </c>
      <c r="B691" t="s">
        <v>18</v>
      </c>
      <c r="C691">
        <v>55</v>
      </c>
      <c r="D691" s="19">
        <v>18508</v>
      </c>
      <c r="E691">
        <v>9</v>
      </c>
      <c r="F691">
        <v>4.5999999999999996</v>
      </c>
      <c r="G691">
        <v>28</v>
      </c>
      <c r="H691">
        <v>4</v>
      </c>
      <c r="I691">
        <v>8</v>
      </c>
      <c r="J691">
        <v>2.2999999999999998</v>
      </c>
      <c r="K691" t="s">
        <v>14</v>
      </c>
      <c r="L691" t="str">
        <f t="shared" si="10"/>
        <v>Medium</v>
      </c>
    </row>
    <row r="692" spans="1:12" ht="15" customHeight="1" x14ac:dyDescent="0.25">
      <c r="A692" t="s">
        <v>710</v>
      </c>
      <c r="B692" t="s">
        <v>39</v>
      </c>
      <c r="C692">
        <v>38</v>
      </c>
      <c r="D692" s="19">
        <v>17167</v>
      </c>
      <c r="E692">
        <v>5</v>
      </c>
      <c r="F692">
        <v>3.4</v>
      </c>
      <c r="G692">
        <v>40</v>
      </c>
      <c r="H692">
        <v>24</v>
      </c>
      <c r="I692">
        <v>12</v>
      </c>
      <c r="J692">
        <v>4.2</v>
      </c>
      <c r="K692" t="s">
        <v>14</v>
      </c>
      <c r="L692" t="str">
        <f t="shared" si="10"/>
        <v>Medium</v>
      </c>
    </row>
    <row r="693" spans="1:12" ht="15" customHeight="1" x14ac:dyDescent="0.25">
      <c r="A693" t="s">
        <v>711</v>
      </c>
      <c r="B693" t="s">
        <v>13</v>
      </c>
      <c r="C693">
        <v>45</v>
      </c>
      <c r="D693" s="19">
        <v>35518</v>
      </c>
      <c r="E693">
        <v>15</v>
      </c>
      <c r="F693">
        <v>3</v>
      </c>
      <c r="G693">
        <v>39</v>
      </c>
      <c r="H693">
        <v>28</v>
      </c>
      <c r="I693">
        <v>15</v>
      </c>
      <c r="J693">
        <v>3.5</v>
      </c>
      <c r="K693" t="s">
        <v>14</v>
      </c>
      <c r="L693" t="str">
        <f t="shared" si="10"/>
        <v>Medium</v>
      </c>
    </row>
    <row r="694" spans="1:12" ht="15" customHeight="1" x14ac:dyDescent="0.25">
      <c r="A694" t="s">
        <v>712</v>
      </c>
      <c r="B694" t="s">
        <v>18</v>
      </c>
      <c r="C694">
        <v>42</v>
      </c>
      <c r="D694" s="19">
        <v>15698</v>
      </c>
      <c r="E694">
        <v>7</v>
      </c>
      <c r="F694">
        <v>3.3</v>
      </c>
      <c r="G694">
        <v>6</v>
      </c>
      <c r="H694">
        <v>8</v>
      </c>
      <c r="I694">
        <v>6</v>
      </c>
      <c r="J694">
        <v>3.2</v>
      </c>
      <c r="K694" t="s">
        <v>26</v>
      </c>
      <c r="L694" t="str">
        <f t="shared" si="10"/>
        <v>High</v>
      </c>
    </row>
    <row r="695" spans="1:12" ht="15" customHeight="1" x14ac:dyDescent="0.25">
      <c r="A695" t="s">
        <v>713</v>
      </c>
      <c r="B695" t="s">
        <v>31</v>
      </c>
      <c r="C695">
        <v>48</v>
      </c>
      <c r="D695" s="19">
        <v>12179</v>
      </c>
      <c r="E695">
        <v>6</v>
      </c>
      <c r="F695">
        <v>1.7</v>
      </c>
      <c r="G695">
        <v>41</v>
      </c>
      <c r="H695">
        <v>2</v>
      </c>
      <c r="I695">
        <v>0</v>
      </c>
      <c r="J695">
        <v>1.9</v>
      </c>
      <c r="K695" t="s">
        <v>26</v>
      </c>
      <c r="L695" t="str">
        <f t="shared" si="10"/>
        <v>High</v>
      </c>
    </row>
    <row r="696" spans="1:12" ht="15" customHeight="1" x14ac:dyDescent="0.25">
      <c r="A696" t="s">
        <v>714</v>
      </c>
      <c r="B696" t="s">
        <v>31</v>
      </c>
      <c r="C696">
        <v>36</v>
      </c>
      <c r="D696" s="19">
        <v>21966</v>
      </c>
      <c r="E696">
        <v>8</v>
      </c>
      <c r="F696">
        <v>2.8</v>
      </c>
      <c r="G696">
        <v>33</v>
      </c>
      <c r="H696">
        <v>23</v>
      </c>
      <c r="I696">
        <v>11</v>
      </c>
      <c r="J696">
        <v>2.1</v>
      </c>
      <c r="K696" t="s">
        <v>14</v>
      </c>
      <c r="L696" t="str">
        <f t="shared" si="10"/>
        <v>Medium</v>
      </c>
    </row>
    <row r="697" spans="1:12" ht="15" customHeight="1" x14ac:dyDescent="0.25">
      <c r="A697" t="s">
        <v>715</v>
      </c>
      <c r="B697" t="s">
        <v>18</v>
      </c>
      <c r="C697">
        <v>57</v>
      </c>
      <c r="D697" s="19">
        <v>20116</v>
      </c>
      <c r="E697">
        <v>13</v>
      </c>
      <c r="F697">
        <v>2.9</v>
      </c>
      <c r="G697">
        <v>6</v>
      </c>
      <c r="H697">
        <v>8</v>
      </c>
      <c r="I697">
        <v>9</v>
      </c>
      <c r="J697">
        <v>2.6</v>
      </c>
      <c r="K697" t="s">
        <v>14</v>
      </c>
      <c r="L697" t="str">
        <f t="shared" si="10"/>
        <v>Medium</v>
      </c>
    </row>
    <row r="698" spans="1:12" ht="15" customHeight="1" x14ac:dyDescent="0.25">
      <c r="A698" t="s">
        <v>716</v>
      </c>
      <c r="B698" t="s">
        <v>21</v>
      </c>
      <c r="C698">
        <v>39</v>
      </c>
      <c r="D698" s="19">
        <v>23324</v>
      </c>
      <c r="E698">
        <v>1</v>
      </c>
      <c r="F698">
        <v>2.8</v>
      </c>
      <c r="G698">
        <v>42</v>
      </c>
      <c r="H698">
        <v>18</v>
      </c>
      <c r="I698">
        <v>12</v>
      </c>
      <c r="J698">
        <v>2.7</v>
      </c>
      <c r="K698" t="s">
        <v>26</v>
      </c>
      <c r="L698" t="str">
        <f t="shared" si="10"/>
        <v>High</v>
      </c>
    </row>
    <row r="699" spans="1:12" ht="15" customHeight="1" x14ac:dyDescent="0.25">
      <c r="A699" t="s">
        <v>717</v>
      </c>
      <c r="B699" t="s">
        <v>18</v>
      </c>
      <c r="C699">
        <v>28</v>
      </c>
      <c r="D699" s="19">
        <v>14533</v>
      </c>
      <c r="E699">
        <v>12</v>
      </c>
      <c r="F699">
        <v>1.7</v>
      </c>
      <c r="G699">
        <v>26</v>
      </c>
      <c r="H699">
        <v>22</v>
      </c>
      <c r="I699">
        <v>3</v>
      </c>
      <c r="J699">
        <v>3.3</v>
      </c>
      <c r="K699" t="s">
        <v>14</v>
      </c>
      <c r="L699" t="str">
        <f t="shared" si="10"/>
        <v>Medium</v>
      </c>
    </row>
    <row r="700" spans="1:12" ht="15" customHeight="1" x14ac:dyDescent="0.25">
      <c r="A700" t="s">
        <v>718</v>
      </c>
      <c r="B700" t="s">
        <v>16</v>
      </c>
      <c r="C700">
        <v>42</v>
      </c>
      <c r="D700" s="19">
        <v>24141</v>
      </c>
      <c r="E700">
        <v>11</v>
      </c>
      <c r="F700">
        <v>4</v>
      </c>
      <c r="G700">
        <v>35</v>
      </c>
      <c r="H700">
        <v>3</v>
      </c>
      <c r="I700">
        <v>10</v>
      </c>
      <c r="J700">
        <v>3</v>
      </c>
      <c r="K700" t="s">
        <v>26</v>
      </c>
      <c r="L700" t="str">
        <f t="shared" si="10"/>
        <v>High</v>
      </c>
    </row>
    <row r="701" spans="1:12" ht="15" customHeight="1" x14ac:dyDescent="0.25">
      <c r="A701" t="s">
        <v>719</v>
      </c>
      <c r="B701" t="s">
        <v>21</v>
      </c>
      <c r="C701">
        <v>27</v>
      </c>
      <c r="D701" s="19">
        <v>21876</v>
      </c>
      <c r="E701">
        <v>14</v>
      </c>
      <c r="F701">
        <v>4.2</v>
      </c>
      <c r="G701">
        <v>4</v>
      </c>
      <c r="H701">
        <v>18</v>
      </c>
      <c r="I701">
        <v>1</v>
      </c>
      <c r="J701">
        <v>3.8</v>
      </c>
      <c r="K701" t="s">
        <v>14</v>
      </c>
      <c r="L701" t="str">
        <f t="shared" si="10"/>
        <v>Low</v>
      </c>
    </row>
  </sheetData>
  <autoFilter ref="A1:L70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showGridLines="0" zoomScaleNormal="100" workbookViewId="0">
      <selection activeCell="A18" sqref="A18"/>
    </sheetView>
  </sheetViews>
  <sheetFormatPr defaultColWidth="8.7109375" defaultRowHeight="15" customHeight="1" x14ac:dyDescent="0.25"/>
  <cols>
    <col min="1" max="7" width="24" style="8" customWidth="1"/>
    <col min="8" max="16384" width="8.7109375" style="8"/>
  </cols>
  <sheetData>
    <row r="1" spans="1:12" ht="24.4" customHeight="1" x14ac:dyDescent="0.35">
      <c r="A1" s="22" t="s">
        <v>720</v>
      </c>
      <c r="B1" s="23"/>
      <c r="C1" s="23"/>
      <c r="D1" s="23"/>
      <c r="E1" s="23"/>
      <c r="F1" s="23"/>
      <c r="G1" s="23"/>
      <c r="H1" s="23"/>
      <c r="I1" s="23"/>
      <c r="J1" s="23"/>
      <c r="K1" s="23"/>
      <c r="L1" s="23"/>
    </row>
    <row r="2" spans="1:12" ht="15" customHeight="1" x14ac:dyDescent="0.25">
      <c r="A2" s="20" t="s">
        <v>721</v>
      </c>
      <c r="B2" s="21"/>
      <c r="C2" s="21"/>
      <c r="D2" s="21"/>
      <c r="E2" s="21"/>
      <c r="F2" s="21"/>
      <c r="G2" s="21"/>
      <c r="H2" s="21"/>
      <c r="I2" s="21"/>
      <c r="J2" s="21"/>
      <c r="K2" s="21"/>
      <c r="L2" s="21"/>
    </row>
    <row r="4" spans="1:12" ht="16.149999999999999" customHeight="1" x14ac:dyDescent="0.25">
      <c r="A4" s="9" t="s">
        <v>722</v>
      </c>
    </row>
    <row r="5" spans="1:12" ht="19.7" customHeight="1" x14ac:dyDescent="0.3">
      <c r="A5" s="2">
        <f>COUNTA('HR Data'!$A$2:$A$701)</f>
        <v>700</v>
      </c>
      <c r="C5" s="2">
        <f>COUNTIF('HR Data'!$K$2:$K$701,"Yes")</f>
        <v>99</v>
      </c>
      <c r="E5" s="7">
        <f>IFERROR(C5/A5,0)</f>
        <v>0.14142857142857143</v>
      </c>
      <c r="G5" s="2">
        <f>SUM('HR Data'!$I$2:$I$701)</f>
        <v>4399</v>
      </c>
    </row>
    <row r="6" spans="1:12" ht="15" customHeight="1" x14ac:dyDescent="0.25">
      <c r="A6" s="3" t="s">
        <v>723</v>
      </c>
      <c r="C6" s="3" t="s">
        <v>724</v>
      </c>
      <c r="E6" s="3" t="s">
        <v>725</v>
      </c>
      <c r="G6" s="3" t="s">
        <v>726</v>
      </c>
    </row>
    <row r="9" spans="1:12" ht="16.149999999999999" customHeight="1" x14ac:dyDescent="0.25">
      <c r="A9" s="9" t="s">
        <v>727</v>
      </c>
    </row>
    <row r="10" spans="1:12" ht="15" customHeight="1" x14ac:dyDescent="0.25">
      <c r="A10" s="12" t="s">
        <v>1</v>
      </c>
      <c r="B10" s="12" t="s">
        <v>723</v>
      </c>
      <c r="C10" s="12" t="s">
        <v>728</v>
      </c>
      <c r="D10" s="12" t="s">
        <v>729</v>
      </c>
      <c r="E10" s="12" t="s">
        <v>8</v>
      </c>
      <c r="F10" s="12" t="s">
        <v>725</v>
      </c>
    </row>
    <row r="11" spans="1:12" ht="15" customHeight="1" x14ac:dyDescent="0.25">
      <c r="A11" s="8" t="s">
        <v>18</v>
      </c>
      <c r="B11" s="8">
        <f>COUNTIF('HR Data'!$B$2:$B$701,A11)</f>
        <v>140</v>
      </c>
      <c r="C11" s="17">
        <f>AVERAGEIF('HR Data'!$B$2:$B$701,A11,'HR Data'!$D$2:$D$701)</f>
        <v>22344.528571428571</v>
      </c>
      <c r="D11" s="10">
        <f>AVERAGEIF('HR Data'!$B$2:$B$701,A11,'HR Data'!$J$2:$J$701)</f>
        <v>3.4442857142857144</v>
      </c>
      <c r="E11" s="8">
        <f>SUMIF('HR Data'!$B$2:$B$701,A11,'HR Data'!$I$2:$I$701)</f>
        <v>842</v>
      </c>
      <c r="F11" s="11">
        <f>IFERROR(COUNTIFS('HR Data'!$B$2:$B$701,A11,'HR Data'!$K$2:$K$701,"Yes")/B11,0)</f>
        <v>0.14285714285714285</v>
      </c>
    </row>
    <row r="12" spans="1:12" ht="15" customHeight="1" x14ac:dyDescent="0.25">
      <c r="A12" s="8" t="s">
        <v>13</v>
      </c>
      <c r="B12" s="8">
        <f>COUNTIF('HR Data'!$B$2:$B$701,A12)</f>
        <v>119</v>
      </c>
      <c r="C12" s="17">
        <f>AVERAGEIF('HR Data'!$B$2:$B$701,A12,'HR Data'!$D$2:$D$701)</f>
        <v>30669.310924369747</v>
      </c>
      <c r="D12" s="10">
        <f>AVERAGEIF('HR Data'!$B$2:$B$701,A12,'HR Data'!$J$2:$J$701)</f>
        <v>3.4000000000000021</v>
      </c>
      <c r="E12" s="8">
        <f>SUMIF('HR Data'!$B$2:$B$701,A12,'HR Data'!$I$2:$I$701)</f>
        <v>783</v>
      </c>
      <c r="F12" s="11">
        <f>IFERROR(COUNTIFS('HR Data'!$B$2:$B$701,A12,'HR Data'!$K$2:$K$701,"Yes")/B12,0)</f>
        <v>0.11764705882352941</v>
      </c>
    </row>
    <row r="13" spans="1:12" ht="15" customHeight="1" x14ac:dyDescent="0.25">
      <c r="A13" s="8" t="s">
        <v>16</v>
      </c>
      <c r="B13" s="8">
        <f>COUNTIF('HR Data'!$B$2:$B$701,A13)</f>
        <v>125</v>
      </c>
      <c r="C13" s="17">
        <f>AVERAGEIF('HR Data'!$B$2:$B$701,A13,'HR Data'!$D$2:$D$701)</f>
        <v>28010.472000000002</v>
      </c>
      <c r="D13" s="10">
        <f>AVERAGEIF('HR Data'!$B$2:$B$701,A13,'HR Data'!$J$2:$J$701)</f>
        <v>3.4320000000000017</v>
      </c>
      <c r="E13" s="8">
        <f>SUMIF('HR Data'!$B$2:$B$701,A13,'HR Data'!$I$2:$I$701)</f>
        <v>786</v>
      </c>
      <c r="F13" s="11">
        <f>IFERROR(COUNTIFS('HR Data'!$B$2:$B$701,A13,'HR Data'!$K$2:$K$701,"Yes")/B13,0)</f>
        <v>0.16800000000000001</v>
      </c>
    </row>
    <row r="14" spans="1:12" ht="15" customHeight="1" x14ac:dyDescent="0.25">
      <c r="A14" s="8" t="s">
        <v>21</v>
      </c>
      <c r="B14" s="8">
        <f>COUNTIF('HR Data'!$B$2:$B$701,A14)</f>
        <v>99</v>
      </c>
      <c r="C14" s="17">
        <f>AVERAGEIF('HR Data'!$B$2:$B$701,A14,'HR Data'!$D$2:$D$701)</f>
        <v>19684.868686868685</v>
      </c>
      <c r="D14" s="10">
        <f>AVERAGEIF('HR Data'!$B$2:$B$701,A14,'HR Data'!$J$2:$J$701)</f>
        <v>3.2959595959595944</v>
      </c>
      <c r="E14" s="8">
        <f>SUMIF('HR Data'!$B$2:$B$701,A14,'HR Data'!$I$2:$I$701)</f>
        <v>571</v>
      </c>
      <c r="F14" s="11">
        <f>IFERROR(COUNTIFS('HR Data'!$B$2:$B$701,A14,'HR Data'!$K$2:$K$701,"Yes")/B14,0)</f>
        <v>0.1111111111111111</v>
      </c>
    </row>
    <row r="15" spans="1:12" ht="15" customHeight="1" x14ac:dyDescent="0.25">
      <c r="A15" s="8" t="s">
        <v>39</v>
      </c>
      <c r="B15" s="8">
        <f>COUNTIF('HR Data'!$B$2:$B$701,A15)</f>
        <v>111</v>
      </c>
      <c r="C15" s="17">
        <f>AVERAGEIF('HR Data'!$B$2:$B$701,A15,'HR Data'!$D$2:$D$701)</f>
        <v>23392.009009009009</v>
      </c>
      <c r="D15" s="10">
        <f>AVERAGEIF('HR Data'!$B$2:$B$701,A15,'HR Data'!$J$2:$J$701)</f>
        <v>3.3144144144144145</v>
      </c>
      <c r="E15" s="8">
        <f>SUMIF('HR Data'!$B$2:$B$701,A15,'HR Data'!$I$2:$I$701)</f>
        <v>742</v>
      </c>
      <c r="F15" s="11">
        <f>IFERROR(COUNTIFS('HR Data'!$B$2:$B$701,A15,'HR Data'!$K$2:$K$701,"Yes")/B15,0)</f>
        <v>0.12612612612612611</v>
      </c>
    </row>
    <row r="16" spans="1:12" ht="15" customHeight="1" x14ac:dyDescent="0.25">
      <c r="A16" s="8" t="s">
        <v>31</v>
      </c>
      <c r="B16" s="8">
        <f>COUNTIF('HR Data'!$B$2:$B$701,A16)</f>
        <v>106</v>
      </c>
      <c r="C16" s="17">
        <f>AVERAGEIF('HR Data'!$B$2:$B$701,A16,'HR Data'!$D$2:$D$701)</f>
        <v>17948.952830188678</v>
      </c>
      <c r="D16" s="10">
        <f>AVERAGEIF('HR Data'!$B$2:$B$701,A16,'HR Data'!$J$2:$J$701)</f>
        <v>3.3490566037735867</v>
      </c>
      <c r="E16" s="8">
        <f>SUMIF('HR Data'!$B$2:$B$701,A16,'HR Data'!$I$2:$I$701)</f>
        <v>675</v>
      </c>
      <c r="F16" s="11">
        <f>IFERROR(COUNTIFS('HR Data'!$B$2:$B$701,A16,'HR Data'!$K$2:$K$701,"Yes")/B16,0)</f>
        <v>0.17924528301886791</v>
      </c>
    </row>
    <row r="20" spans="1:4" ht="16.149999999999999" customHeight="1" x14ac:dyDescent="0.25">
      <c r="A20" s="9" t="s">
        <v>730</v>
      </c>
    </row>
    <row r="21" spans="1:4" ht="15" customHeight="1" x14ac:dyDescent="0.25">
      <c r="A21" s="12" t="s">
        <v>731</v>
      </c>
      <c r="B21" s="12" t="s">
        <v>723</v>
      </c>
      <c r="C21" s="12" t="s">
        <v>724</v>
      </c>
      <c r="D21" s="12" t="s">
        <v>725</v>
      </c>
    </row>
    <row r="22" spans="1:4" ht="15" customHeight="1" x14ac:dyDescent="0.25">
      <c r="A22" s="8">
        <v>1</v>
      </c>
      <c r="B22" s="8">
        <f>COUNTIF('HR Data'!$J$2:$J$701,A22)</f>
        <v>6</v>
      </c>
      <c r="C22" s="8">
        <f>COUNTIFS('HR Data'!$J$2:$J$701,A22,'HR Data'!$K$2:$K$701,"Yes")</f>
        <v>2</v>
      </c>
      <c r="D22" s="11">
        <f>IFERROR(C22/B22,0)</f>
        <v>0.33333333333333331</v>
      </c>
    </row>
    <row r="23" spans="1:4" ht="15" customHeight="1" x14ac:dyDescent="0.25">
      <c r="A23" s="8">
        <v>2</v>
      </c>
      <c r="B23" s="8">
        <f>COUNTIF('HR Data'!$J$2:$J$701,A23)</f>
        <v>12</v>
      </c>
      <c r="C23" s="8">
        <f>COUNTIFS('HR Data'!$J$2:$J$701,A23,'HR Data'!$K$2:$K$701,"Yes")</f>
        <v>1</v>
      </c>
      <c r="D23" s="11">
        <f>IFERROR(C23/B23,0)</f>
        <v>8.3333333333333329E-2</v>
      </c>
    </row>
    <row r="24" spans="1:4" ht="15" customHeight="1" x14ac:dyDescent="0.25">
      <c r="A24" s="8">
        <v>3</v>
      </c>
      <c r="B24" s="8">
        <f>COUNTIF('HR Data'!$J$2:$J$701,A24)</f>
        <v>28</v>
      </c>
      <c r="C24" s="8">
        <f>COUNTIFS('HR Data'!$J$2:$J$701,A24,'HR Data'!$K$2:$K$701,"Yes")</f>
        <v>1</v>
      </c>
      <c r="D24" s="11">
        <f>IFERROR(C24/B24,0)</f>
        <v>3.5714285714285712E-2</v>
      </c>
    </row>
    <row r="25" spans="1:4" ht="15" customHeight="1" x14ac:dyDescent="0.25">
      <c r="A25" s="8">
        <v>4</v>
      </c>
      <c r="B25" s="8">
        <f>COUNTIF('HR Data'!$J$2:$J$701,A25)</f>
        <v>28</v>
      </c>
      <c r="C25" s="8">
        <f>COUNTIFS('HR Data'!$J$2:$J$701,A25,'HR Data'!$K$2:$K$701,"Yes")</f>
        <v>2</v>
      </c>
      <c r="D25" s="11">
        <f>IFERROR(C25/B25,0)</f>
        <v>7.1428571428571425E-2</v>
      </c>
    </row>
    <row r="26" spans="1:4" ht="15" customHeight="1" x14ac:dyDescent="0.25">
      <c r="A26" s="8">
        <v>5</v>
      </c>
      <c r="B26" s="8">
        <f>COUNTIF('HR Data'!$J$2:$J$701,A26)</f>
        <v>29</v>
      </c>
      <c r="C26" s="8">
        <f>COUNTIFS('HR Data'!$J$2:$J$701,A26,'HR Data'!$K$2:$K$701,"Yes")</f>
        <v>0</v>
      </c>
      <c r="D26" s="11">
        <f>IFERROR(C26/B26,0)</f>
        <v>0</v>
      </c>
    </row>
  </sheetData>
  <mergeCells count="2">
    <mergeCell ref="A2:L2"/>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7"/>
  <sheetViews>
    <sheetView showGridLines="0" zoomScaleNormal="100" workbookViewId="0">
      <selection activeCell="F8" sqref="F8"/>
    </sheetView>
  </sheetViews>
  <sheetFormatPr defaultColWidth="8.7109375" defaultRowHeight="15" customHeight="1" x14ac:dyDescent="0.25"/>
  <cols>
    <col min="1" max="1" width="18" style="8" customWidth="1"/>
    <col min="2" max="2" width="14" style="8" customWidth="1"/>
    <col min="3" max="3" width="8.7109375" style="8"/>
    <col min="4" max="4" width="15" style="8" customWidth="1"/>
    <col min="5" max="5" width="8.7109375" style="8"/>
    <col min="6" max="6" width="14" style="8" customWidth="1"/>
    <col min="7" max="8" width="18" style="8" customWidth="1"/>
    <col min="9" max="16384" width="8.7109375" style="8"/>
  </cols>
  <sheetData>
    <row r="1" spans="1:12" ht="24.4" customHeight="1" x14ac:dyDescent="0.35">
      <c r="A1" s="26" t="s">
        <v>732</v>
      </c>
      <c r="B1" s="27"/>
      <c r="C1" s="27"/>
      <c r="D1" s="27"/>
      <c r="E1" s="27"/>
      <c r="F1" s="27"/>
      <c r="G1" s="27"/>
      <c r="H1" s="27"/>
      <c r="I1" s="27"/>
      <c r="J1" s="27"/>
      <c r="K1" s="27"/>
      <c r="L1" s="27"/>
    </row>
    <row r="2" spans="1:12" ht="15" customHeight="1" x14ac:dyDescent="0.25">
      <c r="A2" s="20" t="s">
        <v>733</v>
      </c>
      <c r="B2" s="21"/>
      <c r="C2" s="21"/>
      <c r="D2" s="21"/>
      <c r="E2" s="21"/>
      <c r="F2" s="21"/>
      <c r="G2" s="21"/>
      <c r="H2" s="21"/>
      <c r="I2" s="21"/>
      <c r="J2" s="21"/>
      <c r="K2" s="21"/>
      <c r="L2" s="21"/>
    </row>
    <row r="4" spans="1:12" ht="19.7" customHeight="1" x14ac:dyDescent="0.3">
      <c r="B4" s="4">
        <f>Analysis!A5</f>
        <v>700</v>
      </c>
      <c r="D4" s="6">
        <f>Analysis!E5</f>
        <v>0.14142857142857143</v>
      </c>
      <c r="F4" s="4">
        <f>Analysis!G5</f>
        <v>4399</v>
      </c>
      <c r="H4" s="13">
        <f>AVERAGE('HR Data'!$J$2:$J$701)</f>
        <v>3.3785714285714241</v>
      </c>
    </row>
    <row r="5" spans="1:12" ht="15" customHeight="1" x14ac:dyDescent="0.25">
      <c r="B5" s="5" t="s">
        <v>723</v>
      </c>
      <c r="D5" s="5" t="s">
        <v>725</v>
      </c>
      <c r="F5" s="5" t="s">
        <v>8</v>
      </c>
      <c r="H5" s="5" t="s">
        <v>729</v>
      </c>
    </row>
    <row r="23" spans="7:12" ht="16.149999999999999" customHeight="1" x14ac:dyDescent="0.25">
      <c r="G23" s="14" t="s">
        <v>734</v>
      </c>
      <c r="H23" s="15"/>
    </row>
    <row r="24" spans="7:12" ht="28.35" customHeight="1" x14ac:dyDescent="0.25">
      <c r="G24" s="24" t="s">
        <v>735</v>
      </c>
      <c r="H24" s="25"/>
      <c r="I24" s="25"/>
      <c r="J24" s="25"/>
      <c r="K24" s="25"/>
      <c r="L24" s="25"/>
    </row>
    <row r="25" spans="7:12" ht="15" customHeight="1" x14ac:dyDescent="0.25">
      <c r="G25" s="24" t="s">
        <v>736</v>
      </c>
      <c r="H25" s="25"/>
      <c r="I25" s="25"/>
      <c r="J25" s="25"/>
      <c r="K25" s="25"/>
      <c r="L25" s="25"/>
    </row>
    <row r="26" spans="7:12" ht="28.35" customHeight="1" x14ac:dyDescent="0.25">
      <c r="G26" s="24" t="s">
        <v>737</v>
      </c>
      <c r="H26" s="25"/>
      <c r="I26" s="25"/>
      <c r="J26" s="25"/>
      <c r="K26" s="25"/>
      <c r="L26" s="25"/>
    </row>
    <row r="27" spans="7:12" ht="28.35" customHeight="1" x14ac:dyDescent="0.25">
      <c r="G27" s="24" t="s">
        <v>738</v>
      </c>
      <c r="H27" s="25"/>
      <c r="I27" s="25"/>
      <c r="J27" s="25"/>
      <c r="K27" s="25"/>
      <c r="L27" s="25"/>
    </row>
  </sheetData>
  <mergeCells count="6">
    <mergeCell ref="A2:L2"/>
    <mergeCell ref="G25:L25"/>
    <mergeCell ref="G27:L27"/>
    <mergeCell ref="G24:L24"/>
    <mergeCell ref="A1:L1"/>
    <mergeCell ref="G26:L26"/>
  </mergeCells>
  <pageMargins left="0.25" right="0.25" top="0.4" bottom="0.4" header="0.511811023622047" footer="0.2"/>
  <pageSetup paperSize="9" orientation="landscape" horizontalDpi="300" verticalDpi="300"/>
  <headerFooter>
    <oddFooter>&amp;CPortfolio project | Naomi Mohlala&amp;RPage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ED90-E203-456B-9867-8A015A889CE5}">
  <dimension ref="A3:M21"/>
  <sheetViews>
    <sheetView workbookViewId="0">
      <selection activeCell="C20" sqref="C20"/>
    </sheetView>
  </sheetViews>
  <sheetFormatPr defaultRowHeight="15" x14ac:dyDescent="0.25"/>
  <cols>
    <col min="1" max="1" width="16.5703125" style="8" bestFit="1" customWidth="1"/>
    <col min="2" max="2" width="20.42578125" style="8" bestFit="1" customWidth="1"/>
    <col min="3" max="3" width="24.7109375" style="8" bestFit="1" customWidth="1"/>
    <col min="4" max="4" width="20" style="8" bestFit="1" customWidth="1"/>
    <col min="5" max="5" width="9.140625" style="8"/>
    <col min="6" max="6" width="20.42578125" style="8" bestFit="1" customWidth="1"/>
    <col min="7" max="7" width="16.5703125" style="8" bestFit="1" customWidth="1"/>
    <col min="8" max="8" width="7.85546875" style="8" bestFit="1" customWidth="1"/>
    <col min="9" max="10" width="4" style="8" bestFit="1" customWidth="1"/>
    <col min="11" max="11" width="10.85546875" style="8" bestFit="1" customWidth="1"/>
    <col min="12" max="12" width="5.5703125" style="8" bestFit="1" customWidth="1"/>
    <col min="13" max="13" width="11.28515625" style="8" bestFit="1" customWidth="1"/>
    <col min="14" max="16384" width="9.140625" style="8"/>
  </cols>
  <sheetData>
    <row r="3" spans="1:13" x14ac:dyDescent="0.25">
      <c r="A3" s="8" t="s">
        <v>739</v>
      </c>
      <c r="B3" s="8" t="s">
        <v>741</v>
      </c>
      <c r="C3" s="17" t="s">
        <v>744</v>
      </c>
      <c r="D3" s="8" t="s">
        <v>743</v>
      </c>
      <c r="F3" s="8" t="s">
        <v>741</v>
      </c>
      <c r="G3" s="8" t="s">
        <v>742</v>
      </c>
    </row>
    <row r="4" spans="1:13" x14ac:dyDescent="0.25">
      <c r="A4" s="16" t="s">
        <v>31</v>
      </c>
      <c r="B4" s="8">
        <v>106</v>
      </c>
      <c r="C4" s="17">
        <v>17948.952830188678</v>
      </c>
      <c r="D4" s="8">
        <v>675</v>
      </c>
      <c r="F4" s="8" t="s">
        <v>739</v>
      </c>
      <c r="G4" s="8" t="s">
        <v>31</v>
      </c>
      <c r="H4" s="8" t="s">
        <v>16</v>
      </c>
      <c r="I4" s="8" t="s">
        <v>39</v>
      </c>
      <c r="J4" s="8" t="s">
        <v>13</v>
      </c>
      <c r="K4" s="8" t="s">
        <v>21</v>
      </c>
      <c r="L4" s="8" t="s">
        <v>18</v>
      </c>
      <c r="M4" s="8" t="s">
        <v>740</v>
      </c>
    </row>
    <row r="5" spans="1:13" x14ac:dyDescent="0.25">
      <c r="A5" s="16" t="s">
        <v>16</v>
      </c>
      <c r="B5" s="8">
        <v>125</v>
      </c>
      <c r="C5" s="17">
        <v>28010.472000000002</v>
      </c>
      <c r="D5" s="8">
        <v>786</v>
      </c>
      <c r="F5" s="16">
        <v>0</v>
      </c>
      <c r="G5" s="8">
        <v>4</v>
      </c>
      <c r="H5" s="8">
        <v>5</v>
      </c>
      <c r="I5" s="8">
        <v>5</v>
      </c>
      <c r="J5" s="8">
        <v>9</v>
      </c>
      <c r="K5" s="8">
        <v>4</v>
      </c>
      <c r="L5" s="8">
        <v>6</v>
      </c>
      <c r="M5" s="8">
        <v>33</v>
      </c>
    </row>
    <row r="6" spans="1:13" x14ac:dyDescent="0.25">
      <c r="A6" s="16" t="s">
        <v>39</v>
      </c>
      <c r="B6" s="8">
        <v>111</v>
      </c>
      <c r="C6" s="17">
        <v>23392.009009009009</v>
      </c>
      <c r="D6" s="8">
        <v>742</v>
      </c>
      <c r="F6" s="16">
        <v>1</v>
      </c>
      <c r="G6" s="8">
        <v>8</v>
      </c>
      <c r="H6" s="8">
        <v>12</v>
      </c>
      <c r="I6" s="8">
        <v>6</v>
      </c>
      <c r="J6" s="8">
        <v>7</v>
      </c>
      <c r="K6" s="8">
        <v>6</v>
      </c>
      <c r="L6" s="8">
        <v>9</v>
      </c>
      <c r="M6" s="8">
        <v>48</v>
      </c>
    </row>
    <row r="7" spans="1:13" x14ac:dyDescent="0.25">
      <c r="A7" s="16" t="s">
        <v>13</v>
      </c>
      <c r="B7" s="8">
        <v>119</v>
      </c>
      <c r="C7" s="17">
        <v>30669.310924369747</v>
      </c>
      <c r="D7" s="8">
        <v>783</v>
      </c>
      <c r="F7" s="16">
        <v>2</v>
      </c>
      <c r="G7" s="8">
        <v>11</v>
      </c>
      <c r="H7" s="8">
        <v>4</v>
      </c>
      <c r="I7" s="8">
        <v>7</v>
      </c>
      <c r="J7" s="8">
        <v>5</v>
      </c>
      <c r="K7" s="8">
        <v>7</v>
      </c>
      <c r="L7" s="8">
        <v>11</v>
      </c>
      <c r="M7" s="8">
        <v>45</v>
      </c>
    </row>
    <row r="8" spans="1:13" x14ac:dyDescent="0.25">
      <c r="A8" s="16" t="s">
        <v>21</v>
      </c>
      <c r="B8" s="8">
        <v>99</v>
      </c>
      <c r="C8" s="17">
        <v>19684.868686868685</v>
      </c>
      <c r="D8" s="8">
        <v>571</v>
      </c>
      <c r="F8" s="16">
        <v>3</v>
      </c>
      <c r="G8" s="8">
        <v>6</v>
      </c>
      <c r="H8" s="8">
        <v>16</v>
      </c>
      <c r="I8" s="8">
        <v>7</v>
      </c>
      <c r="J8" s="8">
        <v>10</v>
      </c>
      <c r="K8" s="8">
        <v>4</v>
      </c>
      <c r="L8" s="8">
        <v>10</v>
      </c>
      <c r="M8" s="8">
        <v>53</v>
      </c>
    </row>
    <row r="9" spans="1:13" x14ac:dyDescent="0.25">
      <c r="A9" s="16" t="s">
        <v>18</v>
      </c>
      <c r="B9" s="8">
        <v>140</v>
      </c>
      <c r="C9" s="17">
        <v>22344.528571428571</v>
      </c>
      <c r="D9" s="8">
        <v>842</v>
      </c>
      <c r="F9" s="16">
        <v>4</v>
      </c>
      <c r="G9" s="8">
        <v>7</v>
      </c>
      <c r="H9" s="8">
        <v>11</v>
      </c>
      <c r="I9" s="8">
        <v>10</v>
      </c>
      <c r="J9" s="8">
        <v>6</v>
      </c>
      <c r="K9" s="8">
        <v>6</v>
      </c>
      <c r="L9" s="8">
        <v>11</v>
      </c>
      <c r="M9" s="8">
        <v>51</v>
      </c>
    </row>
    <row r="10" spans="1:13" x14ac:dyDescent="0.25">
      <c r="A10" s="16" t="s">
        <v>740</v>
      </c>
      <c r="B10" s="8">
        <v>700</v>
      </c>
      <c r="C10" s="17">
        <v>23895.85</v>
      </c>
      <c r="D10" s="8">
        <v>4399</v>
      </c>
      <c r="F10" s="16">
        <v>5</v>
      </c>
      <c r="G10" s="8">
        <v>6</v>
      </c>
      <c r="H10" s="8">
        <v>7</v>
      </c>
      <c r="I10" s="8">
        <v>7</v>
      </c>
      <c r="J10" s="8">
        <v>11</v>
      </c>
      <c r="K10" s="8">
        <v>5</v>
      </c>
      <c r="L10" s="8">
        <v>7</v>
      </c>
      <c r="M10" s="8">
        <v>43</v>
      </c>
    </row>
    <row r="11" spans="1:13" x14ac:dyDescent="0.25">
      <c r="F11" s="16">
        <v>6</v>
      </c>
      <c r="G11" s="8">
        <v>9</v>
      </c>
      <c r="H11" s="8">
        <v>9</v>
      </c>
      <c r="I11" s="8">
        <v>6</v>
      </c>
      <c r="J11" s="8">
        <v>4</v>
      </c>
      <c r="K11" s="8">
        <v>9</v>
      </c>
      <c r="L11" s="8">
        <v>6</v>
      </c>
      <c r="M11" s="8">
        <v>43</v>
      </c>
    </row>
    <row r="12" spans="1:13" x14ac:dyDescent="0.25">
      <c r="F12" s="16">
        <v>7</v>
      </c>
      <c r="G12" s="8">
        <v>10</v>
      </c>
      <c r="H12" s="8">
        <v>7</v>
      </c>
      <c r="I12" s="8">
        <v>6</v>
      </c>
      <c r="J12" s="8">
        <v>8</v>
      </c>
      <c r="K12" s="8">
        <v>13</v>
      </c>
      <c r="L12" s="8">
        <v>7</v>
      </c>
      <c r="M12" s="8">
        <v>51</v>
      </c>
    </row>
    <row r="13" spans="1:13" x14ac:dyDescent="0.25">
      <c r="F13" s="16">
        <v>8</v>
      </c>
      <c r="G13" s="8">
        <v>7</v>
      </c>
      <c r="H13" s="8">
        <v>2</v>
      </c>
      <c r="I13" s="8">
        <v>7</v>
      </c>
      <c r="J13" s="8">
        <v>8</v>
      </c>
      <c r="K13" s="8">
        <v>3</v>
      </c>
      <c r="L13" s="8">
        <v>10</v>
      </c>
      <c r="M13" s="8">
        <v>37</v>
      </c>
    </row>
    <row r="14" spans="1:13" x14ac:dyDescent="0.25">
      <c r="F14" s="16">
        <v>9</v>
      </c>
      <c r="G14" s="8">
        <v>1</v>
      </c>
      <c r="H14" s="8">
        <v>11</v>
      </c>
      <c r="I14" s="8">
        <v>8</v>
      </c>
      <c r="J14" s="8">
        <v>6</v>
      </c>
      <c r="K14" s="8">
        <v>5</v>
      </c>
      <c r="L14" s="8">
        <v>13</v>
      </c>
      <c r="M14" s="8">
        <v>44</v>
      </c>
    </row>
    <row r="15" spans="1:13" x14ac:dyDescent="0.25">
      <c r="F15" s="16">
        <v>10</v>
      </c>
      <c r="G15" s="8">
        <v>11</v>
      </c>
      <c r="H15" s="8">
        <v>9</v>
      </c>
      <c r="I15" s="8">
        <v>6</v>
      </c>
      <c r="J15" s="8">
        <v>7</v>
      </c>
      <c r="K15" s="8">
        <v>8</v>
      </c>
      <c r="L15" s="8">
        <v>7</v>
      </c>
      <c r="M15" s="8">
        <v>48</v>
      </c>
    </row>
    <row r="16" spans="1:13" x14ac:dyDescent="0.25">
      <c r="F16" s="16">
        <v>11</v>
      </c>
      <c r="G16" s="8">
        <v>5</v>
      </c>
      <c r="H16" s="8">
        <v>4</v>
      </c>
      <c r="I16" s="8">
        <v>3</v>
      </c>
      <c r="J16" s="8">
        <v>6</v>
      </c>
      <c r="K16" s="8">
        <v>7</v>
      </c>
      <c r="L16" s="8">
        <v>6</v>
      </c>
      <c r="M16" s="8">
        <v>31</v>
      </c>
    </row>
    <row r="17" spans="6:13" x14ac:dyDescent="0.25">
      <c r="F17" s="16">
        <v>12</v>
      </c>
      <c r="G17" s="8">
        <v>11</v>
      </c>
      <c r="H17" s="8">
        <v>7</v>
      </c>
      <c r="I17" s="8">
        <v>4</v>
      </c>
      <c r="J17" s="8">
        <v>12</v>
      </c>
      <c r="K17" s="8">
        <v>8</v>
      </c>
      <c r="L17" s="8">
        <v>9</v>
      </c>
      <c r="M17" s="8">
        <v>51</v>
      </c>
    </row>
    <row r="18" spans="6:13" x14ac:dyDescent="0.25">
      <c r="F18" s="16">
        <v>13</v>
      </c>
      <c r="G18" s="8">
        <v>5</v>
      </c>
      <c r="H18" s="8">
        <v>8</v>
      </c>
      <c r="I18" s="8">
        <v>12</v>
      </c>
      <c r="J18" s="8">
        <v>6</v>
      </c>
      <c r="K18" s="8">
        <v>7</v>
      </c>
      <c r="L18" s="8">
        <v>10</v>
      </c>
      <c r="M18" s="8">
        <v>48</v>
      </c>
    </row>
    <row r="19" spans="6:13" x14ac:dyDescent="0.25">
      <c r="F19" s="16">
        <v>14</v>
      </c>
      <c r="G19" s="8">
        <v>2</v>
      </c>
      <c r="H19" s="8">
        <v>6</v>
      </c>
      <c r="I19" s="8">
        <v>6</v>
      </c>
      <c r="J19" s="8">
        <v>4</v>
      </c>
      <c r="K19" s="8">
        <v>4</v>
      </c>
      <c r="L19" s="8">
        <v>6</v>
      </c>
      <c r="M19" s="8">
        <v>28</v>
      </c>
    </row>
    <row r="20" spans="6:13" x14ac:dyDescent="0.25">
      <c r="F20" s="16">
        <v>15</v>
      </c>
      <c r="G20" s="8">
        <v>3</v>
      </c>
      <c r="H20" s="8">
        <v>7</v>
      </c>
      <c r="I20" s="8">
        <v>11</v>
      </c>
      <c r="J20" s="8">
        <v>10</v>
      </c>
      <c r="K20" s="8">
        <v>3</v>
      </c>
      <c r="L20" s="8">
        <v>12</v>
      </c>
      <c r="M20" s="8">
        <v>46</v>
      </c>
    </row>
    <row r="21" spans="6:13" x14ac:dyDescent="0.25">
      <c r="F21" s="16" t="s">
        <v>740</v>
      </c>
      <c r="G21" s="8">
        <v>106</v>
      </c>
      <c r="H21" s="8">
        <v>125</v>
      </c>
      <c r="I21" s="8">
        <v>111</v>
      </c>
      <c r="J21" s="8">
        <v>119</v>
      </c>
      <c r="K21" s="8">
        <v>99</v>
      </c>
      <c r="L21" s="8">
        <v>140</v>
      </c>
      <c r="M21" s="8">
        <v>700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HR Data</vt:lpstr>
      <vt:lpstr>Analysis</vt:lpstr>
      <vt:lpstr>Dashboard</vt:lpstr>
      <vt:lpstr>PivotTables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naomi mohlala</cp:lastModifiedBy>
  <cp:revision>1</cp:revision>
  <dcterms:created xsi:type="dcterms:W3CDTF">2026-08-25T13:37:02Z</dcterms:created>
  <dcterms:modified xsi:type="dcterms:W3CDTF">2026-08-26T10:10:53Z</dcterms:modified>
  <dc:language>en-US</dc:language>
</cp:coreProperties>
</file>