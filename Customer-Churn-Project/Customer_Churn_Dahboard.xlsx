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naomi\Documents\My Projects\"/>
    </mc:Choice>
  </mc:AlternateContent>
  <xr:revisionPtr revIDLastSave="0" documentId="8_{40A90673-785A-4D9D-911C-C1C7F24A04DB}" xr6:coauthVersionLast="47" xr6:coauthVersionMax="47" xr10:uidLastSave="{00000000-0000-0000-0000-000000000000}"/>
  <bookViews>
    <workbookView xWindow="-120" yWindow="-120" windowWidth="20730" windowHeight="11160" xr2:uid="{B28BC14F-D4BC-465C-B633-35E633C006C2}"/>
  </bookViews>
  <sheets>
    <sheet name="Raw Data" sheetId="1" r:id="rId1"/>
    <sheet name="Pivot Tables" sheetId="3" r:id="rId2"/>
    <sheet name="Dashboard" sheetId="4" r:id="rId3"/>
  </sheets>
  <definedNames>
    <definedName name="Slicer_Contract">#N/A</definedName>
    <definedName name="Slicer_Gender">#N/A</definedName>
  </definedNames>
  <calcPr calcId="191029"/>
  <pivotCaches>
    <pivotCache cacheId="3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2" i="1"/>
  <c r="G10" i="1"/>
  <c r="G2" i="1"/>
  <c r="G3" i="1"/>
  <c r="G4" i="1"/>
  <c r="G5" i="1"/>
  <c r="G6" i="1"/>
  <c r="G7" i="1"/>
  <c r="G8" i="1"/>
  <c r="G9" i="1"/>
</calcChain>
</file>

<file path=xl/sharedStrings.xml><?xml version="1.0" encoding="utf-8"?>
<sst xmlns="http://schemas.openxmlformats.org/spreadsheetml/2006/main" count="37" uniqueCount="17">
  <si>
    <t>Customer ID</t>
  </si>
  <si>
    <t>Gender</t>
  </si>
  <si>
    <t>Contract</t>
  </si>
  <si>
    <t>MonthlyCharges</t>
  </si>
  <si>
    <t>Tenure</t>
  </si>
  <si>
    <t>Churn</t>
  </si>
  <si>
    <t>Female</t>
  </si>
  <si>
    <t>Male</t>
  </si>
  <si>
    <t>Month-to-month</t>
  </si>
  <si>
    <t>Two year</t>
  </si>
  <si>
    <t>One year</t>
  </si>
  <si>
    <t>Yes</t>
  </si>
  <si>
    <t>No</t>
  </si>
  <si>
    <t>Churn Rate</t>
  </si>
  <si>
    <t>Row Labels</t>
  </si>
  <si>
    <t>Average of Churn Rate</t>
  </si>
  <si>
    <t>Charge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</si>
</sst>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7">
    <xf numFmtId="0" fontId="0" fillId="0" borderId="0" xfId="0"/>
    <xf numFmtId="0" fontId="0" fillId="0" borderId="0" xfId="0" applyNumberFormat="1"/>
    <xf numFmtId="9" fontId="0" fillId="0" borderId="0" xfId="1" applyFont="1"/>
    <xf numFmtId="0" fontId="0" fillId="0" borderId="0" xfId="0" pivotButton="1"/>
    <xf numFmtId="0" fontId="0" fillId="0" borderId="0" xfId="0" applyAlignment="1">
      <alignment horizontal="left"/>
    </xf>
    <xf numFmtId="9" fontId="0" fillId="0" borderId="0" xfId="0" applyNumberFormat="1"/>
    <xf numFmtId="0" fontId="0" fillId="0" borderId="0" xfId="0" applyAlignme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[Customer_Churn_Dahboard.xlsx]Pivot Tables!PivotTable3</c:name>
    <c:fmtId val="2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Churn Rate By Contract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Tables'!$B$5:$B$7</c:f>
              <c:strCache>
                <c:ptCount val="3"/>
                <c:pt idx="0">
                  <c:v>Month-to-month</c:v>
                </c:pt>
                <c:pt idx="1">
                  <c:v>One year</c:v>
                </c:pt>
                <c:pt idx="2">
                  <c:v>Two year</c:v>
                </c:pt>
              </c:strCache>
            </c:strRef>
          </c:cat>
          <c:val>
            <c:numRef>
              <c:f>'Pivot Tables'!$C$5:$C$7</c:f>
              <c:numCache>
                <c:formatCode>0%</c:formatCode>
                <c:ptCount val="3"/>
                <c:pt idx="0">
                  <c:v>1</c:v>
                </c:pt>
                <c:pt idx="1">
                  <c:v>0</c:v>
                </c:pt>
                <c:pt idx="2">
                  <c:v>0</c:v>
                </c:pt>
              </c:numCache>
            </c:numRef>
          </c:val>
          <c:extLst>
            <c:ext xmlns:c16="http://schemas.microsoft.com/office/drawing/2014/chart" uri="{C3380CC4-5D6E-409C-BE32-E72D297353CC}">
              <c16:uniqueId val="{00000000-4A02-420B-A8FB-4C1E4642934D}"/>
            </c:ext>
          </c:extLst>
        </c:ser>
        <c:dLbls>
          <c:dLblPos val="inEnd"/>
          <c:showLegendKey val="0"/>
          <c:showVal val="1"/>
          <c:showCatName val="0"/>
          <c:showSerName val="0"/>
          <c:showPercent val="0"/>
          <c:showBubbleSize val="0"/>
        </c:dLbls>
        <c:gapWidth val="65"/>
        <c:axId val="1444049616"/>
        <c:axId val="1444052496"/>
      </c:barChart>
      <c:catAx>
        <c:axId val="144404961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44052496"/>
        <c:crossesAt val="0"/>
        <c:auto val="1"/>
        <c:lblAlgn val="ctr"/>
        <c:lblOffset val="100"/>
        <c:noMultiLvlLbl val="0"/>
      </c:catAx>
      <c:valAx>
        <c:axId val="144405249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4404961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76200</xdr:rowOff>
    </xdr:from>
    <xdr:to>
      <xdr:col>7</xdr:col>
      <xdr:colOff>228600</xdr:colOff>
      <xdr:row>15</xdr:row>
      <xdr:rowOff>152400</xdr:rowOff>
    </xdr:to>
    <xdr:graphicFrame macro="">
      <xdr:nvGraphicFramePr>
        <xdr:cNvPr id="2" name="Chart 1">
          <a:extLst>
            <a:ext uri="{FF2B5EF4-FFF2-40B4-BE49-F238E27FC236}">
              <a16:creationId xmlns:a16="http://schemas.microsoft.com/office/drawing/2014/main" id="{A71D1648-879F-4B45-B102-FEF9254B04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457200</xdr:colOff>
      <xdr:row>4</xdr:row>
      <xdr:rowOff>9525</xdr:rowOff>
    </xdr:from>
    <xdr:to>
      <xdr:col>11</xdr:col>
      <xdr:colOff>228600</xdr:colOff>
      <xdr:row>11</xdr:row>
      <xdr:rowOff>123825</xdr:rowOff>
    </xdr:to>
    <xdr:sp macro="" textlink="">
      <xdr:nvSpPr>
        <xdr:cNvPr id="3" name="TextBox 2">
          <a:extLst>
            <a:ext uri="{FF2B5EF4-FFF2-40B4-BE49-F238E27FC236}">
              <a16:creationId xmlns:a16="http://schemas.microsoft.com/office/drawing/2014/main" id="{B45E8B40-A85E-4E28-8053-459C171A9EE8}"/>
            </a:ext>
          </a:extLst>
        </xdr:cNvPr>
        <xdr:cNvSpPr txBox="1"/>
      </xdr:nvSpPr>
      <xdr:spPr>
        <a:xfrm>
          <a:off x="4724400" y="771525"/>
          <a:ext cx="2209800" cy="144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Insight</a:t>
          </a:r>
          <a:endParaRPr lang="en-US" sz="1100" b="0" u="none"/>
        </a:p>
        <a:p>
          <a:r>
            <a:rPr lang="en-US" sz="1100" b="0" u="none"/>
            <a:t>Month-to-month</a:t>
          </a:r>
          <a:r>
            <a:rPr lang="en-US" sz="1100" b="0" u="none" baseline="0"/>
            <a:t> contracts have the highest churn rate at 100%, while one-year and two-year contracts show 0% churn. This indicates that longer - term contracts significally improve customer retention.</a:t>
          </a:r>
          <a:endParaRPr lang="en-US" sz="1100" b="1" u="sng"/>
        </a:p>
      </xdr:txBody>
    </xdr:sp>
    <xdr:clientData/>
  </xdr:twoCellAnchor>
  <xdr:twoCellAnchor>
    <xdr:from>
      <xdr:col>7</xdr:col>
      <xdr:colOff>504825</xdr:colOff>
      <xdr:row>12</xdr:row>
      <xdr:rowOff>142875</xdr:rowOff>
    </xdr:from>
    <xdr:to>
      <xdr:col>11</xdr:col>
      <xdr:colOff>228600</xdr:colOff>
      <xdr:row>19</xdr:row>
      <xdr:rowOff>9525</xdr:rowOff>
    </xdr:to>
    <xdr:sp macro="" textlink="">
      <xdr:nvSpPr>
        <xdr:cNvPr id="4" name="TextBox 3">
          <a:extLst>
            <a:ext uri="{FF2B5EF4-FFF2-40B4-BE49-F238E27FC236}">
              <a16:creationId xmlns:a16="http://schemas.microsoft.com/office/drawing/2014/main" id="{0BE86779-7898-4DDB-BB48-6DD69EC32978}"/>
            </a:ext>
          </a:extLst>
        </xdr:cNvPr>
        <xdr:cNvSpPr txBox="1"/>
      </xdr:nvSpPr>
      <xdr:spPr>
        <a:xfrm>
          <a:off x="4772025" y="2428875"/>
          <a:ext cx="2162175" cy="1200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business should encourange</a:t>
          </a:r>
          <a:r>
            <a:rPr lang="en-US" sz="1100" baseline="0"/>
            <a:t> customers to switch to long - term contracts by offering discounts or incentives, reducing overall churn risk.</a:t>
          </a:r>
          <a:endParaRPr lang="en-US" sz="1100"/>
        </a:p>
      </xdr:txBody>
    </xdr:sp>
    <xdr:clientData/>
  </xdr:twoCellAnchor>
  <xdr:twoCellAnchor editAs="oneCell">
    <xdr:from>
      <xdr:col>12</xdr:col>
      <xdr:colOff>0</xdr:colOff>
      <xdr:row>2</xdr:row>
      <xdr:rowOff>0</xdr:rowOff>
    </xdr:from>
    <xdr:to>
      <xdr:col>15</xdr:col>
      <xdr:colOff>0</xdr:colOff>
      <xdr:row>16</xdr:row>
      <xdr:rowOff>0</xdr:rowOff>
    </xdr:to>
    <mc:AlternateContent xmlns:mc="http://schemas.openxmlformats.org/markup-compatibility/2006">
      <mc:Choice xmlns:a14="http://schemas.microsoft.com/office/drawing/2010/main" Requires="a14">
        <xdr:graphicFrame macro="">
          <xdr:nvGraphicFramePr>
            <xdr:cNvPr id="5" name="Contract">
              <a:extLst>
                <a:ext uri="{FF2B5EF4-FFF2-40B4-BE49-F238E27FC236}">
                  <a16:creationId xmlns:a16="http://schemas.microsoft.com/office/drawing/2014/main" id="{3B116DB5-0818-44F0-8BD2-EFC47CA0799C}"/>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dr:sp macro="" textlink="">
          <xdr:nvSpPr>
            <xdr:cNvPr id="0" name=""/>
            <xdr:cNvSpPr>
              <a:spLocks noTextEdit="1"/>
            </xdr:cNvSpPr>
          </xdr:nvSpPr>
          <xdr:spPr>
            <a:xfrm>
              <a:off x="7315200" y="3810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2</xdr:row>
      <xdr:rowOff>0</xdr:rowOff>
    </xdr:from>
    <xdr:to>
      <xdr:col>19</xdr:col>
      <xdr:colOff>0</xdr:colOff>
      <xdr:row>16</xdr:row>
      <xdr:rowOff>0</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2F36D9D3-A943-46E0-89B1-C001B09BA2C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753600" y="3810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mohlala" refreshedDate="46128.560383449076" createdVersion="8" refreshedVersion="8" minRefreshableVersion="3" recordCount="8" xr:uid="{AF04C473-BAFA-48F2-A8B2-89BFBAA7A543}">
  <cacheSource type="worksheet">
    <worksheetSource ref="A1:G9" sheet="Raw Data"/>
  </cacheSource>
  <cacheFields count="7">
    <cacheField name="Customer ID" numFmtId="0">
      <sharedItems containsSemiMixedTypes="0" containsString="0" containsNumber="1" containsInteger="1" minValue="1" maxValue="8"/>
    </cacheField>
    <cacheField name="Gender" numFmtId="0">
      <sharedItems count="2">
        <s v="Female"/>
        <s v="Male"/>
      </sharedItems>
    </cacheField>
    <cacheField name="Contract" numFmtId="0">
      <sharedItems count="3">
        <s v="Month-to-month"/>
        <s v="One year"/>
        <s v="Two year"/>
      </sharedItems>
    </cacheField>
    <cacheField name="MonthlyCharges" numFmtId="0">
      <sharedItems containsSemiMixedTypes="0" containsString="0" containsNumber="1" containsInteger="1" minValue="250" maxValue="720"/>
    </cacheField>
    <cacheField name="Tenure" numFmtId="0">
      <sharedItems containsSemiMixedTypes="0" containsString="0" containsNumber="1" containsInteger="1" minValue="1" maxValue="36"/>
    </cacheField>
    <cacheField name="Churn" numFmtId="0">
      <sharedItems/>
    </cacheField>
    <cacheField name="Churn Rate"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6065649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n v="1"/>
    <x v="0"/>
    <x v="0"/>
    <n v="500"/>
    <n v="2"/>
    <s v="Yes"/>
    <n v="1"/>
  </r>
  <r>
    <n v="2"/>
    <x v="1"/>
    <x v="1"/>
    <n v="300"/>
    <n v="24"/>
    <s v="No"/>
    <n v="0"/>
  </r>
  <r>
    <n v="3"/>
    <x v="0"/>
    <x v="0"/>
    <n v="700"/>
    <n v="1"/>
    <s v="Yes"/>
    <n v="1"/>
  </r>
  <r>
    <n v="4"/>
    <x v="1"/>
    <x v="2"/>
    <n v="250"/>
    <n v="36"/>
    <s v="No"/>
    <n v="0"/>
  </r>
  <r>
    <n v="5"/>
    <x v="0"/>
    <x v="0"/>
    <n v="650"/>
    <n v="3"/>
    <s v="Yes"/>
    <n v="1"/>
  </r>
  <r>
    <n v="6"/>
    <x v="1"/>
    <x v="1"/>
    <n v="400"/>
    <n v="18"/>
    <s v="No"/>
    <n v="0"/>
  </r>
  <r>
    <n v="7"/>
    <x v="0"/>
    <x v="0"/>
    <n v="720"/>
    <n v="2"/>
    <s v="Yes"/>
    <n v="1"/>
  </r>
  <r>
    <n v="8"/>
    <x v="1"/>
    <x v="2"/>
    <n v="280"/>
    <n v="30"/>
    <s v="No"/>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A89DBB-6B5C-4FF4-B2B4-DA6E4424FE18}" name="PivotTable3" cacheId="3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2">
  <location ref="B4:C7" firstHeaderRow="1" firstDataRow="1" firstDataCol="1"/>
  <pivotFields count="7">
    <pivotField showAll="0"/>
    <pivotField showAll="0">
      <items count="3">
        <item x="0"/>
        <item x="1"/>
        <item t="default"/>
      </items>
    </pivotField>
    <pivotField axis="axisRow" showAll="0">
      <items count="4">
        <item x="0"/>
        <item x="1"/>
        <item x="2"/>
        <item t="default"/>
      </items>
    </pivotField>
    <pivotField showAll="0"/>
    <pivotField showAll="0"/>
    <pivotField showAll="0"/>
    <pivotField dataField="1" showAll="0"/>
  </pivotFields>
  <rowFields count="1">
    <field x="2"/>
  </rowFields>
  <rowItems count="3">
    <i>
      <x/>
    </i>
    <i>
      <x v="1"/>
    </i>
    <i>
      <x v="2"/>
    </i>
  </rowItems>
  <colItems count="1">
    <i/>
  </colItems>
  <dataFields count="1">
    <dataField name="Average of Churn Rate" fld="6" subtotal="average" baseField="2" baseItem="0" numFmtId="9"/>
  </dataFields>
  <chartFormats count="2">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3306878A-6368-4EFF-9369-89650082F1F6}" sourceName="Contract">
  <pivotTables>
    <pivotTable tabId="3" name="PivotTable3"/>
  </pivotTables>
  <data>
    <tabular pivotCacheId="60656498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A0FB23E-0124-400F-B59E-6A3C56761C46}" sourceName="Gender">
  <pivotTables>
    <pivotTable tabId="3" name="PivotTable3"/>
  </pivotTables>
  <data>
    <tabular pivotCacheId="60656498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ract" xr10:uid="{98B0E24D-B0E5-489C-9642-6EBFF2576A1B}" cache="Slicer_Contract" caption="Contract" rowHeight="257175"/>
  <slicer name="Gender" xr10:uid="{9091599C-2858-40AF-8918-DC2F6A851781}" cache="Slicer_Gender" caption="Gender"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13416-2A2C-41F3-B488-9317305F31EB}">
  <dimension ref="A1:H10"/>
  <sheetViews>
    <sheetView tabSelected="1" workbookViewId="0">
      <selection activeCell="J8" sqref="J8"/>
    </sheetView>
  </sheetViews>
  <sheetFormatPr defaultRowHeight="15" x14ac:dyDescent="0.25"/>
  <cols>
    <col min="1" max="1" width="12.28515625" customWidth="1"/>
    <col min="3" max="3" width="19.7109375" customWidth="1"/>
    <col min="4" max="4" width="20.85546875" customWidth="1"/>
    <col min="7" max="7" width="11.28515625" customWidth="1"/>
    <col min="8" max="8" width="13.85546875" customWidth="1"/>
    <col min="9" max="10" width="13.42578125" bestFit="1" customWidth="1"/>
    <col min="11" max="11" width="21.42578125" bestFit="1" customWidth="1"/>
  </cols>
  <sheetData>
    <row r="1" spans="1:8" x14ac:dyDescent="0.25">
      <c r="A1" t="s">
        <v>0</v>
      </c>
      <c r="B1" t="s">
        <v>1</v>
      </c>
      <c r="C1" t="s">
        <v>2</v>
      </c>
      <c r="D1" t="s">
        <v>3</v>
      </c>
      <c r="E1" t="s">
        <v>4</v>
      </c>
      <c r="F1" t="s">
        <v>5</v>
      </c>
      <c r="G1" t="s">
        <v>13</v>
      </c>
      <c r="H1" t="s">
        <v>16</v>
      </c>
    </row>
    <row r="2" spans="1:8" x14ac:dyDescent="0.25">
      <c r="A2" s="1">
        <v>1</v>
      </c>
      <c r="B2" t="s">
        <v>6</v>
      </c>
      <c r="C2" t="s">
        <v>8</v>
      </c>
      <c r="D2">
        <v>500</v>
      </c>
      <c r="E2">
        <v>2</v>
      </c>
      <c r="F2" t="s">
        <v>11</v>
      </c>
      <c r="G2">
        <f>IF(F2="Yes",1,0)</f>
        <v>1</v>
      </c>
      <c r="H2" s="2" t="str">
        <f>IF(D2&lt;400, "Low",IF(D2&lt;=600, "Medium", "High"))</f>
        <v>Medium</v>
      </c>
    </row>
    <row r="3" spans="1:8" x14ac:dyDescent="0.25">
      <c r="A3">
        <v>2</v>
      </c>
      <c r="B3" t="s">
        <v>7</v>
      </c>
      <c r="C3" t="s">
        <v>10</v>
      </c>
      <c r="D3">
        <v>300</v>
      </c>
      <c r="E3">
        <v>24</v>
      </c>
      <c r="F3" t="s">
        <v>12</v>
      </c>
      <c r="G3">
        <f t="shared" ref="G3:G9" si="0">IF(F3="Yes",1,0)</f>
        <v>0</v>
      </c>
      <c r="H3" s="2" t="str">
        <f t="shared" ref="H3:H9" si="1">IF(D3&lt;400, "Low",IF(D3&lt;=600, "Medium", "High"))</f>
        <v>Low</v>
      </c>
    </row>
    <row r="4" spans="1:8" x14ac:dyDescent="0.25">
      <c r="A4">
        <v>3</v>
      </c>
      <c r="B4" t="s">
        <v>6</v>
      </c>
      <c r="C4" t="s">
        <v>8</v>
      </c>
      <c r="D4">
        <v>700</v>
      </c>
      <c r="E4">
        <v>1</v>
      </c>
      <c r="F4" t="s">
        <v>11</v>
      </c>
      <c r="G4">
        <f t="shared" si="0"/>
        <v>1</v>
      </c>
      <c r="H4" s="2" t="str">
        <f t="shared" si="1"/>
        <v>High</v>
      </c>
    </row>
    <row r="5" spans="1:8" x14ac:dyDescent="0.25">
      <c r="A5">
        <v>4</v>
      </c>
      <c r="B5" t="s">
        <v>7</v>
      </c>
      <c r="C5" t="s">
        <v>9</v>
      </c>
      <c r="D5">
        <v>250</v>
      </c>
      <c r="E5">
        <v>36</v>
      </c>
      <c r="F5" t="s">
        <v>12</v>
      </c>
      <c r="G5">
        <f t="shared" si="0"/>
        <v>0</v>
      </c>
      <c r="H5" s="2" t="str">
        <f t="shared" si="1"/>
        <v>Low</v>
      </c>
    </row>
    <row r="6" spans="1:8" x14ac:dyDescent="0.25">
      <c r="A6">
        <v>5</v>
      </c>
      <c r="B6" t="s">
        <v>6</v>
      </c>
      <c r="C6" t="s">
        <v>8</v>
      </c>
      <c r="D6">
        <v>650</v>
      </c>
      <c r="E6">
        <v>3</v>
      </c>
      <c r="F6" t="s">
        <v>11</v>
      </c>
      <c r="G6">
        <f t="shared" si="0"/>
        <v>1</v>
      </c>
      <c r="H6" s="2" t="str">
        <f t="shared" si="1"/>
        <v>High</v>
      </c>
    </row>
    <row r="7" spans="1:8" x14ac:dyDescent="0.25">
      <c r="A7">
        <v>6</v>
      </c>
      <c r="B7" t="s">
        <v>7</v>
      </c>
      <c r="C7" t="s">
        <v>10</v>
      </c>
      <c r="D7">
        <v>400</v>
      </c>
      <c r="E7">
        <v>18</v>
      </c>
      <c r="F7" t="s">
        <v>12</v>
      </c>
      <c r="G7">
        <f t="shared" si="0"/>
        <v>0</v>
      </c>
      <c r="H7" s="2" t="str">
        <f t="shared" si="1"/>
        <v>Medium</v>
      </c>
    </row>
    <row r="8" spans="1:8" x14ac:dyDescent="0.25">
      <c r="A8">
        <v>7</v>
      </c>
      <c r="B8" t="s">
        <v>6</v>
      </c>
      <c r="C8" t="s">
        <v>8</v>
      </c>
      <c r="D8">
        <v>720</v>
      </c>
      <c r="E8">
        <v>2</v>
      </c>
      <c r="F8" t="s">
        <v>11</v>
      </c>
      <c r="G8">
        <f t="shared" si="0"/>
        <v>1</v>
      </c>
      <c r="H8" s="2" t="str">
        <f t="shared" si="1"/>
        <v>High</v>
      </c>
    </row>
    <row r="9" spans="1:8" x14ac:dyDescent="0.25">
      <c r="A9">
        <v>8</v>
      </c>
      <c r="B9" t="s">
        <v>7</v>
      </c>
      <c r="C9" t="s">
        <v>9</v>
      </c>
      <c r="D9">
        <v>280</v>
      </c>
      <c r="E9">
        <v>30</v>
      </c>
      <c r="F9" t="s">
        <v>12</v>
      </c>
      <c r="G9">
        <f t="shared" si="0"/>
        <v>0</v>
      </c>
      <c r="H9" s="2" t="str">
        <f t="shared" si="1"/>
        <v>Low</v>
      </c>
    </row>
    <row r="10" spans="1:8" x14ac:dyDescent="0.25">
      <c r="G10" s="2">
        <f>AVERAGE(G2:G9)</f>
        <v>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394A4-3350-4ACA-90E8-8B2B782CA99A}">
  <dimension ref="B4:C7"/>
  <sheetViews>
    <sheetView workbookViewId="0">
      <selection activeCell="C2" sqref="C2"/>
    </sheetView>
  </sheetViews>
  <sheetFormatPr defaultRowHeight="15" x14ac:dyDescent="0.25"/>
  <cols>
    <col min="2" max="2" width="15.5703125" bestFit="1" customWidth="1"/>
    <col min="3" max="3" width="21.42578125" bestFit="1" customWidth="1"/>
  </cols>
  <sheetData>
    <row r="4" spans="2:3" x14ac:dyDescent="0.25">
      <c r="B4" s="3" t="s">
        <v>14</v>
      </c>
      <c r="C4" t="s">
        <v>15</v>
      </c>
    </row>
    <row r="5" spans="2:3" x14ac:dyDescent="0.25">
      <c r="B5" s="4" t="s">
        <v>8</v>
      </c>
      <c r="C5" s="5">
        <v>1</v>
      </c>
    </row>
    <row r="6" spans="2:3" x14ac:dyDescent="0.25">
      <c r="B6" s="4" t="s">
        <v>10</v>
      </c>
      <c r="C6" s="5">
        <v>0</v>
      </c>
    </row>
    <row r="7" spans="2:3" x14ac:dyDescent="0.25">
      <c r="B7" s="4" t="s">
        <v>9</v>
      </c>
      <c r="C7" s="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B3FC9-4E5F-428E-AEE9-6D5158450A26}">
  <dimension ref="A1"/>
  <sheetViews>
    <sheetView workbookViewId="0">
      <selection activeCell="E18" sqref="E18"/>
    </sheetView>
  </sheetViews>
  <sheetFormatPr defaultRowHeight="15" x14ac:dyDescent="0.25"/>
  <sheetData>
    <row r="1" s="6"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naomi mohlala</dc:creator>
  <dcterms:created xsi:type="dcterms:W3CDTF">2026-04-16T10:04:39Z</dcterms:created>
  <dcterms:modified xsi:type="dcterms:W3CDTF">2026-04-16T12:25:37Z</dcterms:modified>
</cp:coreProperties>
</file>