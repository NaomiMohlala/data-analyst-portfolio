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naomi\Documents\My Projects\"/>
    </mc:Choice>
  </mc:AlternateContent>
  <xr:revisionPtr revIDLastSave="0" documentId="13_ncr:1_{8B750ABD-E78F-4BF4-A8F8-F5D2BEB3C5A9}" xr6:coauthVersionLast="47" xr6:coauthVersionMax="47" xr10:uidLastSave="{00000000-0000-0000-0000-000000000000}"/>
  <bookViews>
    <workbookView xWindow="-120" yWindow="-120" windowWidth="20730" windowHeight="11160" activeTab="1" xr2:uid="{C4E6007C-AC4A-4ABE-8611-703CCF64F2C8}"/>
  </bookViews>
  <sheets>
    <sheet name="Retail Sales" sheetId="1" r:id="rId1"/>
    <sheet name="Dashboard" sheetId="5" r:id="rId2"/>
  </sheets>
  <definedNames>
    <definedName name="Slicer_Category">#N/A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c r="F2" i="1"/>
  <c r="F3" i="1"/>
  <c r="F4" i="1"/>
  <c r="F5" i="1"/>
  <c r="F6" i="1"/>
  <c r="F7" i="1"/>
  <c r="F8" i="1"/>
  <c r="F9" i="1"/>
  <c r="F10" i="1"/>
  <c r="F11" i="1"/>
  <c r="G2" i="1"/>
  <c r="G3" i="1"/>
  <c r="G4" i="1"/>
  <c r="G5" i="1"/>
  <c r="G6" i="1"/>
  <c r="G7" i="1"/>
  <c r="G8" i="1"/>
  <c r="G9" i="1"/>
  <c r="G10" i="1"/>
  <c r="G11" i="1"/>
</calcChain>
</file>

<file path=xl/sharedStrings.xml><?xml version="1.0" encoding="utf-8"?>
<sst xmlns="http://schemas.openxmlformats.org/spreadsheetml/2006/main" count="60" uniqueCount="27">
  <si>
    <t>Order Date</t>
  </si>
  <si>
    <t>Region</t>
  </si>
  <si>
    <t>Product</t>
  </si>
  <si>
    <t>Category</t>
  </si>
  <si>
    <t>Sales</t>
  </si>
  <si>
    <t>Gauteng</t>
  </si>
  <si>
    <t>Laptop</t>
  </si>
  <si>
    <t>Technology</t>
  </si>
  <si>
    <t>Western Cape</t>
  </si>
  <si>
    <t>Phone</t>
  </si>
  <si>
    <t>Desk Chair</t>
  </si>
  <si>
    <t>Furniture</t>
  </si>
  <si>
    <t>KZN</t>
  </si>
  <si>
    <t>Notebook</t>
  </si>
  <si>
    <t>Office Supplies</t>
  </si>
  <si>
    <t>Printer</t>
  </si>
  <si>
    <t>Month</t>
  </si>
  <si>
    <t>Year</t>
  </si>
  <si>
    <t>Row Labels</t>
  </si>
  <si>
    <t>Grand Total</t>
  </si>
  <si>
    <t>Sum of Sales</t>
  </si>
  <si>
    <t>Jan</t>
  </si>
  <si>
    <t>Feb</t>
  </si>
  <si>
    <t>Mar</t>
  </si>
  <si>
    <t>Apr</t>
  </si>
  <si>
    <t>May</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</si>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</sst>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
    <dxf>
      <numFmt numFmtId="0" formatCode="General"/>
    </dxf>
    <dxf>
      <numFmt numFmtId="0" formatCode="General"/>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[Retail_Sales_Dashboard.xlsx]Retail Sales!PivotTable7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'Retail Sales'!$P$2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06-4509-901A-535B211EA4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06-4509-901A-535B211EA4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06-4509-901A-535B211EA491}"/>
              </c:ext>
            </c:extLst>
          </c:dPt>
          <c:cat>
            <c:strRef>
              <c:f>'Retail Sales'!$O$3:$O$6</c:f>
              <c:strCache>
                <c:ptCount val="3"/>
                <c:pt idx="0">
                  <c:v>Gauteng</c:v>
                </c:pt>
                <c:pt idx="1">
                  <c:v>KZN</c:v>
                </c:pt>
                <c:pt idx="2">
                  <c:v>Western Cape</c:v>
                </c:pt>
              </c:strCache>
            </c:strRef>
          </c:cat>
          <c:val>
            <c:numRef>
              <c:f>'Retail Sales'!$P$3:$P$6</c:f>
              <c:numCache>
                <c:formatCode>General</c:formatCode>
                <c:ptCount val="3"/>
                <c:pt idx="0">
                  <c:v>55500</c:v>
                </c:pt>
                <c:pt idx="1">
                  <c:v>10000</c:v>
                </c:pt>
                <c:pt idx="2">
                  <c:v>12500</c:v>
                </c:pt>
              </c:numCache>
            </c:numRef>
          </c:val>
          <c:extLst>
            <c:ext xmlns:c16="http://schemas.microsoft.com/office/drawing/2014/chart" uri="{C3380CC4-5D6E-409C-BE32-E72D297353CC}">
              <c16:uniqueId val="{00000000-9762-40DF-84B3-E37CF35FAF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[Retail_Sales_Dashboard.xlsx]Retail Sales!PivotTable5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 Sales'!$J$2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'Retail Sales'!$I$3:$I$8</c:f>
              <c:strCache>
                <c:ptCount val="5"/>
                <c:pt idx="0">
                  <c:v>Desk Chair</c:v>
                </c:pt>
                <c:pt idx="1">
                  <c:v>Laptop</c:v>
                </c:pt>
                <c:pt idx="2">
                  <c:v>Notebook</c:v>
                </c:pt>
                <c:pt idx="3">
                  <c:v>Phone</c:v>
                </c:pt>
                <c:pt idx="4">
                  <c:v>Printer</c:v>
                </c:pt>
              </c:strCache>
            </c:strRef>
          </c:cat>
          <c:val>
            <c:numRef>
              <c:f>'Retail Sales'!$J$3:$J$8</c:f>
              <c:numCache>
                <c:formatCode>General</c:formatCode>
                <c:ptCount val="5"/>
                <c:pt idx="0">
                  <c:v>31700</c:v>
                </c:pt>
                <c:pt idx="1">
                  <c:v>27000</c:v>
                </c:pt>
                <c:pt idx="2">
                  <c:v>800</c:v>
                </c:pt>
                <c:pt idx="3">
                  <c:v>15000</c:v>
                </c:pt>
                <c:pt idx="4">
                  <c:v>3500</c:v>
                </c:pt>
              </c:numCache>
            </c:numRef>
          </c:val>
          <c:extLst>
            <c:ext xmlns:c16="http://schemas.microsoft.com/office/drawing/2014/chart" uri="{C3380CC4-5D6E-409C-BE32-E72D297353CC}">
              <c16:uniqueId val="{00000000-933F-4265-B9BC-531D8B21DD64}"/>
            </c:ext>
          </c:extLst>
        </c:ser>
        <c:dLbls>
          <c:dLblPos val="inEnd"/>
          <c:showLegendKey val="0"/>
          <c:showVal val="1"/>
          <c:showCatName val="0"/>
          <c:showSerName val="0"/>
          <c:showPercent val="0"/>
          <c:showBubbleSize val="0"/>
        </c:dLbls>
        <c:gapWidth val="65"/>
        <c:axId val="15265584"/>
        <c:axId val="15265104"/>
      </c:barChart>
      <c:catAx>
        <c:axId val="15265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65104"/>
        <c:crosses val="autoZero"/>
        <c:auto val="1"/>
        <c:lblAlgn val="ctr"/>
        <c:lblOffset val="100"/>
        <c:noMultiLvlLbl val="0"/>
      </c:catAx>
      <c:valAx>
        <c:axId val="15265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265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[Retail_Sales_Dashboard.xlsx]Retail Sales!PivotTable6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'Retail Sales'!$M$2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'Retail Sales'!$L$3:$L$8</c:f>
              <c:strCache>
                <c:ptCount val="5"/>
                <c:pt idx="0">
                  <c:v>Jan</c:v>
                </c:pt>
                <c:pt idx="1">
                  <c:v>Feb</c:v>
                </c:pt>
                <c:pt idx="2">
                  <c:v>Mar</c:v>
                </c:pt>
                <c:pt idx="3">
                  <c:v>Apr</c:v>
                </c:pt>
                <c:pt idx="4">
                  <c:v>May</c:v>
                </c:pt>
              </c:strCache>
            </c:strRef>
          </c:cat>
          <c:val>
            <c:numRef>
              <c:f>'Retail Sales'!$M$3:$M$8</c:f>
              <c:numCache>
                <c:formatCode>General</c:formatCode>
                <c:ptCount val="5"/>
                <c:pt idx="0">
                  <c:v>20000</c:v>
                </c:pt>
                <c:pt idx="1">
                  <c:v>25300</c:v>
                </c:pt>
                <c:pt idx="2">
                  <c:v>19000</c:v>
                </c:pt>
                <c:pt idx="3">
                  <c:v>10500</c:v>
                </c:pt>
                <c:pt idx="4">
                  <c:v>3200</c:v>
                </c:pt>
              </c:numCache>
            </c:numRef>
          </c:val>
          <c:smooth val="0"/>
          <c:extLst>
            <c:ext xmlns:c16="http://schemas.microsoft.com/office/drawing/2014/chart" uri="{C3380CC4-5D6E-409C-BE32-E72D297353CC}">
              <c16:uniqueId val="{00000000-35C0-4BC3-B0B1-AF7062F91AE0}"/>
            </c:ext>
          </c:extLst>
        </c:ser>
        <c:dLbls>
          <c:showLegendKey val="0"/>
          <c:showVal val="0"/>
          <c:showCatName val="0"/>
          <c:showSerName val="0"/>
          <c:showPercent val="0"/>
          <c:showBubbleSize val="0"/>
        </c:dLbls>
        <c:marker val="1"/>
        <c:smooth val="0"/>
        <c:axId val="1260184848"/>
        <c:axId val="1260177168"/>
      </c:lineChart>
      <c:catAx>
        <c:axId val="1260184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177168"/>
        <c:crosses val="autoZero"/>
        <c:auto val="1"/>
        <c:lblAlgn val="ctr"/>
        <c:lblOffset val="100"/>
        <c:noMultiLvlLbl val="0"/>
      </c:catAx>
      <c:valAx>
        <c:axId val="1260177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1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[Retail_Sales_Dashboard.xlsx]Retail Sales!PivotTable7</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'Retail Sales'!$P$2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89-48F2-9D29-9B8859533F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89-48F2-9D29-9B8859533F0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89-48F2-9D29-9B8859533F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'Retail Sales'!$O$3:$O$6</c:f>
              <c:strCache>
                <c:ptCount val="3"/>
                <c:pt idx="0">
                  <c:v>Gauteng</c:v>
                </c:pt>
                <c:pt idx="1">
                  <c:v>KZN</c:v>
                </c:pt>
                <c:pt idx="2">
                  <c:v>Western Cape</c:v>
                </c:pt>
              </c:strCache>
            </c:strRef>
          </c:cat>
          <c:val>
            <c:numRef>
              <c:f>'Retail Sales'!$P$3:$P$6</c:f>
              <c:numCache>
                <c:formatCode>General</c:formatCode>
                <c:ptCount val="3"/>
                <c:pt idx="0">
                  <c:v>55500</c:v>
                </c:pt>
                <c:pt idx="1">
                  <c:v>10000</c:v>
                </c:pt>
                <c:pt idx="2">
                  <c:v>12500</c:v>
                </c:pt>
              </c:numCache>
            </c:numRef>
          </c:val>
          <c:extLst>
            <c:ext xmlns:c16="http://schemas.microsoft.com/office/drawing/2014/chart" uri="{C3380CC4-5D6E-409C-BE32-E72D297353CC}">
              <c16:uniqueId val="{00000006-5D89-48F2-9D29-9B8859533F0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571500</xdr:colOff>
      <xdr:row>24</xdr:row>
      <xdr:rowOff>119062</xdr:rowOff>
    </xdr:from>
    <xdr:to>
      <xdr:col>13</xdr:col>
      <xdr:colOff>457200</xdr:colOff>
      <xdr:row>39</xdr:row>
      <xdr:rowOff>4762</xdr:rowOff>
    </xdr:to>
    <xdr:graphicFrame macro="">
      <xdr:nvGraphicFramePr>
        <xdr:cNvPr id="4" name="Chart 3">
          <a:extLst>
            <a:ext uri="{FF2B5EF4-FFF2-40B4-BE49-F238E27FC236}">
              <a16:creationId xmlns:a16="http://schemas.microsoft.com/office/drawing/2014/main" id="{23498570-D0B4-3DAD-AFEA-8214EC64F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190499</xdr:rowOff>
    </xdr:from>
    <xdr:to>
      <xdr:col>7</xdr:col>
      <xdr:colOff>180975</xdr:colOff>
      <xdr:row>17</xdr:row>
      <xdr:rowOff>104774</xdr:rowOff>
    </xdr:to>
    <xdr:graphicFrame macro="">
      <xdr:nvGraphicFramePr>
        <xdr:cNvPr id="2" name="Chart 1">
          <a:extLst>
            <a:ext uri="{FF2B5EF4-FFF2-40B4-BE49-F238E27FC236}">
              <a16:creationId xmlns:a16="http://schemas.microsoft.com/office/drawing/2014/main" id="{DFB16987-1AD7-49B1-8684-1081ABC44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276225</xdr:colOff>
      <xdr:row>1</xdr:row>
      <xdr:rowOff>161925</xdr:rowOff>
    </xdr:from>
    <xdr:to>
      <xdr:col>14</xdr:col>
      <xdr:colOff>371475</xdr:colOff>
      <xdr:row>16</xdr:row>
      <xdr:rowOff>9525</xdr:rowOff>
    </xdr:to>
    <xdr:graphicFrame macro="">
      <xdr:nvGraphicFramePr>
        <xdr:cNvPr id="3" name="Chart 2">
          <a:extLst>
            <a:ext uri="{FF2B5EF4-FFF2-40B4-BE49-F238E27FC236}">
              <a16:creationId xmlns:a16="http://schemas.microsoft.com/office/drawing/2014/main" id="{041E1E32-BB68-4500-85C2-E834CA23B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447674</xdr:colOff>
      <xdr:row>1</xdr:row>
      <xdr:rowOff>9525</xdr:rowOff>
    </xdr:from>
    <xdr:to>
      <xdr:col>21</xdr:col>
      <xdr:colOff>380999</xdr:colOff>
      <xdr:row>14</xdr:row>
      <xdr:rowOff>180975</xdr:rowOff>
    </xdr:to>
    <xdr:graphicFrame macro="">
      <xdr:nvGraphicFramePr>
        <xdr:cNvPr id="4" name="Chart 3">
          <a:extLst>
            <a:ext uri="{FF2B5EF4-FFF2-40B4-BE49-F238E27FC236}">
              <a16:creationId xmlns:a16="http://schemas.microsoft.com/office/drawing/2014/main" id="{2481CA9E-5C61-4447-9C48-ECCEFE1BC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171450</xdr:colOff>
      <xdr:row>18</xdr:row>
      <xdr:rowOff>161925</xdr:rowOff>
    </xdr:from>
    <xdr:to>
      <xdr:col>3</xdr:col>
      <xdr:colOff>171450</xdr:colOff>
      <xdr:row>32</xdr:row>
      <xdr:rowOff>161925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ADA88A6-93B6-40F9-9C22-8A8A7626B2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1450" y="3590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19</xdr:row>
      <xdr:rowOff>0</xdr:rowOff>
    </xdr:from>
    <xdr:to>
      <xdr:col>7</xdr:col>
      <xdr:colOff>0</xdr:colOff>
      <xdr:row>33</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05905FD-966F-44A0-A29C-B717E8FCA5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00" y="3619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495300</xdr:colOff>
      <xdr:row>17</xdr:row>
      <xdr:rowOff>171450</xdr:rowOff>
    </xdr:from>
    <xdr:ext cx="3762375" cy="971550"/>
    <xdr:sp macro="" textlink="">
      <xdr:nvSpPr>
        <xdr:cNvPr id="7" name="TextBox 6">
          <a:extLst>
            <a:ext uri="{FF2B5EF4-FFF2-40B4-BE49-F238E27FC236}">
              <a16:creationId xmlns:a16="http://schemas.microsoft.com/office/drawing/2014/main" id="{295289F0-4E5F-79B5-014C-1ACC5A1D80B6}"/>
            </a:ext>
          </a:extLst>
        </xdr:cNvPr>
        <xdr:cNvSpPr txBox="1"/>
      </xdr:nvSpPr>
      <xdr:spPr>
        <a:xfrm>
          <a:off x="5372100" y="3409950"/>
          <a:ext cx="3762375" cy="971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buFont typeface="Arial" panose="020B0604020202020204" pitchFamily="34" charset="0"/>
            <a:buNone/>
          </a:pPr>
          <a:r>
            <a:rPr lang="en-US" sz="1100" b="1" u="sng">
              <a:latin typeface="Calibri" panose="020F0502020204030204" pitchFamily="34" charset="0"/>
              <a:cs typeface="Calibri" panose="020F0502020204030204" pitchFamily="34" charset="0"/>
            </a:rPr>
            <a:t>Insights</a:t>
          </a:r>
        </a:p>
        <a:p>
          <a:pPr marL="171450" indent="-171450">
            <a:buFont typeface="Arial" panose="020B0604020202020204" pitchFamily="34" charset="0"/>
            <a:buChar char="•"/>
          </a:pPr>
          <a:r>
            <a:rPr lang="en-US" sz="1100">
              <a:latin typeface="Calibri" panose="020F0502020204030204" pitchFamily="34" charset="0"/>
              <a:cs typeface="Calibri" panose="020F0502020204030204" pitchFamily="34" charset="0"/>
            </a:rPr>
            <a:t>Gauteng</a:t>
          </a:r>
          <a:r>
            <a:rPr lang="en-US" sz="1100" baseline="0">
              <a:latin typeface="Calibri" panose="020F0502020204030204" pitchFamily="34" charset="0"/>
              <a:cs typeface="Calibri" panose="020F0502020204030204" pitchFamily="34" charset="0"/>
            </a:rPr>
            <a:t> generates the highest sales.</a:t>
          </a:r>
        </a:p>
        <a:p>
          <a:pPr marL="171450" indent="-171450">
            <a:buFont typeface="Arial" panose="020B0604020202020204" pitchFamily="34" charset="0"/>
            <a:buChar char="•"/>
          </a:pPr>
          <a:r>
            <a:rPr lang="en-US" sz="1100" baseline="0">
              <a:latin typeface="Calibri" panose="020F0502020204030204" pitchFamily="34" charset="0"/>
              <a:cs typeface="Calibri" panose="020F0502020204030204" pitchFamily="34" charset="0"/>
            </a:rPr>
            <a:t>Technology products dominate revenue.</a:t>
          </a:r>
        </a:p>
        <a:p>
          <a:pPr marL="171450" indent="-171450">
            <a:buFont typeface="Arial" panose="020B0604020202020204" pitchFamily="34" charset="0"/>
            <a:buChar char="•"/>
          </a:pPr>
          <a:r>
            <a:rPr lang="en-US" sz="1100" baseline="0">
              <a:latin typeface="Calibri" panose="020F0502020204030204" pitchFamily="34" charset="0"/>
              <a:cs typeface="Calibri" panose="020F0502020204030204" pitchFamily="34" charset="0"/>
            </a:rPr>
            <a:t>Sales show steady growth from Jan to May.</a:t>
          </a:r>
          <a:endParaRPr lang="en-US" sz="1100">
            <a:latin typeface="Calibri" panose="020F0502020204030204" pitchFamily="34" charset="0"/>
            <a:cs typeface="Calibri" panose="020F050202020403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128.469806018518" createdVersion="8" refreshedVersion="8" minRefreshableVersion="3" recordCount="10" xr:uid="{FAAE0001-708D-4F25-98D0-19268ED2F6F2}">
  <cacheSource type="worksheet">
    <worksheetSource name="SalesData"/>
  </cacheSource>
  <cacheFields count="7">
    <cacheField name="Order Date" numFmtId="164">
      <sharedItems containsSemiMixedTypes="0" containsNonDate="0" containsDate="1" containsString="0" minDate="2024-01-05T00:00:00" maxDate="2024-05-21T00:00:00"/>
    </cacheField>
    <cacheField name="Region" numFmtId="0">
      <sharedItems count="3">
        <s v="Gauteng"/>
        <s v="Western Cape"/>
        <s v="KZN"/>
      </sharedItems>
    </cacheField>
    <cacheField name="Product" numFmtId="0">
      <sharedItems count="5">
        <s v="Laptop"/>
        <s v="Phone"/>
        <s v="Desk Chair"/>
        <s v="Notebook"/>
        <s v="Printer"/>
      </sharedItems>
    </cacheField>
    <cacheField name="Category" numFmtId="0">
      <sharedItems count="3">
        <s v="Technology"/>
        <s v="Furniture"/>
        <s v="Office Supplies"/>
      </sharedItems>
    </cacheField>
    <cacheField name="Sales" numFmtId="0">
      <sharedItems containsSemiMixedTypes="0" containsString="0" containsNumber="1" containsInteger="1" minValue="300" maxValue="25000"/>
    </cacheField>
    <cacheField name="Month" numFmtId="0">
      <sharedItems count="5">
        <s v="Jan"/>
        <s v="Feb"/>
        <s v="Mar"/>
        <s v="Apr"/>
        <s v="May"/>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1287282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4-01-05T00:00:00"/>
    <x v="0"/>
    <x v="0"/>
    <x v="0"/>
    <n v="12000"/>
    <x v="0"/>
    <n v="2024"/>
  </r>
  <r>
    <d v="2024-01-10T00:00:00"/>
    <x v="1"/>
    <x v="1"/>
    <x v="0"/>
    <n v="8000"/>
    <x v="0"/>
    <n v="2024"/>
  </r>
  <r>
    <d v="2024-02-12T00:00:00"/>
    <x v="0"/>
    <x v="2"/>
    <x v="1"/>
    <n v="25000"/>
    <x v="1"/>
    <n v="2024"/>
  </r>
  <r>
    <d v="2024-02-18T00:00:00"/>
    <x v="2"/>
    <x v="3"/>
    <x v="2"/>
    <n v="300"/>
    <x v="1"/>
    <n v="2024"/>
  </r>
  <r>
    <d v="2024-03-02T00:00:00"/>
    <x v="0"/>
    <x v="0"/>
    <x v="0"/>
    <n v="15000"/>
    <x v="2"/>
    <n v="2024"/>
  </r>
  <r>
    <d v="2024-03-15T00:00:00"/>
    <x v="1"/>
    <x v="2"/>
    <x v="1"/>
    <n v="4000"/>
    <x v="2"/>
    <n v="2024"/>
  </r>
  <r>
    <d v="2024-04-01T00:00:00"/>
    <x v="2"/>
    <x v="1"/>
    <x v="0"/>
    <n v="7000"/>
    <x v="3"/>
    <n v="2024"/>
  </r>
  <r>
    <d v="2024-04-10T00:00:00"/>
    <x v="0"/>
    <x v="4"/>
    <x v="0"/>
    <n v="3500"/>
    <x v="3"/>
    <n v="2024"/>
  </r>
  <r>
    <d v="2024-05-05T00:00:00"/>
    <x v="1"/>
    <x v="3"/>
    <x v="2"/>
    <n v="500"/>
    <x v="4"/>
    <n v="2024"/>
  </r>
  <r>
    <d v="2024-05-20T00:00:00"/>
    <x v="2"/>
    <x v="2"/>
    <x v="1"/>
    <n v="2700"/>
    <x v="4"/>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ED444-B073-4313-826F-10779CF0CE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J8" firstHeaderRow="1" firstDataRow="1" firstDataCol="1"/>
  <pivotFields count="7">
    <pivotField numFmtId="164" showAll="0"/>
    <pivotField showAll="0"/>
    <pivotField axis="axisRow" showAll="0">
      <items count="6">
        <item x="2"/>
        <item x="0"/>
        <item x="3"/>
        <item x="1"/>
        <item x="4"/>
        <item t="default"/>
      </items>
    </pivotField>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13916-D31F-4CE3-8F78-8FC5AEBAC4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P6" firstHeaderRow="1" firstDataRow="1" firstDataCol="1"/>
  <pivotFields count="7">
    <pivotField numFmtId="164" showAll="0"/>
    <pivotField axis="axisRow" showAll="0">
      <items count="4">
        <item x="0"/>
        <item x="2"/>
        <item x="1"/>
        <item t="default"/>
      </items>
    </pivotField>
    <pivotField showAll="0"/>
    <pivotField showAll="0">
      <items count="4">
        <item x="1"/>
        <item x="2"/>
        <item x="0"/>
        <item t="default"/>
      </items>
    </pivotField>
    <pivotField dataField="1" showAll="0"/>
    <pivotField showAll="0"/>
    <pivotField showAll="0"/>
  </pivotFields>
  <rowFields count="1">
    <field x="1"/>
  </rowFields>
  <rowItems count="4">
    <i>
      <x/>
    </i>
    <i>
      <x v="1"/>
    </i>
    <i>
      <x v="2"/>
    </i>
    <i t="grand">
      <x/>
    </i>
  </rowItems>
  <colItems count="1">
    <i/>
  </colItems>
  <dataFields count="1">
    <dataField name="Sum of Sales" fld="4"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7EFED-4C65-4AC3-AF31-35FDB40254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M8" firstHeaderRow="1" firstDataRow="1" firstDataCol="1"/>
  <pivotFields count="7">
    <pivotField numFmtId="164" showAll="0"/>
    <pivotField showAll="0"/>
    <pivotField showAll="0"/>
    <pivotField showAll="0"/>
    <pivotField dataField="1" showAll="0"/>
    <pivotField axis="axisRow" showAll="0">
      <items count="6">
        <item x="0"/>
        <item x="1"/>
        <item x="2"/>
        <item x="3"/>
        <item x="4"/>
        <item t="default"/>
      </items>
    </pivotField>
    <pivotField showAll="0"/>
  </pivotFields>
  <rowFields count="1">
    <field x="5"/>
  </rowFields>
  <rowItems count="6">
    <i>
      <x/>
    </i>
    <i>
      <x v="1"/>
    </i>
    <i>
      <x v="2"/>
    </i>
    <i>
      <x v="3"/>
    </i>
    <i>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2F1E20-9E3D-4445-84EE-35DF0519B84D}" sourceName="Category">
  <pivotTables>
    <pivotTable tabId="1" name="PivotTable7"/>
  </pivotTables>
  <data>
    <tabular pivotCacheId="12872829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50CB4B-FDC8-43F0-BE9A-7623653F2F9B}" sourceName="Region">
  <pivotTables>
    <pivotTable tabId="1" name="PivotTable7"/>
  </pivotTables>
  <data>
    <tabular pivotCacheId="12872829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EC29282-1E09-429C-BF7A-35A6583A281D}" cache="Slicer_Category" caption="Category" rowHeight="257175"/>
  <slicer name="Region" xr10:uid="{77E1D040-EFF7-4F85-954F-66FD8B8EAA0A}"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89B9C-0903-47C5-86F9-5B24AA9AFFC9}" name="SalesData" displayName="SalesData" ref="A1:G11" totalsRowShown="0">
  <autoFilter ref="A1:G11" xr:uid="{F5D89B9C-0903-47C5-86F9-5B24AA9AFFC9}"/>
  <tableColumns count="7">
    <tableColumn id="1" xr3:uid="{457B35E9-2B40-4C83-A63A-E5F56665E22D}" name="Order Date" dataDxfId="2"/>
    <tableColumn id="2" xr3:uid="{F75B8415-FC43-4F58-9EAB-FB555C020935}" name="Region"/>
    <tableColumn id="3" xr3:uid="{70E31DA9-F1B9-4241-B2B4-8A815BDD7961}" name="Product"/>
    <tableColumn id="4" xr3:uid="{52DF814D-B519-414B-9AF8-E2B9E7F79B23}" name="Category"/>
    <tableColumn id="5" xr3:uid="{5508BFA1-6631-4B37-85FC-E8EE01996D6D}" name="Sales"/>
    <tableColumn id="11" xr3:uid="{B92AB4BC-9DB0-4926-8398-A85AEE3AC5D7}" name="Month" dataDxfId="1">
      <calculatedColumnFormula>TEXT(SalesData[[#This Row],[Order Date]],"mmm")</calculatedColumnFormula>
    </tableColumn>
    <tableColumn id="12" xr3:uid="{B54B82C3-B343-46F5-AB7E-BACBF6F0CE3E}" name="Year" dataDxfId="0">
      <calculatedColumnFormula>YEAR(SalesData[[#This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77C15-48ED-46CA-B60B-22B618A3B195}">
  <dimension ref="A1:P11"/>
  <sheetViews>
    <sheetView workbookViewId="0">
      <selection activeCell="O2" sqref="O2:P6"/>
    </sheetView>
  </sheetViews>
  <sheetFormatPr defaultRowHeight="15" x14ac:dyDescent="0.25"/>
  <cols>
    <col min="1" max="1" width="13" customWidth="1"/>
    <col min="2" max="2" width="13.28515625" customWidth="1"/>
    <col min="3" max="3" width="11.85546875" customWidth="1"/>
    <col min="4" max="4" width="14" customWidth="1"/>
    <col min="9" max="9" width="13.42578125" bestFit="1" customWidth="1"/>
    <col min="10" max="10" width="12.5703125" bestFit="1" customWidth="1"/>
    <col min="12" max="12" width="13.42578125" bestFit="1" customWidth="1"/>
    <col min="13" max="13" width="12.5703125" bestFit="1" customWidth="1"/>
    <col min="15" max="15" width="13.42578125" bestFit="1" customWidth="1"/>
    <col min="16" max="16" width="12.5703125" bestFit="1" customWidth="1"/>
  </cols>
  <sheetData>
    <row r="1" spans="1:16" x14ac:dyDescent="0.25">
      <c r="A1" t="s">
        <v>0</v>
      </c>
      <c r="B1" t="s">
        <v>1</v>
      </c>
      <c r="C1" t="s">
        <v>2</v>
      </c>
      <c r="D1" t="s">
        <v>3</v>
      </c>
      <c r="E1" t="s">
        <v>4</v>
      </c>
      <c r="F1" t="s">
        <v>16</v>
      </c>
      <c r="G1" t="s">
        <v>17</v>
      </c>
    </row>
    <row r="2" spans="1:16" x14ac:dyDescent="0.25">
      <c r="A2" s="1">
        <v>45296</v>
      </c>
      <c r="B2" t="s">
        <v>5</v>
      </c>
      <c r="C2" t="s">
        <v>6</v>
      </c>
      <c r="D2" t="s">
        <v>7</v>
      </c>
      <c r="E2">
        <v>12000</v>
      </c>
      <c r="F2" t="str">
        <f>TEXT(SalesData[[#This Row],[Order Date]],"mmm")</f>
        <v>Jan</v>
      </c>
      <c r="G2">
        <f>YEAR(SalesData[[#This Row],[Order Date]])</f>
        <v>2024</v>
      </c>
      <c r="I2" s="2" t="s">
        <v>18</v>
      </c>
      <c r="J2" t="s">
        <v>20</v>
      </c>
      <c r="L2" s="2" t="s">
        <v>18</v>
      </c>
      <c r="M2" t="s">
        <v>20</v>
      </c>
      <c r="O2" s="2" t="s">
        <v>18</v>
      </c>
      <c r="P2" t="s">
        <v>20</v>
      </c>
    </row>
    <row r="3" spans="1:16" x14ac:dyDescent="0.25">
      <c r="A3" s="1">
        <v>45301</v>
      </c>
      <c r="B3" t="s">
        <v>8</v>
      </c>
      <c r="C3" t="s">
        <v>9</v>
      </c>
      <c r="D3" t="s">
        <v>7</v>
      </c>
      <c r="E3">
        <v>8000</v>
      </c>
      <c r="F3" t="str">
        <f>TEXT(SalesData[[#This Row],[Order Date]],"mmm")</f>
        <v>Jan</v>
      </c>
      <c r="G3">
        <f>YEAR(SalesData[[#This Row],[Order Date]])</f>
        <v>2024</v>
      </c>
      <c r="I3" s="3" t="s">
        <v>10</v>
      </c>
      <c r="J3">
        <v>31700</v>
      </c>
      <c r="L3" s="3" t="s">
        <v>21</v>
      </c>
      <c r="M3">
        <v>20000</v>
      </c>
      <c r="O3" s="3" t="s">
        <v>5</v>
      </c>
      <c r="P3">
        <v>55500</v>
      </c>
    </row>
    <row r="4" spans="1:16" x14ac:dyDescent="0.25">
      <c r="A4" s="1">
        <v>45334</v>
      </c>
      <c r="B4" t="s">
        <v>5</v>
      </c>
      <c r="C4" t="s">
        <v>10</v>
      </c>
      <c r="D4" t="s">
        <v>11</v>
      </c>
      <c r="E4">
        <v>25000</v>
      </c>
      <c r="F4" t="str">
        <f>TEXT(SalesData[[#This Row],[Order Date]],"mmm")</f>
        <v>Feb</v>
      </c>
      <c r="G4">
        <f>YEAR(SalesData[[#This Row],[Order Date]])</f>
        <v>2024</v>
      </c>
      <c r="I4" s="3" t="s">
        <v>6</v>
      </c>
      <c r="J4">
        <v>27000</v>
      </c>
      <c r="L4" s="3" t="s">
        <v>22</v>
      </c>
      <c r="M4">
        <v>25300</v>
      </c>
      <c r="O4" s="3" t="s">
        <v>12</v>
      </c>
      <c r="P4">
        <v>10000</v>
      </c>
    </row>
    <row r="5" spans="1:16" x14ac:dyDescent="0.25">
      <c r="A5" s="1">
        <v>45340</v>
      </c>
      <c r="B5" t="s">
        <v>12</v>
      </c>
      <c r="C5" t="s">
        <v>13</v>
      </c>
      <c r="D5" t="s">
        <v>14</v>
      </c>
      <c r="E5">
        <v>300</v>
      </c>
      <c r="F5" t="str">
        <f>TEXT(SalesData[[#This Row],[Order Date]],"mmm")</f>
        <v>Feb</v>
      </c>
      <c r="G5">
        <f>YEAR(SalesData[[#This Row],[Order Date]])</f>
        <v>2024</v>
      </c>
      <c r="I5" s="3" t="s">
        <v>13</v>
      </c>
      <c r="J5">
        <v>800</v>
      </c>
      <c r="L5" s="3" t="s">
        <v>23</v>
      </c>
      <c r="M5">
        <v>19000</v>
      </c>
      <c r="O5" s="3" t="s">
        <v>8</v>
      </c>
      <c r="P5">
        <v>12500</v>
      </c>
    </row>
    <row r="6" spans="1:16" x14ac:dyDescent="0.25">
      <c r="A6" s="1">
        <v>45353</v>
      </c>
      <c r="B6" t="s">
        <v>5</v>
      </c>
      <c r="C6" t="s">
        <v>6</v>
      </c>
      <c r="D6" t="s">
        <v>7</v>
      </c>
      <c r="E6">
        <v>15000</v>
      </c>
      <c r="F6" t="str">
        <f>TEXT(SalesData[[#This Row],[Order Date]],"mmm")</f>
        <v>Mar</v>
      </c>
      <c r="G6">
        <f>YEAR(SalesData[[#This Row],[Order Date]])</f>
        <v>2024</v>
      </c>
      <c r="I6" s="3" t="s">
        <v>9</v>
      </c>
      <c r="J6">
        <v>15000</v>
      </c>
      <c r="L6" s="3" t="s">
        <v>24</v>
      </c>
      <c r="M6">
        <v>10500</v>
      </c>
      <c r="O6" s="3" t="s">
        <v>19</v>
      </c>
      <c r="P6">
        <v>78000</v>
      </c>
    </row>
    <row r="7" spans="1:16" x14ac:dyDescent="0.25">
      <c r="A7" s="1">
        <v>45366</v>
      </c>
      <c r="B7" t="s">
        <v>8</v>
      </c>
      <c r="C7" t="s">
        <v>10</v>
      </c>
      <c r="D7" t="s">
        <v>11</v>
      </c>
      <c r="E7">
        <v>4000</v>
      </c>
      <c r="F7" t="str">
        <f>TEXT(SalesData[[#This Row],[Order Date]],"mmm")</f>
        <v>Mar</v>
      </c>
      <c r="G7">
        <f>YEAR(SalesData[[#This Row],[Order Date]])</f>
        <v>2024</v>
      </c>
      <c r="I7" s="3" t="s">
        <v>15</v>
      </c>
      <c r="J7">
        <v>3500</v>
      </c>
      <c r="L7" s="3" t="s">
        <v>25</v>
      </c>
      <c r="M7">
        <v>3200</v>
      </c>
    </row>
    <row r="8" spans="1:16" x14ac:dyDescent="0.25">
      <c r="A8" s="1">
        <v>45383</v>
      </c>
      <c r="B8" t="s">
        <v>12</v>
      </c>
      <c r="C8" t="s">
        <v>9</v>
      </c>
      <c r="D8" t="s">
        <v>7</v>
      </c>
      <c r="E8">
        <v>7000</v>
      </c>
      <c r="F8" t="str">
        <f>TEXT(SalesData[[#This Row],[Order Date]],"mmm")</f>
        <v>Apr</v>
      </c>
      <c r="G8">
        <f>YEAR(SalesData[[#This Row],[Order Date]])</f>
        <v>2024</v>
      </c>
      <c r="I8" s="3" t="s">
        <v>19</v>
      </c>
      <c r="J8">
        <v>78000</v>
      </c>
      <c r="L8" s="3" t="s">
        <v>19</v>
      </c>
      <c r="M8">
        <v>78000</v>
      </c>
    </row>
    <row r="9" spans="1:16" x14ac:dyDescent="0.25">
      <c r="A9" s="1">
        <v>45392</v>
      </c>
      <c r="B9" t="s">
        <v>5</v>
      </c>
      <c r="C9" t="s">
        <v>15</v>
      </c>
      <c r="D9" t="s">
        <v>7</v>
      </c>
      <c r="E9">
        <v>3500</v>
      </c>
      <c r="F9" t="str">
        <f>TEXT(SalesData[[#This Row],[Order Date]],"mmm")</f>
        <v>Apr</v>
      </c>
      <c r="G9">
        <f>YEAR(SalesData[[#This Row],[Order Date]])</f>
        <v>2024</v>
      </c>
    </row>
    <row r="10" spans="1:16" x14ac:dyDescent="0.25">
      <c r="A10" s="1">
        <v>45417</v>
      </c>
      <c r="B10" t="s">
        <v>8</v>
      </c>
      <c r="C10" t="s">
        <v>13</v>
      </c>
      <c r="D10" t="s">
        <v>14</v>
      </c>
      <c r="E10">
        <v>500</v>
      </c>
      <c r="F10" t="str">
        <f>TEXT(SalesData[[#This Row],[Order Date]],"mmm")</f>
        <v>May</v>
      </c>
      <c r="G10">
        <f>YEAR(SalesData[[#This Row],[Order Date]])</f>
        <v>2024</v>
      </c>
    </row>
    <row r="11" spans="1:16" x14ac:dyDescent="0.25">
      <c r="A11" s="1">
        <v>45432</v>
      </c>
      <c r="B11" t="s">
        <v>12</v>
      </c>
      <c r="C11" t="s">
        <v>10</v>
      </c>
      <c r="D11" t="s">
        <v>11</v>
      </c>
      <c r="E11">
        <v>2700</v>
      </c>
      <c r="F11" t="str">
        <f>TEXT(SalesData[[#This Row],[Order Date]],"mmm")</f>
        <v>May</v>
      </c>
      <c r="G11">
        <f>YEAR(SalesData[[#This Row],[Order Date]])</f>
        <v>2024</v>
      </c>
    </row>
  </sheetData>
  <phoneticPr fontId="1" type="noConversion"/>
  <pageMargins left="0.7" right="0.7" top="0.75" bottom="0.75" header="0.3" footer="0.3"/>
  <pageSetup orientation="portrait" r:id="rId4"/>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B9A17-61F7-4321-A8E1-C65FC26948A0}">
  <dimension ref="A1:A2"/>
  <sheetViews>
    <sheetView tabSelected="1" workbookViewId="0">
      <selection activeCell="N25" sqref="N25"/>
    </sheetView>
  </sheetViews>
  <sheetFormatPr defaultRowHeight="15" x14ac:dyDescent="0.25"/>
  <sheetData>
    <row r="1" spans="1:1" x14ac:dyDescent="0.25">
      <c r="A1" t="s">
        <v>26</v>
      </c>
    </row>
    <row r="2" spans="1:1" x14ac:dyDescent="0.25">
      <c r="A2">
        <f>SUM(SalesData[Sales])</f>
        <v>78000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 mohlala</dc:creator>
  <dcterms:created xsi:type="dcterms:W3CDTF">2026-04-16T08:15:48Z</dcterms:created>
  <dcterms:modified xsi:type="dcterms:W3CDTF">2026-04-16T12:38:32Z</dcterms:modified>
</cp:coreProperties>
</file>